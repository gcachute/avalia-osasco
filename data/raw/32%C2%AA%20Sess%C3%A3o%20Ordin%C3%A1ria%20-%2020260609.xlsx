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DDA51EE9-4871-415C-AB62-09F36EFC04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8" i="10"/>
  <c r="D28" i="10"/>
  <c r="E28" i="10"/>
  <c r="C29" i="10"/>
  <c r="D29" i="10"/>
  <c r="E29" i="10"/>
  <c r="C30" i="10"/>
  <c r="D30" i="10"/>
  <c r="E30" i="10"/>
  <c r="C31" i="10"/>
  <c r="D31" i="10"/>
  <c r="E31" i="10"/>
  <c r="E27" i="3"/>
  <c r="E28" i="3"/>
  <c r="E29" i="3"/>
  <c r="E30" i="3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<sst xmlns="http://schemas.openxmlformats.org/spreadsheetml/2006/main" count="519" uniqueCount="152">
  <si>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</si>
  <si>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</si>
  <si>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</si>
  <si>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</si>
  <si>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</si>
  <si>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</si>
  <si>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</si>
  <si>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</si>
  <si>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</si>
  <si>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</si>
  <si>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</si>
  <si>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</si>
  <si>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</si>
  <si>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</si>
  <si>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</si>
  <si>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</si>
  <si>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</si>
  <si>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</si>
  <si>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</si>
  <si>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</si>
  <si>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</si>
  <si>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</si>
  <si>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</si>
  <si>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</si>
  <si>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</si>
  <si>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</si>
  <si>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</si>
  <si>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</si>
  <si>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</si>
  <si>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</si>
  <si>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</si>
  <si>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</si>
  <si>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</si>
  <si>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</si>
  <si>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</si>
  <si>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</si>
  <si>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</si>
  <si>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</si>
  <si>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</si>
  <si>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</si>
  <si>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</si>
  <si>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</si>
  <si>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</si>
  <si>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</si>
  <si>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</si>
  <si>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</si>
  <si>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</si>
  <si>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</si>
  <si>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</si>
  <si>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</si>
  <si>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</si>
  <si>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</si>
  <si>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</si>
  <si>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</si>
  <si>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</si>
  <si>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</si>
  <si>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</si>
  <si>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</si>
  <si>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</si>
  <si>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</si>
  <si>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</si>
  <si>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</si>
  <si>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</si>
  <si>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</si>
  <si>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</si>
  <si>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</si>
  <si>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</si>
  <si>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</si>
  <si>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</si>
  <si>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</si>
  <si>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</si>
  <si>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</si>
  <si>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</si>
  <si>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</si>
  <si>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</si>
  <si>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</si>
  <si>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</si>
  <si>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</si>
  <si>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</si>
  <si>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</si>
  <si>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</si>
  <si>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</si>
  <si>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</si>
  <si>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</si>
  <si>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</si>
  <si>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</si>
  <si>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</si>
  <si>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>pela ausência do autor, será pautada na próxima sessão.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</si>
  <si>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</si>
  <si>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</si>
  <si>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</si>
  <si>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</si>
  <si>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</si>
  <si>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</si>
  <si>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</si>
  <si>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</si>
  <si>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</si>
  <si>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</si>
  <si>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r>
      <t xml:space="preserve">MOÇÃO DE CONGRATULAÇÕES Nº 150/2026 – STEPHANE ROSSI – </t>
    </r>
    <r>
      <rPr>
        <sz val="11"/>
        <color theme="1"/>
        <rFont val="Arial"/>
        <family val="2"/>
      </rPr>
      <t>Ao efetivo da Guardiã Maria da Penha em razão de seu aniversário, celebrado no dia 05 de junho.</t>
    </r>
  </si>
  <si>
    <r>
      <t xml:space="preserve">MOÇÃO DE APLAUSO Nº 151/2026 – ALEXANDRE CAPRIOTTI – </t>
    </r>
    <r>
      <rPr>
        <sz val="11"/>
        <color theme="1"/>
        <rFont val="Arial"/>
        <family val="2"/>
      </rPr>
      <t>Ao Projeto Arremesso para o Futuro, em reconhecimento à sua relevante atuação social, esportiva e educacional no município de Osasco.</t>
    </r>
  </si>
  <si>
    <r>
      <t xml:space="preserve">MOÇÃO DE APLAUSO Nº 154/2026 – BATISTA COMUNIDADE – </t>
    </r>
    <r>
      <rPr>
        <sz val="11"/>
        <color theme="1"/>
        <rFont val="Arial"/>
        <family val="2"/>
      </rPr>
      <t>Ao professor de Educação Física e agente de transformação social Leonardo Eduardo de Brito Sousa, por sua dedicação ao desenvolvimento de crianças e adolescentes em situação de vulnerabilidade social e pela contribuição inestimável à formação humana e esportiva da juventude de Osasco.</t>
    </r>
  </si>
  <si>
    <r>
      <t xml:space="preserve">MOÇÃO DE RECONHECIMENTO Nº 157/2026 – ELSA OLIVEIRA – </t>
    </r>
    <r>
      <rPr>
        <sz val="11"/>
        <color theme="1"/>
        <rFont val="Arial"/>
        <family val="2"/>
      </rPr>
      <t>Ao sr. Ricardo Francisco Napoli da Silva, em razão de sua destacada trajetória profissional, liderança no setor de segurança privada e relevantes contribuições sociais e institucionais ao Município de Osasco.</t>
    </r>
  </si>
  <si>
    <r>
      <t xml:space="preserve">MOÇÃO DE RECONHECIMENTO Nº 158/2026 – LAÉRCIO MENDONÇA – </t>
    </r>
    <r>
      <rPr>
        <sz val="11"/>
        <color theme="1"/>
        <rFont val="Arial"/>
        <family val="2"/>
      </rPr>
      <t>À sra. Gleides Sodré, em homenagem à sua extraordinária trajetória de vida, marcada por superação, pelo compromisso com a justiça social, defesa dos direitos humanos e dedicação incansável às causas da classe trabalhadora, das mulheres, das crianças e adolescentes.</t>
    </r>
  </si>
  <si>
    <r>
      <t xml:space="preserve">PROJETO DE LEI Nº 93/2021 – PAULO JÚNIOR - </t>
    </r>
    <r>
      <rPr>
        <sz val="11"/>
        <color theme="1"/>
        <rFont val="Arial"/>
        <family val="2"/>
      </rPr>
      <t>Altera a Lei nº 4.459 de 9 de dezembro de 2010, que trata da proibição do uso de cerol em Osasco e dá outras providências.</t>
    </r>
  </si>
  <si>
    <t>pela ausência do autor, será pautado na próxima sessão.</t>
  </si>
  <si>
    <r>
      <t xml:space="preserve">PROJETO DE DECRETO LEGISLATIVO Nº 5/2026 – GUILHERME PRADO – </t>
    </r>
    <r>
      <rPr>
        <sz val="11"/>
        <color theme="1"/>
        <rFont val="Arial"/>
        <family val="2"/>
      </rPr>
      <t>Dispõe sobre a concessão de Diploma Líder Comunitário ao Sr. João Cachate da Silva.</t>
    </r>
  </si>
  <si>
    <r>
      <t xml:space="preserve">PROJETO DE DECRETO LEGISLATIVO 89/2025 – HEBER DO JUNTOZ - </t>
    </r>
    <r>
      <rPr>
        <sz val="11"/>
        <color theme="1"/>
        <rFont val="Arial"/>
        <family val="2"/>
      </rPr>
      <t>Dispõe sobre a concessão de Diploma João Cândido - Almirante Negro à Profª Zélia Lucas Patrício.</t>
    </r>
  </si>
  <si>
    <t>Zé Carlos Santa Maria</t>
  </si>
  <si>
    <t>32ª SESSÃO ORDINÁRIA</t>
  </si>
  <si>
    <t>DIA 9 DE JUNHO DE 2026 - TERÇA-FEIRA</t>
  </si>
  <si>
    <t>ATO DA PRESIDÊNCIA Nº 4/2026 - Dispõe sobre a convocação do senhor José Carlos Ferreira Silva, primeiro suplente de vereador), cuja transcrição é a seguinte: ‘’O PRESIDENTE DA CÂMARA DE VEREADORES DO MUNICÍPIO DE OSASCO, usando das atribuições que lhe são conferidas por lei, RESOLVE: Art. 1º Fica convocado o senhor JOSÉ CARLOS FERREIRA SILVA, a fim de assumir o cargo de Vereador da Câmara Municipal de Osasco, em virtude de o senhor Pedro Cantagessi Vitoriano encontrar-se licenciado por 31 (trinta e um) dias, a partir de 8 de junho de 2026, com base no art. 32, II, da Lei Orgânica Municipal, combinado com o art. 105, IV, do Regimento Interno. Art. 2º Este Ato entra em vigor na data de sua publicação. Publique-se e cientifique-se. Câmara Municipal de Osasco, 3 de junho de 2026. CARMÔNIO GONÇALVES BASTOS. Presidente</t>
  </si>
  <si>
    <t>Justificativa de ausência do Vereador Gabriel Saúde.</t>
  </si>
  <si>
    <t>Justificativa de ausência do Vereador Paulo Júnior.</t>
  </si>
  <si>
    <t>OFÍCIO PROLEGIS Nº 202603154308 – PREFEITO DO MUNICÍPIO DE OSASCO – Informa a sanção da Lei nº 5.486, de 2 de junho de 2026, referente ao Projeto de Lei nº 111/2026, de autoria do Prefeito do Município de Osasco que dispõe sobre abertura de crédito adicional especial ao orçamento vigente e dá outras providências.</t>
  </si>
  <si>
    <t>OFÍCIO PROLEGIS Nº 202603155073 – PREFEITO DO MUNICÍPIO DE OSASCO – Informa a sanção da Lei nº 5.487, de 2 de junho de 2026, referente ao Projeto de Lei nº 113/2026, de autoria do Prefeito do Município de Osasco que dispõe sobre abertura de crédito adicional especial ao orçamento vigente e dá outras providências.</t>
  </si>
  <si>
    <t>OFÍCIO PROLEGIS Nº 202603155083– PREFEITO DO MUNICÍPIO DE OSASCO – Informa a sanção da Lei nº 5.488, de 2 de junho de 2026, referente ao Projeto de Lei nº 114/2026, de autoria do Prefeito do Município de Osasco que dispõe sobre abertura de crédito adicional especial ao orçamento vigente e dá outras providências.</t>
  </si>
  <si>
    <t>DECRETOS Nº 15.126 ao 15.132 e Decreto nº 15.139 DE MAIO DE 2026 – PREFEITO DO MUNICÍPIO DE OSASCO - Dispõe sobre abertura de crédito adicional suplementar ao orçamento vigente e dá outras providências.</t>
  </si>
  <si>
    <t>DECRETO Nº 15.133, DE 25 DE MAIO DE 2026 – PREFEITO DO MUNICÍPIO DE OSASCO - Estabelece os prazos para pagamento e postagem dos carnês de Taxas de Licença para Funcionamento e Publicidade – TLFP e Imposto Sobre Serviços - ISS-Fixo, no exercício de 2026.</t>
  </si>
  <si>
    <t>DECRETO Nº 15.134, DE 25 DE MAIO DE 2026 – PREFEITO DO MUNICÍPIO DE OSASCO - Dispõe sobre a realização dos serviços de dedetização, desinsetização, desratização e controle de vetores e pragas urbanas nos prédios públicos municipais da Administração Direta e Indireta do Município de Osasco, e dá outras providências.</t>
  </si>
  <si>
    <t>DECRETOS Nº 15.135 AO 15.138 DE MAIO DE 2026 – PREFEITO DO MUNICÍPIO DE OSASCO - Dispõe sobre abertura de crédito adicional suplementar ao orçamento vigente e dá outras providências.</t>
  </si>
  <si>
    <t>PROJETO DE LEI Nº 125/2026 – LAÉRCIO MENDONÇA - Institui a Campanha Municipal Ruas da Copa do Mundo no Município de Osasco e dá outras providências.</t>
  </si>
  <si>
    <t>PROJETO DE LEI Nº 126/2026 – HEBER DO JUNTOZ - Dispõe sobre a instalação de bebedouros públicos em todas as regiões de grande circulação e/ou concentração de pessoas no Município de Osasco.</t>
  </si>
  <si>
    <t>Ofício C.MAB nº 455/2026 – TRIBUNAL DE CONTAS DO ESTADO DE SÃO PAULO – Encaminha cópia de peças relativas aos Processos: TC-013554.989.22 e TC-014934.989.22.</t>
  </si>
  <si>
    <r>
      <t xml:space="preserve">MOÇÃO DE APLAUSO Nº 153/2026 – BATISTA COMUNIDADE – </t>
    </r>
    <r>
      <rPr>
        <sz val="11"/>
        <color theme="1"/>
        <rFont val="Arial"/>
        <family val="2"/>
      </rPr>
      <t>Ao jovem profissional do esporte e professor de futebol Nicolas Moraes de Oliveira, por seu comprometimento com o desenvolvimento de crianças e adolescentes da periferia, formando novos atletas e cidadãos no município de Osasco.</t>
    </r>
  </si>
  <si>
    <r>
      <t xml:space="preserve">MOÇÃO DE APLAUSO Nº 155/2026 – ALEXANDRE CAPRIOTTI – </t>
    </r>
    <r>
      <rPr>
        <sz val="11"/>
        <color theme="1"/>
        <rFont val="Arial"/>
        <family val="2"/>
      </rPr>
      <t>À Professora Keli Cristina Alexandre, idealizadora do Projeto “Dançando no Parque”, pelos relevantes serviços prestados à população do município de Osasco.</t>
    </r>
  </si>
  <si>
    <r>
      <t xml:space="preserve">MOÇÃO DE APLAUSO Nº 156/2026 – ALEXANDRE CAPRIOTTI – </t>
    </r>
    <r>
      <rPr>
        <sz val="11"/>
        <color theme="1"/>
        <rFont val="Arial"/>
        <family val="2"/>
      </rPr>
      <t>À Opções Veículos, pelos relevantes serviços prestados ao município de Osasco ao longo de sua trajetória de sucesso, dedicação e compromisso com a população.</t>
    </r>
  </si>
  <si>
    <r>
      <t xml:space="preserve">MOÇÃO DE RECONHECIMENTO Nº 152/2026 – CARMÔNIO BASTOS – </t>
    </r>
    <r>
      <rPr>
        <sz val="11"/>
        <color theme="1"/>
        <rFont val="Arial"/>
        <family val="2"/>
      </rPr>
      <t xml:space="preserve">À atleta Maria Luiza Ferreira Bringel, por sua destacada trajetória no jiu-jitsu, pelas importantes conquistas obtidas em competições nacionais e internacionais e pela forma exemplar com que representa a cidade de Osasco </t>
    </r>
  </si>
  <si>
    <r>
      <t xml:space="preserve">MOÇÃO DE CONGRATULAÇÕES Nº 159/2026 – DELBIO TERUEL – </t>
    </r>
    <r>
      <rPr>
        <sz val="11"/>
        <color theme="1"/>
        <rFont val="Arial"/>
        <family val="2"/>
      </rPr>
      <t>À Paróquia São José e ao reverendíssimo padre Marcos Antônio Funchal, pela realização da Festa da Família 2026, ocorrida nos dias 30 e 31 de maio de 2026, no Centro Poliesportivo Domingos Piteri.</t>
    </r>
  </si>
  <si>
    <r>
      <t xml:space="preserve">MOÇÃO DE APLAUSO Nº 160/2026 – ALEXANDRE CAPRIOTTI – </t>
    </r>
    <r>
      <rPr>
        <sz val="11"/>
        <color theme="1"/>
        <rFont val="Arial"/>
        <family val="2"/>
      </rPr>
      <t>Ao Sr. José Aparecido dos Santos, carinhosamente conhecido como “Zé Negão”, em reconhecimento à sua trajetória de dedicação, compromisso e relevantes serviços prestados ao esporte do município de Osasco.</t>
    </r>
  </si>
  <si>
    <r>
      <t xml:space="preserve">MOÇÃO DE PESAR Nº 161/2026 – DELBIO TERUEL – </t>
    </r>
    <r>
      <rPr>
        <sz val="11"/>
        <color theme="1"/>
        <rFont val="Arial"/>
        <family val="2"/>
      </rPr>
      <t>Pelo falecimento do Sr. Claudio Magrão de Camargo Cre, em 2 de junho.</t>
    </r>
  </si>
  <si>
    <r>
      <t xml:space="preserve">MOÇÃO DE APLAUSO Nº 162/2026 – BATISTA COMUNIDADE – </t>
    </r>
    <r>
      <rPr>
        <sz val="11"/>
        <color theme="1"/>
        <rFont val="Arial"/>
        <family val="2"/>
      </rPr>
      <t>À terapeuta, escritora e agente de transformação social Juliana Chakrian, por seu trabalho humanizado voltado ao acolhimento emocional de mulheres e famílias em situação de vulnerabilidade, e pela contribuição inestimável ao desenvolvimento humano e social de nossa comunidade.</t>
    </r>
  </si>
  <si>
    <r>
      <t>MOÇÃO DE RECONHECIMENTO Nº 163/2026 – LAÉRCIO MENDONÇA –</t>
    </r>
    <r>
      <rPr>
        <sz val="11"/>
        <color theme="1"/>
        <rFont val="Arial"/>
        <family val="2"/>
      </rPr>
      <t xml:space="preserve"> Em homenagem ao Dia Municipal do Porteiro, celebrado anualmente em 9 de junho.</t>
    </r>
  </si>
  <si>
    <r>
      <t>MOÇÃO DE APLAUSO Nº 164/2026 – BATISTA COMUNIDADE –</t>
    </r>
    <r>
      <rPr>
        <sz val="11"/>
        <color theme="1"/>
        <rFont val="Arial"/>
        <family val="2"/>
      </rPr>
      <t xml:space="preserve"> À terapeuta integrativa e especialista em desenvolvimento emocional feminino Laura Carvalho da Silva Naitizel, por seu trabalho dedicado ao acolhimento e fortalecimento emocional de mulheres, e pela contribuição ao bem-estar e à saúde emocional de nossa comunidade.</t>
    </r>
  </si>
  <si>
    <r>
      <t>MOÇÃO DE RECONHECIMENTO Nº 165/2026 – EMERSON OSASCO –</t>
    </r>
    <r>
      <rPr>
        <sz val="11"/>
        <color theme="1"/>
        <rFont val="Arial"/>
        <family val="2"/>
      </rPr>
      <t xml:space="preserve"> À Danielle Silva Bueno, pelos serviços prestados como Gerente do SAICA.</t>
    </r>
  </si>
  <si>
    <t>esgotado o tempo regimental, será pautada na próxima sessão.</t>
  </si>
  <si>
    <r>
      <t xml:space="preserve">MOÇÃO DE RECONHECIMENTO Nº 166/2026 – EMERSON OSASCO – </t>
    </r>
    <r>
      <rPr>
        <sz val="11"/>
        <color theme="1"/>
        <rFont val="Arial"/>
        <family val="2"/>
      </rPr>
      <t>À Diego Brigato Oliveira, pelos serviços prestados como Psicólogo do Família Acolhedora Canguru.</t>
    </r>
  </si>
  <si>
    <r>
      <t xml:space="preserve">MOÇÃO DE RECONHECIMENTO Nº 167/2026 – EMERSON OSASCO – </t>
    </r>
    <r>
      <rPr>
        <sz val="11"/>
        <color theme="1"/>
        <rFont val="Arial"/>
        <family val="2"/>
      </rPr>
      <t>À Juliane Cristine de Lima, pelos serviços prestados como Gerente do SAICA Casa Vida Nova.</t>
    </r>
  </si>
  <si>
    <r>
      <t xml:space="preserve">MOÇÃO DE RECONHECIMENTO Nº 168/2026 – EMERSON OSASCO – </t>
    </r>
    <r>
      <rPr>
        <sz val="11"/>
        <color theme="1"/>
        <rFont val="Arial"/>
        <family val="2"/>
      </rPr>
      <t>À Elisabeth Andrade de Oliveira Silva, pelos serviços prestados como Supervisora Técnica do SAICA Casa Vida Nova.</t>
    </r>
  </si>
  <si>
    <r>
      <t>MOÇÃO DE RECONHECIMENTO Nº 169/2026 – EMERSON OSASCO –</t>
    </r>
    <r>
      <rPr>
        <sz val="11"/>
        <color theme="1"/>
        <rFont val="Arial"/>
        <family val="2"/>
      </rPr>
      <t xml:space="preserve"> À Pamela Ferreira de Lira, pelos serviços prestados como Gerente Técnica do SAICA.</t>
    </r>
  </si>
  <si>
    <r>
      <t xml:space="preserve">MOÇÃO DE RECONHECIMENTO Nº 170/2026 – EMERSON OSASCO – </t>
    </r>
    <r>
      <rPr>
        <sz val="11"/>
        <color theme="1"/>
        <rFont val="Arial"/>
        <family val="2"/>
      </rPr>
      <t>À Patrick Vieira Ronick, pelos serviços prestados como Psicólogo do Família Acolhedora Canguru.</t>
    </r>
  </si>
  <si>
    <r>
      <t xml:space="preserve">MOÇÃO DE RECONHECIMENTO Nº 171/2026 – EMERSON OSASCO – </t>
    </r>
    <r>
      <rPr>
        <sz val="11"/>
        <color theme="1"/>
        <rFont val="Arial"/>
        <family val="2"/>
      </rPr>
      <t>À Alda Tatiane da Silva, pelos serviços prestados como Assistente Social do Família Acolhedora Canguru.</t>
    </r>
  </si>
  <si>
    <r>
      <t xml:space="preserve">MOÇÃO DE RECONHECIMENTO Nº 172/2026 – EMERSON OSASCO – </t>
    </r>
    <r>
      <rPr>
        <sz val="11"/>
        <color theme="1"/>
        <rFont val="Arial"/>
        <family val="2"/>
      </rPr>
      <t>À Larissa de Resende Bispo, pelos serviços prestados como Assistente Social do Família Acolhedora Canguru.</t>
    </r>
  </si>
  <si>
    <r>
      <t>MOÇÃO DE RECONHECIMENTO Nº 173/2026 – EMERSON OSASCO –</t>
    </r>
    <r>
      <rPr>
        <sz val="11"/>
        <color theme="1"/>
        <rFont val="Arial"/>
        <family val="2"/>
      </rPr>
      <t xml:space="preserve"> À Márcia Marciana Favorim, pelos serviços prestados como Supervisora Técnica do Familia Acolhedora Canguru.</t>
    </r>
  </si>
  <si>
    <r>
      <t xml:space="preserve">MOÇÃO DE RECONHECIMENTO Nº 174/2026 – EMERSON OSASCO – </t>
    </r>
    <r>
      <rPr>
        <sz val="11"/>
        <color theme="1"/>
        <rFont val="Arial"/>
        <family val="2"/>
      </rPr>
      <t>À Sabrini Ribeiro Barros, pelos serviços prestados como Assistente Social do SAICA Casa Juventude.</t>
    </r>
  </si>
  <si>
    <r>
      <t>MOÇÃO DE RECONHECIMENTO Nº 175/2026 – EMERSON OSASCO –</t>
    </r>
    <r>
      <rPr>
        <sz val="11"/>
        <color theme="1"/>
        <rFont val="Arial"/>
        <family val="2"/>
      </rPr>
      <t xml:space="preserve"> À Andrew Roger Cardoso Guimarães, pelos serviços prestados como Supervisor Técnico do SAICA Casa Juventude.</t>
    </r>
  </si>
  <si>
    <r>
      <t>MOÇÃO DE RECONHECIMENTO Nº 176/2026 – EMERSON OSASCO –</t>
    </r>
    <r>
      <rPr>
        <sz val="11"/>
        <color theme="1"/>
        <rFont val="Arial"/>
        <family val="2"/>
      </rPr>
      <t xml:space="preserve"> À Rafaela Rojas Urquizas Raia, pelos serviços prestados como Assistente Social do SAICA Casa Vida Nova.</t>
    </r>
  </si>
  <si>
    <r>
      <t>MOÇÃO DE RECONHECIMENTO Nº 177/2026 – EMERSON OSASCO –</t>
    </r>
    <r>
      <rPr>
        <sz val="11"/>
        <color theme="1"/>
        <rFont val="Arial"/>
        <family val="2"/>
      </rPr>
      <t xml:space="preserve"> À Beatrice Rodrigues Forte Bruno Alves, pelos serviços prestados como Supervisor Técnico do SAICA Casa Juventude.</t>
    </r>
  </si>
  <si>
    <r>
      <t>MOÇÃO DE RECONHECIMENTO Nº 178/2026 – EMERSON OSASCO –</t>
    </r>
    <r>
      <rPr>
        <sz val="11"/>
        <color theme="1"/>
        <rFont val="Arial"/>
        <family val="2"/>
      </rPr>
      <t xml:space="preserve"> À Daniela Keiko Figueiredo Setoue, pelos serviços prestados como Psicóloga do SAICA Casa Vida Nova.</t>
    </r>
  </si>
  <si>
    <r>
      <t xml:space="preserve">PROJETO DE LEI Nº 211/2025 – DÉLBIO TERUEL – </t>
    </r>
    <r>
      <rPr>
        <sz val="11"/>
        <color theme="1"/>
        <rFont val="Arial"/>
        <family val="2"/>
      </rPr>
      <t>Institui o Dia Municipal do Supermercadista.</t>
    </r>
  </si>
  <si>
    <r>
      <t xml:space="preserve">PROJETO DE RESOLUÇÃO 5/2026 - MESA DIRETORA - </t>
    </r>
    <r>
      <rPr>
        <sz val="11"/>
        <color theme="1"/>
        <rFont val="Arial"/>
        <family val="2"/>
      </rPr>
      <t>Altera a Resolução nº 04, de 4 de maio de 2017, para incluir a JUCO — Juventude Cívico de Osasco como agente de integração no Programa de Estágio de Estudantes na Câmara Municipal de Osasco.</t>
    </r>
  </si>
  <si>
    <t>na presidência</t>
  </si>
  <si>
    <r>
      <t xml:space="preserve">PROJETO DE DECRETO LEGISLATIVO 118/2025 – PAULO JÚNIOR – </t>
    </r>
    <r>
      <rPr>
        <sz val="11"/>
        <color theme="1"/>
        <rFont val="Arial"/>
        <family val="2"/>
      </rPr>
      <t>Dispõe sobre a concessão de Título de Cidadão Osasquense à pastora Matilde Coler Torquato.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</si>
</sst>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A57" sqref="A57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28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108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109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60</v>
      </c>
      <c r="D4" s="92"/>
      <c r="E4" s="92" t="s">
        <v>88</v>
      </c>
      <c r="F4" s="44"/>
      <c r="G4" s="43" t="s">
        <v>47</v>
      </c>
      <c r="H4" s="43"/>
      <c r="I4" s="69" t="s">
        <v>46</v>
      </c>
      <c r="J4" s="45"/>
      <c r="K4" s="43" t="s">
        <v>29</v>
      </c>
      <c r="L4" s="45"/>
      <c r="M4" s="43" t="s">
        <v>29</v>
      </c>
      <c r="N4" s="45"/>
      <c r="O4" s="43" t="s">
        <v>89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48</v>
      </c>
      <c r="B5" s="88">
        <v>1</v>
      </c>
      <c r="C5" s="62" t="s">
        <v>49</v>
      </c>
      <c r="D5" s="63"/>
      <c r="E5" s="62"/>
      <c r="F5" s="88">
        <v>1</v>
      </c>
      <c r="G5" s="62" t="s">
        <v>49</v>
      </c>
      <c r="H5" s="63"/>
      <c r="I5" s="62"/>
      <c r="J5" s="63">
        <v>1</v>
      </c>
      <c r="K5" s="62" t="s">
        <v>49</v>
      </c>
      <c r="L5" s="125"/>
      <c r="M5" s="126"/>
      <c r="N5" s="63"/>
      <c r="O5" s="10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62</v>
      </c>
      <c r="B6" s="88">
        <v>2</v>
      </c>
      <c r="C6" s="102" t="s">
        <v>50</v>
      </c>
      <c r="D6" s="63"/>
      <c r="E6" s="62"/>
      <c r="F6" s="88">
        <v>1</v>
      </c>
      <c r="G6" s="62" t="s">
        <v>49</v>
      </c>
      <c r="H6" s="63"/>
      <c r="I6" s="62"/>
      <c r="J6" s="63">
        <v>1</v>
      </c>
      <c r="K6" s="62" t="s">
        <v>49</v>
      </c>
      <c r="L6" s="67"/>
      <c r="M6" s="65"/>
      <c r="N6" s="63"/>
      <c r="O6" s="10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51</v>
      </c>
      <c r="B7" s="88">
        <v>1</v>
      </c>
      <c r="C7" s="62" t="s">
        <v>49</v>
      </c>
      <c r="D7" s="63"/>
      <c r="E7" s="62"/>
      <c r="F7" s="88">
        <v>1</v>
      </c>
      <c r="G7" s="62" t="s">
        <v>49</v>
      </c>
      <c r="H7" s="63"/>
      <c r="I7" s="62"/>
      <c r="J7" s="63">
        <v>1</v>
      </c>
      <c r="K7" s="62" t="s">
        <v>49</v>
      </c>
      <c r="L7" s="67"/>
      <c r="M7" s="65"/>
      <c r="N7" s="63"/>
      <c r="O7" s="10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52</v>
      </c>
      <c r="B8" s="88">
        <v>1</v>
      </c>
      <c r="C8" s="62" t="s">
        <v>49</v>
      </c>
      <c r="D8" s="63"/>
      <c r="E8" s="62"/>
      <c r="F8" s="88">
        <v>1</v>
      </c>
      <c r="G8" s="62" t="s">
        <v>49</v>
      </c>
      <c r="H8" s="63"/>
      <c r="I8" s="62"/>
      <c r="J8" s="63">
        <v>1</v>
      </c>
      <c r="K8" s="62" t="s">
        <v>49</v>
      </c>
      <c r="L8" s="67"/>
      <c r="M8" s="65"/>
      <c r="N8" s="63"/>
      <c r="O8" s="10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27</v>
      </c>
      <c r="B9" s="88">
        <v>2</v>
      </c>
      <c r="C9" s="102" t="s">
        <v>50</v>
      </c>
      <c r="D9" s="63"/>
      <c r="E9" s="62"/>
      <c r="F9" s="88">
        <v>2</v>
      </c>
      <c r="G9" s="102" t="s">
        <v>50</v>
      </c>
      <c r="H9" s="63"/>
      <c r="I9" s="62"/>
      <c r="J9" s="63">
        <v>2</v>
      </c>
      <c r="K9" s="102" t="s">
        <v>50</v>
      </c>
      <c r="L9" s="67"/>
      <c r="M9" s="65"/>
      <c r="N9" s="63"/>
      <c r="O9" s="10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53</v>
      </c>
      <c r="B10" s="88">
        <v>2</v>
      </c>
      <c r="C10" s="102" t="s">
        <v>50</v>
      </c>
      <c r="D10" s="63"/>
      <c r="E10" s="102"/>
      <c r="F10" s="88">
        <v>1</v>
      </c>
      <c r="G10" s="62" t="s">
        <v>49</v>
      </c>
      <c r="H10" s="63"/>
      <c r="I10" s="62"/>
      <c r="J10" s="63">
        <v>1</v>
      </c>
      <c r="K10" s="62" t="s">
        <v>49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49</v>
      </c>
      <c r="D11" s="63"/>
      <c r="E11" s="62"/>
      <c r="F11" s="88">
        <v>1</v>
      </c>
      <c r="G11" s="62" t="s">
        <v>49</v>
      </c>
      <c r="H11" s="63"/>
      <c r="I11" s="62"/>
      <c r="J11" s="63">
        <v>1</v>
      </c>
      <c r="K11" s="62" t="s">
        <v>49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50</v>
      </c>
      <c r="D12" s="63"/>
      <c r="E12" s="62"/>
      <c r="F12" s="88">
        <v>1</v>
      </c>
      <c r="G12" s="62" t="s">
        <v>49</v>
      </c>
      <c r="H12" s="63"/>
      <c r="I12" s="68"/>
      <c r="J12" s="63">
        <v>2</v>
      </c>
      <c r="K12" s="102" t="s">
        <v>50</v>
      </c>
      <c r="L12" s="67"/>
      <c r="M12" s="65"/>
      <c r="N12" s="63"/>
      <c r="O12" s="10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54</v>
      </c>
      <c r="B13" s="88">
        <v>2</v>
      </c>
      <c r="C13" s="102" t="s">
        <v>50</v>
      </c>
      <c r="D13" s="63"/>
      <c r="E13" s="62"/>
      <c r="F13" s="88">
        <v>2</v>
      </c>
      <c r="G13" s="102" t="s">
        <v>50</v>
      </c>
      <c r="H13" s="63"/>
      <c r="I13" s="62"/>
      <c r="J13" s="63">
        <v>2</v>
      </c>
      <c r="K13" s="102" t="s">
        <v>50</v>
      </c>
      <c r="L13" s="67"/>
      <c r="M13" s="65"/>
      <c r="N13" s="63"/>
      <c r="O13" s="10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55</v>
      </c>
      <c r="B14" s="88">
        <v>2</v>
      </c>
      <c r="C14" s="102" t="s">
        <v>50</v>
      </c>
      <c r="D14" s="63"/>
      <c r="E14" s="102"/>
      <c r="F14" s="88">
        <v>1</v>
      </c>
      <c r="G14" s="62" t="s">
        <v>49</v>
      </c>
      <c r="H14" s="63"/>
      <c r="I14" s="62"/>
      <c r="J14" s="63">
        <v>1</v>
      </c>
      <c r="K14" s="62" t="s">
        <v>49</v>
      </c>
      <c r="L14" s="67"/>
      <c r="M14" s="65"/>
      <c r="N14" s="63"/>
      <c r="O14" s="10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56</v>
      </c>
      <c r="B15" s="88">
        <v>1</v>
      </c>
      <c r="C15" s="62" t="s">
        <v>49</v>
      </c>
      <c r="D15" s="63"/>
      <c r="E15" s="62"/>
      <c r="F15" s="88">
        <v>1</v>
      </c>
      <c r="G15" s="62" t="s">
        <v>49</v>
      </c>
      <c r="H15" s="63"/>
      <c r="I15" s="62"/>
      <c r="J15" s="63">
        <v>1</v>
      </c>
      <c r="K15" s="62" t="s">
        <v>49</v>
      </c>
      <c r="L15" s="67"/>
      <c r="M15" s="65"/>
      <c r="N15" s="63"/>
      <c r="O15" s="10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.75" customHeight="1">
      <c r="A16" s="46" t="s">
        <v>92</v>
      </c>
      <c r="B16" s="88">
        <v>1</v>
      </c>
      <c r="C16" s="62" t="s">
        <v>49</v>
      </c>
      <c r="D16" s="63"/>
      <c r="E16" s="62"/>
      <c r="F16" s="88">
        <v>1</v>
      </c>
      <c r="G16" s="62" t="s">
        <v>49</v>
      </c>
      <c r="H16" s="63"/>
      <c r="I16" s="68"/>
      <c r="J16" s="63">
        <v>1</v>
      </c>
      <c r="K16" s="62" t="s">
        <v>49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24</v>
      </c>
      <c r="B17" s="88">
        <v>2</v>
      </c>
      <c r="C17" s="102" t="s">
        <v>50</v>
      </c>
      <c r="D17" s="63"/>
      <c r="E17" s="102"/>
      <c r="F17" s="88">
        <v>1</v>
      </c>
      <c r="G17" s="62" t="s">
        <v>49</v>
      </c>
      <c r="H17" s="63"/>
      <c r="I17" s="68"/>
      <c r="J17" s="63">
        <v>1</v>
      </c>
      <c r="K17" s="62" t="s">
        <v>49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57</v>
      </c>
      <c r="B18" s="88">
        <v>2</v>
      </c>
      <c r="C18" s="102" t="s">
        <v>50</v>
      </c>
      <c r="D18" s="63"/>
      <c r="E18" s="62"/>
      <c r="F18" s="88">
        <v>1</v>
      </c>
      <c r="G18" s="62" t="s">
        <v>49</v>
      </c>
      <c r="H18" s="63"/>
      <c r="I18" s="62"/>
      <c r="J18" s="63">
        <v>1</v>
      </c>
      <c r="K18" s="62" t="s">
        <v>49</v>
      </c>
      <c r="L18" s="67"/>
      <c r="M18" s="65"/>
      <c r="N18" s="63"/>
      <c r="O18" s="10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93</v>
      </c>
      <c r="B19" s="88">
        <v>1</v>
      </c>
      <c r="C19" s="62" t="s">
        <v>49</v>
      </c>
      <c r="D19" s="63"/>
      <c r="E19" s="62"/>
      <c r="F19" s="88">
        <v>1</v>
      </c>
      <c r="G19" s="62" t="s">
        <v>49</v>
      </c>
      <c r="H19" s="63"/>
      <c r="I19" s="62"/>
      <c r="J19" s="63">
        <v>1</v>
      </c>
      <c r="K19" s="62" t="s">
        <v>49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85</v>
      </c>
      <c r="B20" s="88">
        <v>2</v>
      </c>
      <c r="C20" s="102" t="s">
        <v>50</v>
      </c>
      <c r="D20" s="63"/>
      <c r="E20" s="102"/>
      <c r="F20" s="88">
        <v>2</v>
      </c>
      <c r="G20" s="102" t="s">
        <v>50</v>
      </c>
      <c r="H20" s="63"/>
      <c r="I20" s="62"/>
      <c r="J20" s="63">
        <v>1</v>
      </c>
      <c r="K20" s="62" t="s">
        <v>49</v>
      </c>
      <c r="L20" s="67"/>
      <c r="M20" s="65"/>
      <c r="N20" s="63"/>
      <c r="O20" s="10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" customHeight="1">
      <c r="A21" s="46" t="s">
        <v>25</v>
      </c>
      <c r="B21" s="88">
        <v>2</v>
      </c>
      <c r="C21" s="102" t="s">
        <v>50</v>
      </c>
      <c r="D21" s="63"/>
      <c r="E21" s="62"/>
      <c r="F21" s="88">
        <v>2</v>
      </c>
      <c r="G21" s="102" t="s">
        <v>50</v>
      </c>
      <c r="H21" s="63"/>
      <c r="I21" s="68"/>
      <c r="J21" s="63">
        <v>2</v>
      </c>
      <c r="K21" s="102" t="s">
        <v>50</v>
      </c>
      <c r="L21" s="67"/>
      <c r="M21" s="65"/>
      <c r="N21" s="63"/>
      <c r="O21" s="102"/>
      <c r="P21" s="63"/>
      <c r="Q21" s="63"/>
      <c r="R21" s="102"/>
      <c r="S21" s="91"/>
      <c r="T21" s="150"/>
      <c r="U21" s="150"/>
      <c r="V21" s="150"/>
      <c r="W21" s="150"/>
      <c r="X21" s="150"/>
      <c r="Y21" s="150"/>
    </row>
    <row r="22" spans="1:28" ht="18.75" customHeight="1">
      <c r="A22" s="46" t="s">
        <v>107</v>
      </c>
      <c r="B22" s="88"/>
      <c r="C22" s="102"/>
      <c r="D22" s="63"/>
      <c r="E22" s="62"/>
      <c r="F22" s="88">
        <v>1</v>
      </c>
      <c r="G22" s="62" t="s">
        <v>49</v>
      </c>
      <c r="H22" s="63"/>
      <c r="I22" s="62"/>
      <c r="J22" s="63">
        <v>1</v>
      </c>
      <c r="K22" s="62" t="s">
        <v>49</v>
      </c>
      <c r="L22" s="64"/>
      <c r="M22" s="64"/>
      <c r="N22" s="63"/>
      <c r="O22" s="102"/>
      <c r="P22" s="63"/>
      <c r="Q22" s="63"/>
      <c r="R22" s="6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63</v>
      </c>
      <c r="B23" s="88">
        <v>2</v>
      </c>
      <c r="C23" s="102" t="s">
        <v>50</v>
      </c>
      <c r="D23" s="63"/>
      <c r="E23" s="102"/>
      <c r="F23" s="88">
        <v>1</v>
      </c>
      <c r="G23" s="62" t="s">
        <v>49</v>
      </c>
      <c r="H23" s="63"/>
      <c r="I23" s="68"/>
      <c r="J23" s="63">
        <v>2</v>
      </c>
      <c r="K23" s="102" t="s">
        <v>50</v>
      </c>
      <c r="L23" s="67"/>
      <c r="M23" s="65"/>
      <c r="N23" s="63"/>
      <c r="O23" s="102"/>
      <c r="P23" s="63"/>
      <c r="Q23" s="63"/>
      <c r="R23" s="10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84</v>
      </c>
      <c r="B24" s="88">
        <v>1</v>
      </c>
      <c r="C24" s="62" t="s">
        <v>49</v>
      </c>
      <c r="D24" s="63"/>
      <c r="E24" s="102"/>
      <c r="F24" s="88">
        <v>1</v>
      </c>
      <c r="G24" s="62" t="s">
        <v>49</v>
      </c>
      <c r="H24" s="63"/>
      <c r="I24" s="62"/>
      <c r="J24" s="63">
        <v>1</v>
      </c>
      <c r="K24" s="62" t="s">
        <v>49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58</v>
      </c>
      <c r="B25" s="88">
        <v>1</v>
      </c>
      <c r="C25" s="62" t="s">
        <v>49</v>
      </c>
      <c r="D25" s="63"/>
      <c r="E25" s="62"/>
      <c r="F25" s="88">
        <v>1</v>
      </c>
      <c r="G25" s="62" t="s">
        <v>49</v>
      </c>
      <c r="H25" s="63"/>
      <c r="I25" s="68"/>
      <c r="J25" s="63">
        <v>2</v>
      </c>
      <c r="K25" s="102" t="s">
        <v>50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9</v>
      </c>
      <c r="C26" s="96" t="s">
        <v>44</v>
      </c>
      <c r="D26" s="98"/>
      <c r="E26" s="96" t="s">
        <v>44</v>
      </c>
      <c r="F26" s="98">
        <v>17</v>
      </c>
      <c r="G26" s="96" t="s">
        <v>44</v>
      </c>
      <c r="H26" s="100"/>
      <c r="I26" s="101"/>
      <c r="J26" s="98">
        <v>15</v>
      </c>
      <c r="K26" s="95" t="s">
        <v>44</v>
      </c>
      <c r="L26" s="85"/>
      <c r="M26" s="94"/>
      <c r="N26" s="98"/>
      <c r="O26" s="96" t="s">
        <v>44</v>
      </c>
      <c r="P26" s="98"/>
      <c r="Q26" s="98"/>
      <c r="R26" s="97" t="s">
        <v>44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45</v>
      </c>
      <c r="D27" s="98"/>
      <c r="E27" s="96" t="s">
        <v>45</v>
      </c>
      <c r="F27" s="98">
        <v>4</v>
      </c>
      <c r="G27" s="96" t="s">
        <v>45</v>
      </c>
      <c r="H27" s="100"/>
      <c r="I27" s="96"/>
      <c r="J27" s="98">
        <v>6</v>
      </c>
      <c r="K27" s="95" t="s">
        <v>45</v>
      </c>
      <c r="L27" s="85"/>
      <c r="M27" s="94"/>
      <c r="N27" s="98"/>
      <c r="O27" s="96" t="s">
        <v>45</v>
      </c>
      <c r="P27" s="98"/>
      <c r="Q27" s="98"/>
      <c r="R27" s="95" t="s">
        <v>45</v>
      </c>
      <c r="S27" s="86"/>
      <c r="V27" s="12"/>
      <c r="W27" s="12"/>
      <c r="AB27" s="5" t="s">
        <v>61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35</v>
      </c>
      <c r="V31" s="12"/>
      <c r="W31" s="12"/>
    </row>
    <row r="32" spans="1:28" ht="18">
      <c r="A32" s="34" t="s">
        <v>57</v>
      </c>
      <c r="V32" s="12"/>
      <c r="W32" s="12"/>
    </row>
    <row r="33" spans="1:23" ht="18">
      <c r="A33" s="34" t="s">
        <v>62</v>
      </c>
      <c r="V33" s="12"/>
      <c r="W33" s="12"/>
    </row>
    <row r="34" spans="1:23" ht="18">
      <c r="A34" s="34" t="s">
        <v>24</v>
      </c>
      <c r="V34" s="12"/>
      <c r="W34" s="12"/>
    </row>
    <row r="35" spans="1:23" ht="18">
      <c r="A35" s="34" t="s">
        <v>53</v>
      </c>
      <c r="V35" s="12"/>
      <c r="W35" s="12"/>
    </row>
    <row r="36" spans="1:23" ht="18">
      <c r="A36" s="34" t="s">
        <v>107</v>
      </c>
      <c r="V36" s="32"/>
      <c r="W36" s="12"/>
    </row>
    <row r="37" spans="1:23" ht="18">
      <c r="A37" s="34" t="s">
        <v>63</v>
      </c>
      <c r="V37" s="12"/>
      <c r="W37" s="12"/>
    </row>
    <row r="38" spans="1:23" ht="18">
      <c r="A38" s="34" t="s">
        <v>23</v>
      </c>
      <c r="V38" s="12"/>
      <c r="W38" s="12"/>
    </row>
    <row r="39" spans="1:23" ht="18">
      <c r="A39" s="34" t="s">
        <v>55</v>
      </c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59</v>
      </c>
      <c r="V43" s="12"/>
      <c r="W43" s="12"/>
    </row>
    <row r="44" spans="1:23" ht="18">
      <c r="A44" s="34" t="s">
        <v>85</v>
      </c>
      <c r="V44" s="12"/>
      <c r="W44" s="12"/>
    </row>
    <row r="45" spans="1:23" ht="18">
      <c r="A45" s="34"/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34</v>
      </c>
      <c r="M54"/>
      <c r="W54" s="12"/>
    </row>
    <row r="55" spans="1:23" ht="18">
      <c r="A55" s="34" t="s">
        <v>63</v>
      </c>
    </row>
    <row r="56" spans="1:23" ht="18">
      <c r="A56" s="34" t="s">
        <v>58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U39"/>
  <sheetViews>
    <sheetView workbookViewId="0">
      <pane xSplit="1" topLeftCell="B1" activePane="topRight" state="frozen"/>
      <selection pane="topRight" activeCell="AU15" sqref="AU15"/>
    </sheetView>
  </sheetViews>
  <sheetFormatPr defaultColWidth="9.140625" defaultRowHeight="12.75"/>
  <cols>
    <col min="1" max="1" width="47.7109375" style="22" customWidth="1"/>
    <col min="2" max="15" width="23.7109375" style="22" customWidth="1"/>
    <col min="16" max="16" width="19" style="22" customWidth="1"/>
    <col min="17" max="17" width="26.28515625" style="22" customWidth="1"/>
    <col min="18" max="18" width="22.140625" style="22" customWidth="1"/>
    <col min="19" max="47" width="22.7109375" style="22" customWidth="1"/>
    <col min="48" max="16384" width="9.140625" style="22"/>
  </cols>
  <sheetData>
    <row r="1" spans="1:47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47" ht="15">
      <c r="A2" s="76" t="s">
        <v>108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47" ht="17.25" customHeight="1">
      <c r="A3" s="76" t="s">
        <v>109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47" ht="63" customHeight="1">
      <c r="A4" s="51" t="str">
        <f>'[1]MOÇÃO E REQUERIMENTO'!B7</f>
        <v>EXPEDIENTE</v>
      </c>
      <c r="B4" s="50" t="s">
        <v>43</v>
      </c>
      <c r="C4" s="117" t="s">
        <v>110</v>
      </c>
      <c r="D4" s="117" t="s">
        <v>111</v>
      </c>
      <c r="E4" s="117" t="s">
        <v>112</v>
      </c>
      <c r="F4" s="117" t="s">
        <v>113</v>
      </c>
      <c r="G4" s="117" t="s">
        <v>114</v>
      </c>
      <c r="H4" s="117" t="s">
        <v>115</v>
      </c>
      <c r="I4" s="117" t="s">
        <v>116</v>
      </c>
      <c r="J4" s="117" t="s">
        <v>117</v>
      </c>
      <c r="K4" s="117" t="s">
        <v>118</v>
      </c>
      <c r="L4" s="117" t="s">
        <v>119</v>
      </c>
      <c r="M4" s="117" t="s">
        <v>120</v>
      </c>
      <c r="N4" s="117" t="s">
        <v>121</v>
      </c>
      <c r="O4" s="117" t="s">
        <v>122</v>
      </c>
      <c r="P4" s="112" t="s">
        <v>33</v>
      </c>
      <c r="Q4" s="124"/>
      <c r="R4" s="50" t="s">
        <v>26</v>
      </c>
      <c r="S4" s="84" t="s">
        <v>98</v>
      </c>
      <c r="T4" s="84" t="s">
        <v>99</v>
      </c>
      <c r="U4" s="84" t="s">
        <v>123</v>
      </c>
      <c r="V4" s="84" t="s">
        <v>100</v>
      </c>
      <c r="W4" s="84" t="s">
        <v>124</v>
      </c>
      <c r="X4" s="84" t="s">
        <v>125</v>
      </c>
      <c r="Y4" s="84" t="s">
        <v>101</v>
      </c>
      <c r="Z4" s="84" t="s">
        <v>102</v>
      </c>
      <c r="AA4" s="84" t="s">
        <v>126</v>
      </c>
      <c r="AB4" s="84" t="s">
        <v>127</v>
      </c>
      <c r="AC4" s="84" t="s">
        <v>128</v>
      </c>
      <c r="AD4" s="84" t="s">
        <v>129</v>
      </c>
      <c r="AE4" s="84" t="s">
        <v>130</v>
      </c>
      <c r="AF4" s="84" t="s">
        <v>131</v>
      </c>
      <c r="AG4" s="84" t="s">
        <v>132</v>
      </c>
      <c r="AH4" s="84" t="s">
        <v>133</v>
      </c>
      <c r="AI4" s="84" t="s">
        <v>135</v>
      </c>
      <c r="AJ4" s="84" t="s">
        <v>136</v>
      </c>
      <c r="AK4" s="84" t="s">
        <v>137</v>
      </c>
      <c r="AL4" s="84" t="s">
        <v>138</v>
      </c>
      <c r="AM4" s="84" t="s">
        <v>139</v>
      </c>
      <c r="AN4" s="84" t="s">
        <v>140</v>
      </c>
      <c r="AO4" s="84" t="s">
        <v>141</v>
      </c>
      <c r="AP4" s="84" t="s">
        <v>142</v>
      </c>
      <c r="AQ4" s="84" t="s">
        <v>143</v>
      </c>
      <c r="AR4" s="84" t="s">
        <v>144</v>
      </c>
      <c r="AS4" s="84" t="s">
        <v>145</v>
      </c>
      <c r="AT4" s="84" t="s">
        <v>146</v>
      </c>
      <c r="AU4" s="84" t="s">
        <v>147</v>
      </c>
    </row>
    <row r="5" spans="1:47" s="59" customFormat="1" ht="48" customHeight="1">
      <c r="A5" s="57" t="s">
        <v>41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113"/>
      <c r="S5" s="113" t="s">
        <v>86</v>
      </c>
      <c r="T5" s="118" t="s">
        <v>87</v>
      </c>
      <c r="U5" s="118" t="s">
        <v>87</v>
      </c>
      <c r="V5" s="118" t="s">
        <v>87</v>
      </c>
      <c r="W5" s="113" t="s">
        <v>86</v>
      </c>
      <c r="X5" s="113" t="s">
        <v>86</v>
      </c>
      <c r="Y5" s="113" t="s">
        <v>86</v>
      </c>
      <c r="Z5" s="118" t="s">
        <v>87</v>
      </c>
      <c r="AA5" s="113" t="s">
        <v>86</v>
      </c>
      <c r="AB5" s="118" t="s">
        <v>87</v>
      </c>
      <c r="AC5" s="113" t="s">
        <v>86</v>
      </c>
      <c r="AD5" s="118" t="s">
        <v>87</v>
      </c>
      <c r="AE5" s="113" t="s">
        <v>86</v>
      </c>
      <c r="AF5" s="113" t="s">
        <v>86</v>
      </c>
      <c r="AG5" s="113" t="s">
        <v>86</v>
      </c>
      <c r="AH5" s="118" t="s">
        <v>134</v>
      </c>
      <c r="AI5" s="118" t="s">
        <v>134</v>
      </c>
      <c r="AJ5" s="118" t="s">
        <v>134</v>
      </c>
      <c r="AK5" s="118" t="s">
        <v>134</v>
      </c>
      <c r="AL5" s="118" t="s">
        <v>134</v>
      </c>
      <c r="AM5" s="118" t="s">
        <v>134</v>
      </c>
      <c r="AN5" s="118" t="s">
        <v>134</v>
      </c>
      <c r="AO5" s="118" t="s">
        <v>134</v>
      </c>
      <c r="AP5" s="118" t="s">
        <v>134</v>
      </c>
      <c r="AQ5" s="118" t="s">
        <v>134</v>
      </c>
      <c r="AR5" s="118" t="s">
        <v>134</v>
      </c>
      <c r="AS5" s="118" t="s">
        <v>134</v>
      </c>
      <c r="AT5" s="118" t="s">
        <v>134</v>
      </c>
      <c r="AU5" s="118" t="s">
        <v>134</v>
      </c>
    </row>
    <row r="6" spans="1:47" ht="15.75">
      <c r="A6" s="127" t="s">
        <v>48</v>
      </c>
      <c r="R6" s="23"/>
    </row>
    <row r="7" spans="1:47" ht="15.75">
      <c r="A7" s="127" t="s">
        <v>62</v>
      </c>
      <c r="R7" s="23"/>
    </row>
    <row r="8" spans="1:47" ht="15.75">
      <c r="A8" s="127" t="s">
        <v>51</v>
      </c>
      <c r="R8" s="23"/>
    </row>
    <row r="9" spans="1:47" ht="15.75">
      <c r="A9" s="128" t="s">
        <v>52</v>
      </c>
      <c r="R9" s="23"/>
    </row>
    <row r="10" spans="1:47" ht="15.75">
      <c r="A10" s="127" t="s">
        <v>27</v>
      </c>
      <c r="R10" s="23"/>
    </row>
    <row r="11" spans="1:47" ht="15.75">
      <c r="A11" s="127" t="s">
        <v>53</v>
      </c>
      <c r="R11" s="23"/>
    </row>
    <row r="12" spans="1:47" ht="15.75">
      <c r="A12" s="127" t="s">
        <v>22</v>
      </c>
      <c r="R12" s="23"/>
    </row>
    <row r="13" spans="1:47" ht="15.75">
      <c r="A13" s="127" t="s">
        <v>23</v>
      </c>
      <c r="R13" s="23"/>
    </row>
    <row r="14" spans="1:47" ht="15.75">
      <c r="A14" s="127" t="s">
        <v>54</v>
      </c>
      <c r="R14" s="23"/>
    </row>
    <row r="15" spans="1:47" ht="15.75">
      <c r="A15" s="127" t="s">
        <v>55</v>
      </c>
      <c r="R15" s="23"/>
    </row>
    <row r="16" spans="1:47" ht="15.75">
      <c r="A16" s="127" t="s">
        <v>56</v>
      </c>
      <c r="R16" s="23"/>
    </row>
    <row r="17" spans="1:18" ht="15.75">
      <c r="A17" s="127" t="s">
        <v>92</v>
      </c>
      <c r="R17" s="23"/>
    </row>
    <row r="18" spans="1:18" ht="15.75">
      <c r="A18" s="127" t="s">
        <v>24</v>
      </c>
      <c r="R18" s="23"/>
    </row>
    <row r="19" spans="1:18" ht="15.75">
      <c r="A19" s="127" t="s">
        <v>57</v>
      </c>
      <c r="R19" s="23"/>
    </row>
    <row r="20" spans="1:18" ht="15.75">
      <c r="A20" s="127" t="s">
        <v>93</v>
      </c>
      <c r="R20" s="23"/>
    </row>
    <row r="21" spans="1:18" ht="15.75">
      <c r="A21" s="127" t="s">
        <v>85</v>
      </c>
      <c r="R21" s="23"/>
    </row>
    <row r="22" spans="1:18" ht="15.75">
      <c r="A22" s="127" t="s">
        <v>25</v>
      </c>
      <c r="R22" s="23"/>
    </row>
    <row r="23" spans="1:18" ht="15.75">
      <c r="A23" s="127" t="s">
        <v>107</v>
      </c>
      <c r="R23" s="23"/>
    </row>
    <row r="24" spans="1:18" ht="15.75">
      <c r="A24" s="127" t="s">
        <v>63</v>
      </c>
      <c r="R24" s="23"/>
    </row>
    <row r="25" spans="1:18" ht="15.75">
      <c r="A25" s="127" t="s">
        <v>84</v>
      </c>
      <c r="R25" s="23"/>
    </row>
    <row r="26" spans="1:18" ht="15.75">
      <c r="A26" s="127" t="s">
        <v>58</v>
      </c>
      <c r="R26" s="23"/>
    </row>
    <row r="27" spans="1:18" s="25" customFormat="1">
      <c r="A27" s="24" t="s">
        <v>18</v>
      </c>
    </row>
    <row r="28" spans="1:18" s="27" customFormat="1">
      <c r="A28" s="26" t="s">
        <v>19</v>
      </c>
    </row>
    <row r="29" spans="1:18">
      <c r="A29" s="28" t="s">
        <v>11</v>
      </c>
    </row>
    <row r="30" spans="1:18" s="30" customFormat="1">
      <c r="A30" s="29" t="s">
        <v>20</v>
      </c>
    </row>
    <row r="32" spans="1:1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5" sqref="G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108</v>
      </c>
      <c r="B2" s="49"/>
      <c r="C2" s="74"/>
    </row>
    <row r="3" spans="1:45" ht="17.25" customHeight="1">
      <c r="A3" s="76" t="s">
        <v>109</v>
      </c>
      <c r="B3" s="49"/>
      <c r="C3" s="74"/>
      <c r="E3" s="116"/>
    </row>
    <row r="4" spans="1:45" ht="90.75" customHeight="1" thickBot="1">
      <c r="A4" s="52" t="s">
        <v>5</v>
      </c>
      <c r="B4" s="108" t="s">
        <v>30</v>
      </c>
      <c r="C4" s="141"/>
      <c r="D4" s="109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36</v>
      </c>
      <c r="B5" s="78"/>
      <c r="C5" s="113"/>
      <c r="D5" s="79"/>
      <c r="E5" s="145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48</v>
      </c>
      <c r="C6" s="107"/>
      <c r="E6" s="107"/>
      <c r="F6" s="143"/>
    </row>
    <row r="7" spans="1:45" ht="20.25">
      <c r="A7" s="46" t="s">
        <v>62</v>
      </c>
      <c r="C7" s="107"/>
      <c r="E7" s="107"/>
    </row>
    <row r="8" spans="1:45" ht="20.25">
      <c r="A8" s="46" t="s">
        <v>51</v>
      </c>
      <c r="C8" s="107"/>
      <c r="E8" s="107"/>
    </row>
    <row r="9" spans="1:45" ht="20.25">
      <c r="A9" s="82" t="s">
        <v>52</v>
      </c>
      <c r="C9" s="114"/>
      <c r="E9" s="114"/>
    </row>
    <row r="10" spans="1:45" ht="20.25">
      <c r="A10" s="46" t="s">
        <v>27</v>
      </c>
      <c r="C10" s="107"/>
      <c r="E10" s="107"/>
    </row>
    <row r="11" spans="1:45" ht="20.25">
      <c r="A11" s="46" t="s">
        <v>53</v>
      </c>
      <c r="C11" s="114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14"/>
    </row>
    <row r="14" spans="1:45" ht="20.25">
      <c r="A14" s="46" t="s">
        <v>54</v>
      </c>
      <c r="C14" s="114"/>
      <c r="E14" s="107"/>
    </row>
    <row r="15" spans="1:45" ht="20.25">
      <c r="A15" s="46" t="s">
        <v>55</v>
      </c>
      <c r="C15" s="107"/>
      <c r="E15" s="107"/>
    </row>
    <row r="16" spans="1:45" ht="20.25">
      <c r="A16" s="46" t="s">
        <v>56</v>
      </c>
      <c r="C16" s="144"/>
      <c r="E16" s="107"/>
    </row>
    <row r="17" spans="1:130" ht="20.25">
      <c r="A17" s="46" t="s">
        <v>92</v>
      </c>
      <c r="C17" s="107"/>
      <c r="E17" s="107"/>
    </row>
    <row r="18" spans="1:130" ht="20.25">
      <c r="A18" s="46" t="s">
        <v>24</v>
      </c>
      <c r="C18" s="107"/>
      <c r="E18" s="114"/>
    </row>
    <row r="19" spans="1:130" ht="20.25">
      <c r="A19" s="46" t="s">
        <v>57</v>
      </c>
      <c r="C19" s="114"/>
      <c r="E19" s="114"/>
    </row>
    <row r="20" spans="1:130" ht="20.25">
      <c r="A20" s="46" t="s">
        <v>93</v>
      </c>
      <c r="C20" s="107"/>
      <c r="E20" s="107"/>
    </row>
    <row r="21" spans="1:130" ht="20.25">
      <c r="A21" s="46" t="s">
        <v>85</v>
      </c>
      <c r="C21" s="114"/>
      <c r="E21" s="107"/>
    </row>
    <row r="22" spans="1:130" ht="20.25">
      <c r="A22" s="46" t="s">
        <v>25</v>
      </c>
      <c r="C22" s="107"/>
      <c r="E22" s="107"/>
    </row>
    <row r="23" spans="1:130" ht="20.25">
      <c r="A23" s="46" t="s">
        <v>107</v>
      </c>
      <c r="C23" s="107"/>
      <c r="E23" s="114"/>
    </row>
    <row r="24" spans="1:130" ht="20.25">
      <c r="A24" s="46" t="s">
        <v>63</v>
      </c>
      <c r="C24" s="107"/>
      <c r="E24" s="107"/>
    </row>
    <row r="25" spans="1:130" ht="20.25">
      <c r="A25" s="46" t="s">
        <v>84</v>
      </c>
      <c r="C25" s="107"/>
      <c r="E25" s="107"/>
    </row>
    <row r="26" spans="1:130" ht="20.25">
      <c r="A26" s="46" t="s">
        <v>58</v>
      </c>
      <c r="C26" s="144"/>
      <c r="E26" s="107"/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0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E26" sqref="E26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20" t="s">
        <v>5</v>
      </c>
      <c r="B4" s="119" t="s">
        <v>7</v>
      </c>
      <c r="C4" s="139" t="s">
        <v>103</v>
      </c>
      <c r="D4" s="139" t="s">
        <v>148</v>
      </c>
      <c r="E4" s="139" t="s">
        <v>149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18" t="s">
        <v>104</v>
      </c>
      <c r="D5" s="118" t="s">
        <v>104</v>
      </c>
      <c r="E5" s="113" t="s">
        <v>90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9" t="s">
        <v>48</v>
      </c>
      <c r="C6" s="107"/>
      <c r="D6" s="107"/>
      <c r="E6" s="107" t="s">
        <v>91</v>
      </c>
      <c r="W6" s="7"/>
      <c r="X6" s="7"/>
    </row>
    <row r="7" spans="1:31" ht="18">
      <c r="A7" s="129" t="s">
        <v>62</v>
      </c>
      <c r="C7" s="107"/>
      <c r="D7" s="107"/>
      <c r="E7" s="107" t="s">
        <v>91</v>
      </c>
      <c r="W7" s="7"/>
      <c r="X7" s="7"/>
    </row>
    <row r="8" spans="1:31" ht="18">
      <c r="A8" s="129" t="s">
        <v>51</v>
      </c>
      <c r="C8" s="107"/>
      <c r="D8" s="107"/>
      <c r="E8" s="107" t="s">
        <v>91</v>
      </c>
      <c r="W8" s="7"/>
      <c r="X8" s="7"/>
    </row>
    <row r="9" spans="1:31" ht="18">
      <c r="A9" s="130" t="s">
        <v>52</v>
      </c>
      <c r="C9" s="114"/>
      <c r="D9" s="114"/>
      <c r="E9" s="114" t="s">
        <v>150</v>
      </c>
      <c r="W9" s="7"/>
      <c r="X9" s="7"/>
    </row>
    <row r="10" spans="1:31" ht="18">
      <c r="A10" s="129" t="s">
        <v>27</v>
      </c>
      <c r="C10" s="107"/>
      <c r="D10" s="107"/>
      <c r="E10" s="114" t="s">
        <v>50</v>
      </c>
      <c r="W10" s="7"/>
      <c r="X10" s="7"/>
    </row>
    <row r="11" spans="1:31" ht="18">
      <c r="A11" s="129" t="s">
        <v>53</v>
      </c>
      <c r="C11" s="114"/>
      <c r="D11" s="114"/>
      <c r="E11" s="107" t="s">
        <v>91</v>
      </c>
      <c r="W11" s="7"/>
      <c r="X11" s="7"/>
    </row>
    <row r="12" spans="1:31" ht="18">
      <c r="A12" s="129" t="s">
        <v>22</v>
      </c>
      <c r="C12" s="107"/>
      <c r="D12" s="107"/>
      <c r="E12" s="107" t="s">
        <v>91</v>
      </c>
      <c r="W12" s="7"/>
      <c r="X12" s="7"/>
    </row>
    <row r="13" spans="1:31" ht="18">
      <c r="A13" s="129" t="s">
        <v>23</v>
      </c>
      <c r="C13" s="114"/>
      <c r="D13" s="114"/>
      <c r="E13" s="114" t="s">
        <v>50</v>
      </c>
      <c r="W13" s="7"/>
      <c r="X13" s="7"/>
    </row>
    <row r="14" spans="1:31" ht="18">
      <c r="A14" s="129" t="s">
        <v>54</v>
      </c>
      <c r="C14" s="114"/>
      <c r="D14" s="114"/>
      <c r="E14" s="114" t="s">
        <v>50</v>
      </c>
      <c r="W14" s="7"/>
      <c r="X14" s="7"/>
    </row>
    <row r="15" spans="1:31" ht="18">
      <c r="A15" s="129" t="s">
        <v>55</v>
      </c>
      <c r="C15" s="107"/>
      <c r="D15" s="107"/>
      <c r="E15" s="107" t="s">
        <v>91</v>
      </c>
      <c r="W15" s="7"/>
      <c r="X15" s="7"/>
    </row>
    <row r="16" spans="1:31" ht="18">
      <c r="A16" s="129" t="s">
        <v>56</v>
      </c>
      <c r="C16" s="107"/>
      <c r="D16" s="107"/>
      <c r="E16" s="107" t="s">
        <v>91</v>
      </c>
      <c r="W16" s="7"/>
      <c r="X16" s="7"/>
    </row>
    <row r="17" spans="1:125" ht="18">
      <c r="A17" s="129" t="s">
        <v>92</v>
      </c>
      <c r="C17" s="107"/>
      <c r="D17" s="107"/>
      <c r="E17" s="107" t="s">
        <v>91</v>
      </c>
      <c r="W17" s="7"/>
      <c r="X17" s="7"/>
    </row>
    <row r="18" spans="1:125" ht="15" customHeight="1">
      <c r="A18" s="129" t="s">
        <v>24</v>
      </c>
      <c r="C18" s="107"/>
      <c r="D18" s="107"/>
      <c r="E18" s="107" t="s">
        <v>91</v>
      </c>
      <c r="V18" s="8"/>
      <c r="W18" s="7"/>
      <c r="X18" s="7"/>
    </row>
    <row r="19" spans="1:125" ht="18">
      <c r="A19" s="129" t="s">
        <v>57</v>
      </c>
      <c r="C19" s="107"/>
      <c r="D19" s="107"/>
      <c r="E19" s="107" t="s">
        <v>91</v>
      </c>
      <c r="W19" s="7"/>
      <c r="X19" s="7"/>
    </row>
    <row r="20" spans="1:125" ht="18">
      <c r="A20" s="129" t="s">
        <v>93</v>
      </c>
      <c r="C20" s="107"/>
      <c r="D20" s="107"/>
      <c r="E20" s="107" t="s">
        <v>91</v>
      </c>
      <c r="W20" s="7"/>
      <c r="X20" s="7"/>
    </row>
    <row r="21" spans="1:125" ht="18">
      <c r="A21" s="129" t="s">
        <v>85</v>
      </c>
      <c r="C21" s="114"/>
      <c r="D21" s="114"/>
      <c r="E21" s="107" t="s">
        <v>91</v>
      </c>
      <c r="W21" s="7"/>
      <c r="X21" s="7"/>
    </row>
    <row r="22" spans="1:125" ht="18">
      <c r="A22" s="129" t="s">
        <v>25</v>
      </c>
      <c r="C22" s="107"/>
      <c r="D22" s="107"/>
      <c r="E22" s="114" t="s">
        <v>50</v>
      </c>
      <c r="W22" s="7"/>
      <c r="X22" s="7"/>
    </row>
    <row r="23" spans="1:125" ht="18">
      <c r="A23" s="129" t="s">
        <v>107</v>
      </c>
      <c r="C23" s="114"/>
      <c r="D23" s="114"/>
      <c r="E23" s="107" t="s">
        <v>91</v>
      </c>
      <c r="W23" s="7"/>
      <c r="X23" s="7"/>
    </row>
    <row r="24" spans="1:125" ht="18">
      <c r="A24" s="129" t="s">
        <v>63</v>
      </c>
      <c r="C24" s="107"/>
      <c r="D24" s="107"/>
      <c r="E24" s="107" t="s">
        <v>91</v>
      </c>
      <c r="W24" s="7"/>
      <c r="X24" s="7"/>
    </row>
    <row r="25" spans="1:125" ht="18">
      <c r="A25" s="129" t="s">
        <v>84</v>
      </c>
      <c r="C25" s="107"/>
      <c r="D25" s="107"/>
      <c r="E25" s="107" t="s">
        <v>91</v>
      </c>
      <c r="W25" s="7"/>
      <c r="X25" s="7"/>
    </row>
    <row r="26" spans="1:125" ht="18">
      <c r="A26" s="129" t="s">
        <v>58</v>
      </c>
      <c r="C26" s="107"/>
      <c r="D26" s="107"/>
      <c r="E26" s="107" t="s">
        <v>91</v>
      </c>
      <c r="W26" s="7"/>
      <c r="X26" s="7"/>
    </row>
    <row r="27" spans="1:125" s="16" customFormat="1" ht="15.75">
      <c r="A27" s="15" t="s">
        <v>18</v>
      </c>
      <c r="B27" s="16">
        <f>COUNTIF(B6:B26,"sim")</f>
        <v>0</v>
      </c>
      <c r="C27" s="103"/>
      <c r="D27" s="103"/>
      <c r="E27" s="103">
        <f t="shared" ref="E27" si="0">COUNTIF(E6:E26,"sim")</f>
        <v>16</v>
      </c>
      <c r="L27" s="16">
        <f t="shared" ref="L27:AQ27" si="1">COUNTIF(L6:L26,"sim")</f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si="1"/>
        <v>0</v>
      </c>
      <c r="AR27" s="16">
        <f t="shared" ref="AR27:BW27" si="2">COUNTIF(AR6:AR26,"sim")</f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si="2"/>
        <v>0</v>
      </c>
      <c r="BX27" s="16">
        <f t="shared" ref="BX27:DC27" si="3">COUNTIF(BX6:BX26,"sim")</f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si="3"/>
        <v>0</v>
      </c>
      <c r="DD27" s="16">
        <f t="shared" ref="DD27:DU27" si="4">COUNTIF(DD6:DD26,"sim")</f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  <c r="DU27" s="16">
        <f t="shared" si="4"/>
        <v>0</v>
      </c>
    </row>
    <row r="28" spans="1:125" s="18" customFormat="1" ht="15.75">
      <c r="A28" s="17" t="s">
        <v>19</v>
      </c>
      <c r="B28" s="18">
        <f>COUNTIF(B6:B26,"não")</f>
        <v>0</v>
      </c>
      <c r="C28" s="104"/>
      <c r="D28" s="104"/>
      <c r="E28" s="104">
        <f t="shared" ref="E28" si="5">COUNTIF(E6:E26,"não")</f>
        <v>0</v>
      </c>
      <c r="L28" s="18">
        <f t="shared" ref="L28:AQ28" si="6">COUNTIF(L6:L27,"não")</f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si="6"/>
        <v>0</v>
      </c>
      <c r="AR28" s="18">
        <f t="shared" ref="AR28:BW28" si="7">COUNTIF(AR6:AR27,"não")</f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si="7"/>
        <v>0</v>
      </c>
      <c r="BX28" s="18">
        <f t="shared" ref="BX28:DC28" si="8">COUNTIF(BX6:BX27,"não")</f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si="8"/>
        <v>0</v>
      </c>
      <c r="DD28" s="18">
        <f t="shared" ref="DD28:DU28" si="9">COUNTIF(DD6:DD27,"não")</f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  <c r="DU28" s="18">
        <f t="shared" si="9"/>
        <v>0</v>
      </c>
    </row>
    <row r="29" spans="1:125" ht="15.75">
      <c r="A29" s="14" t="s">
        <v>11</v>
      </c>
      <c r="B29">
        <f>COUNTIF(B6:B26,"ausente")</f>
        <v>0</v>
      </c>
      <c r="C29" s="40"/>
      <c r="D29" s="40"/>
      <c r="E29" s="40">
        <f t="shared" ref="E29" si="10">COUNTIF(E6:E26,"ausente")</f>
        <v>4</v>
      </c>
      <c r="L29">
        <f t="shared" ref="L29:AQ29" si="11">COUNTIF(L6:L28,"ausente")</f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ref="AR29:BW29" si="12">COUNTIF(AR6:AR28,"ausente")</f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ref="BX29:DC29" si="13">COUNTIF(BX6:BX28,"ausente")</f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ref="DD29:DU29" si="14">COUNTIF(DD6:DD28,"ausente")</f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</row>
    <row r="30" spans="1:125" s="20" customFormat="1" ht="15.75">
      <c r="A30" s="19" t="s">
        <v>20</v>
      </c>
      <c r="B30" s="20">
        <f>COUNTIF(B6:B26,"abstenção")</f>
        <v>0</v>
      </c>
      <c r="C30" s="105"/>
      <c r="D30" s="105"/>
      <c r="E30" s="105">
        <f t="shared" ref="E30" si="15">COUNTIF(E6:E26,"abstenção")</f>
        <v>0</v>
      </c>
      <c r="L30" s="20">
        <f t="shared" ref="L30:AQ30" si="16">COUNTIF(L10:L29,"abstenção")</f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si="16"/>
        <v>0</v>
      </c>
      <c r="AR30" s="20">
        <f t="shared" ref="AR30:BW30" si="17">COUNTIF(AR10:AR29,"abstenção")</f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si="17"/>
        <v>0</v>
      </c>
      <c r="BX30" s="20">
        <f t="shared" ref="BX30:DC30" si="18">COUNTIF(BX10:BX29,"abstenção")</f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ref="DD30:DU30" si="19">COUNTIF(DD10:DD29,"abstenção")</f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  <c r="DU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E15" sqref="E15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108</v>
      </c>
      <c r="B2" s="2"/>
    </row>
    <row r="3" spans="1:5" ht="15.75" thickBot="1">
      <c r="A3" s="121" t="s">
        <v>109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105</v>
      </c>
      <c r="D4" s="139" t="s">
        <v>106</v>
      </c>
      <c r="E4" s="139" t="s">
        <v>151</v>
      </c>
    </row>
    <row r="5" spans="1:5" s="6" customFormat="1" ht="60.75" customHeight="1">
      <c r="A5" s="122"/>
      <c r="B5" s="111"/>
      <c r="C5" s="113" t="s">
        <v>90</v>
      </c>
      <c r="D5" s="113" t="s">
        <v>90</v>
      </c>
      <c r="E5" s="118" t="s">
        <v>104</v>
      </c>
    </row>
    <row r="6" spans="1:5" ht="15.75">
      <c r="A6" s="127" t="s">
        <v>48</v>
      </c>
      <c r="C6" s="107" t="s">
        <v>91</v>
      </c>
      <c r="D6" s="107" t="s">
        <v>91</v>
      </c>
      <c r="E6" s="107"/>
    </row>
    <row r="7" spans="1:5" ht="15.75">
      <c r="A7" s="127" t="s">
        <v>62</v>
      </c>
      <c r="C7" s="107" t="s">
        <v>91</v>
      </c>
      <c r="D7" s="107" t="s">
        <v>91</v>
      </c>
      <c r="E7" s="107"/>
    </row>
    <row r="8" spans="1:5" ht="15.75">
      <c r="A8" s="127" t="s">
        <v>51</v>
      </c>
      <c r="C8" s="107" t="s">
        <v>91</v>
      </c>
      <c r="D8" s="107" t="s">
        <v>91</v>
      </c>
      <c r="E8" s="107"/>
    </row>
    <row r="9" spans="1:5" ht="15.75">
      <c r="A9" s="128" t="s">
        <v>52</v>
      </c>
      <c r="C9" s="107" t="s">
        <v>91</v>
      </c>
      <c r="D9" s="107" t="s">
        <v>91</v>
      </c>
      <c r="E9" s="107"/>
    </row>
    <row r="10" spans="1:5" ht="15.75">
      <c r="A10" s="127" t="s">
        <v>27</v>
      </c>
      <c r="C10" s="114" t="s">
        <v>50</v>
      </c>
      <c r="D10" s="114" t="s">
        <v>50</v>
      </c>
      <c r="E10" s="114"/>
    </row>
    <row r="11" spans="1:5" ht="15.75">
      <c r="A11" s="127" t="s">
        <v>53</v>
      </c>
      <c r="C11" s="107" t="s">
        <v>91</v>
      </c>
      <c r="D11" s="107" t="s">
        <v>91</v>
      </c>
      <c r="E11" s="107"/>
    </row>
    <row r="12" spans="1:5" ht="15.75">
      <c r="A12" s="127" t="s">
        <v>22</v>
      </c>
      <c r="C12" s="107" t="s">
        <v>91</v>
      </c>
      <c r="D12" s="107" t="s">
        <v>91</v>
      </c>
      <c r="E12" s="107"/>
    </row>
    <row r="13" spans="1:5" ht="15.75">
      <c r="A13" s="127" t="s">
        <v>23</v>
      </c>
      <c r="C13" s="114" t="s">
        <v>50</v>
      </c>
      <c r="D13" s="114" t="s">
        <v>50</v>
      </c>
      <c r="E13" s="107"/>
    </row>
    <row r="14" spans="1:5" ht="15.75">
      <c r="A14" s="127" t="s">
        <v>54</v>
      </c>
      <c r="C14" s="114" t="s">
        <v>50</v>
      </c>
      <c r="D14" s="114" t="s">
        <v>50</v>
      </c>
      <c r="E14" s="114"/>
    </row>
    <row r="15" spans="1:5" ht="15.75">
      <c r="A15" s="127" t="s">
        <v>55</v>
      </c>
      <c r="B15" s="138"/>
      <c r="C15" s="107" t="s">
        <v>91</v>
      </c>
      <c r="D15" s="107" t="s">
        <v>91</v>
      </c>
      <c r="E15" s="107"/>
    </row>
    <row r="16" spans="1:5" ht="15.75">
      <c r="A16" s="127" t="s">
        <v>56</v>
      </c>
      <c r="C16" s="107" t="s">
        <v>91</v>
      </c>
      <c r="D16" s="107" t="s">
        <v>91</v>
      </c>
      <c r="E16" s="114"/>
    </row>
    <row r="17" spans="1:5" ht="15.75">
      <c r="A17" s="127" t="s">
        <v>92</v>
      </c>
      <c r="C17" s="107" t="s">
        <v>91</v>
      </c>
      <c r="D17" s="107" t="s">
        <v>91</v>
      </c>
      <c r="E17" s="107"/>
    </row>
    <row r="18" spans="1:5" ht="15.75">
      <c r="A18" s="127" t="s">
        <v>24</v>
      </c>
      <c r="C18" s="107" t="s">
        <v>91</v>
      </c>
      <c r="D18" s="107" t="s">
        <v>91</v>
      </c>
      <c r="E18" s="114"/>
    </row>
    <row r="19" spans="1:5" ht="15.75">
      <c r="A19" s="127" t="s">
        <v>57</v>
      </c>
      <c r="C19" s="107" t="s">
        <v>91</v>
      </c>
      <c r="D19" s="107" t="s">
        <v>91</v>
      </c>
      <c r="E19" s="107"/>
    </row>
    <row r="20" spans="1:5" ht="15.75">
      <c r="A20" s="127" t="s">
        <v>93</v>
      </c>
      <c r="C20" s="107" t="s">
        <v>91</v>
      </c>
      <c r="D20" s="107" t="s">
        <v>91</v>
      </c>
      <c r="E20" s="107"/>
    </row>
    <row r="21" spans="1:5" ht="15.75">
      <c r="A21" s="127" t="s">
        <v>85</v>
      </c>
      <c r="C21" s="107" t="s">
        <v>91</v>
      </c>
      <c r="D21" s="107" t="s">
        <v>91</v>
      </c>
      <c r="E21" s="114"/>
    </row>
    <row r="22" spans="1:5" ht="15.75">
      <c r="A22" s="127" t="s">
        <v>25</v>
      </c>
      <c r="C22" s="114" t="s">
        <v>50</v>
      </c>
      <c r="D22" s="114" t="s">
        <v>50</v>
      </c>
      <c r="E22" s="114"/>
    </row>
    <row r="23" spans="1:5" ht="15.75">
      <c r="A23" s="127" t="s">
        <v>107</v>
      </c>
      <c r="C23" s="107" t="s">
        <v>91</v>
      </c>
      <c r="D23" s="107" t="s">
        <v>91</v>
      </c>
      <c r="E23" s="107"/>
    </row>
    <row r="24" spans="1:5" ht="15.75">
      <c r="A24" s="127" t="s">
        <v>63</v>
      </c>
      <c r="C24" s="107" t="s">
        <v>91</v>
      </c>
      <c r="D24" s="107" t="s">
        <v>91</v>
      </c>
      <c r="E24" s="107"/>
    </row>
    <row r="25" spans="1:5" ht="15.75">
      <c r="A25" s="127" t="s">
        <v>84</v>
      </c>
      <c r="C25" s="107" t="s">
        <v>91</v>
      </c>
      <c r="D25" s="107" t="s">
        <v>91</v>
      </c>
      <c r="E25" s="107"/>
    </row>
    <row r="26" spans="1:5" ht="15.75">
      <c r="A26" s="127" t="s">
        <v>58</v>
      </c>
      <c r="C26" s="107" t="s">
        <v>91</v>
      </c>
      <c r="D26" s="107" t="s">
        <v>91</v>
      </c>
      <c r="E26" s="107"/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E28" si="0">COUNTIF(C6:C26,"sim")</f>
        <v>17</v>
      </c>
      <c r="D28" s="103">
        <f t="shared" si="0"/>
        <v>17</v>
      </c>
      <c r="E28" s="103">
        <f t="shared" si="0"/>
        <v>0</v>
      </c>
    </row>
    <row r="29" spans="1:5" ht="15.75">
      <c r="A29" s="17" t="s">
        <v>19</v>
      </c>
      <c r="B29" s="18">
        <f>COUNTIF(B6:B26,"não")</f>
        <v>0</v>
      </c>
      <c r="C29" s="104">
        <f t="shared" ref="C29:E29" si="1">COUNTIF(C6:C26,"não")</f>
        <v>0</v>
      </c>
      <c r="D29" s="104">
        <f t="shared" si="1"/>
        <v>0</v>
      </c>
      <c r="E29" s="104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4</v>
      </c>
      <c r="D30" s="40">
        <f t="shared" si="2"/>
        <v>4</v>
      </c>
      <c r="E30" s="40">
        <f t="shared" si="2"/>
        <v>0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0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108</v>
      </c>
      <c r="B2" s="2"/>
      <c r="C2" s="54"/>
      <c r="D2" s="54"/>
      <c r="E2" s="54"/>
    </row>
    <row r="3" spans="1:9" ht="15.75" thickBot="1">
      <c r="A3" s="121" t="s">
        <v>109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31</v>
      </c>
      <c r="C4" s="131" t="s">
        <v>39</v>
      </c>
      <c r="D4" s="131" t="s">
        <v>38</v>
      </c>
      <c r="E4" s="131" t="s">
        <v>40</v>
      </c>
      <c r="F4" s="142" t="s">
        <v>94</v>
      </c>
      <c r="G4" s="142" t="s">
        <v>95</v>
      </c>
      <c r="H4" s="142" t="s">
        <v>96</v>
      </c>
      <c r="I4" s="142" t="s">
        <v>97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5.75">
      <c r="A6" s="127" t="s">
        <v>48</v>
      </c>
      <c r="C6" s="133"/>
      <c r="D6" s="133"/>
      <c r="E6" s="133"/>
      <c r="F6" s="40"/>
      <c r="G6" s="40"/>
      <c r="H6" s="40"/>
      <c r="I6" s="40"/>
    </row>
    <row r="7" spans="1:9" ht="15.75">
      <c r="A7" s="127" t="s">
        <v>62</v>
      </c>
      <c r="C7" s="133"/>
      <c r="D7" s="133"/>
      <c r="E7" s="133"/>
      <c r="F7" s="40"/>
      <c r="G7" s="40"/>
      <c r="H7" s="40"/>
      <c r="I7" s="40"/>
    </row>
    <row r="8" spans="1:9" ht="15.75">
      <c r="A8" s="127" t="s">
        <v>51</v>
      </c>
      <c r="C8" s="133"/>
      <c r="D8" s="133"/>
      <c r="E8" s="133"/>
      <c r="F8" s="40"/>
      <c r="G8" s="40"/>
      <c r="H8" s="40"/>
      <c r="I8" s="40"/>
    </row>
    <row r="9" spans="1:9" ht="15.75">
      <c r="A9" s="128" t="s">
        <v>52</v>
      </c>
      <c r="C9" s="133"/>
      <c r="D9" s="133"/>
      <c r="E9" s="133"/>
      <c r="F9" s="40"/>
      <c r="G9" s="40"/>
      <c r="H9" s="40"/>
      <c r="I9" s="40"/>
    </row>
    <row r="10" spans="1:9" ht="15.75">
      <c r="A10" s="127" t="s">
        <v>27</v>
      </c>
      <c r="C10" s="133"/>
      <c r="D10" s="133"/>
      <c r="E10" s="133"/>
      <c r="F10" s="40"/>
      <c r="G10" s="40"/>
      <c r="H10" s="40"/>
      <c r="I10" s="40"/>
    </row>
    <row r="11" spans="1:9" ht="15.75">
      <c r="A11" s="127" t="s">
        <v>53</v>
      </c>
      <c r="C11" s="133"/>
      <c r="D11" s="133"/>
      <c r="E11" s="133"/>
      <c r="F11" s="40"/>
      <c r="G11" s="40"/>
      <c r="H11" s="40"/>
      <c r="I11" s="40"/>
    </row>
    <row r="12" spans="1:9" ht="15.75">
      <c r="A12" s="127" t="s">
        <v>22</v>
      </c>
      <c r="C12" s="133"/>
      <c r="D12" s="133"/>
      <c r="E12" s="133"/>
      <c r="F12" s="40"/>
      <c r="G12" s="40"/>
      <c r="H12" s="40"/>
      <c r="I12" s="40"/>
    </row>
    <row r="13" spans="1:9" ht="15.75">
      <c r="A13" s="127" t="s">
        <v>23</v>
      </c>
      <c r="C13" s="133"/>
      <c r="D13" s="133"/>
      <c r="E13" s="133"/>
      <c r="F13" s="40"/>
      <c r="G13" s="40"/>
      <c r="H13" s="40"/>
      <c r="I13" s="40"/>
    </row>
    <row r="14" spans="1:9" ht="15.75">
      <c r="A14" s="127" t="s">
        <v>54</v>
      </c>
      <c r="C14" s="133"/>
      <c r="D14" s="133"/>
      <c r="E14" s="133"/>
      <c r="F14" s="40"/>
      <c r="G14" s="40"/>
      <c r="H14" s="40"/>
      <c r="I14" s="40"/>
    </row>
    <row r="15" spans="1:9" ht="15.75">
      <c r="A15" s="127" t="s">
        <v>55</v>
      </c>
      <c r="C15" s="133"/>
      <c r="D15" s="133"/>
      <c r="E15" s="133"/>
      <c r="F15" s="40"/>
      <c r="G15" s="40"/>
      <c r="H15" s="40"/>
      <c r="I15" s="40"/>
    </row>
    <row r="16" spans="1:9" ht="15.75">
      <c r="A16" s="127" t="s">
        <v>56</v>
      </c>
      <c r="C16" s="133"/>
      <c r="D16" s="133"/>
      <c r="E16" s="133"/>
      <c r="F16" s="40"/>
      <c r="G16" s="40"/>
      <c r="H16" s="40"/>
      <c r="I16" s="40"/>
    </row>
    <row r="17" spans="1:9" ht="15.75">
      <c r="A17" s="127" t="s">
        <v>92</v>
      </c>
      <c r="C17" s="133"/>
      <c r="D17" s="133"/>
      <c r="E17" s="133"/>
      <c r="F17" s="40"/>
      <c r="G17" s="40"/>
      <c r="H17" s="40"/>
      <c r="I17" s="40"/>
    </row>
    <row r="18" spans="1:9" ht="15.75">
      <c r="A18" s="127" t="s">
        <v>24</v>
      </c>
      <c r="C18" s="133"/>
      <c r="D18" s="133"/>
      <c r="E18" s="133"/>
      <c r="F18" s="40"/>
      <c r="G18" s="40"/>
      <c r="H18" s="40"/>
      <c r="I18" s="40"/>
    </row>
    <row r="19" spans="1:9" ht="15.75">
      <c r="A19" s="127" t="s">
        <v>57</v>
      </c>
      <c r="C19" s="133"/>
      <c r="D19" s="133"/>
      <c r="E19" s="133"/>
      <c r="F19" s="40"/>
      <c r="G19" s="40"/>
      <c r="H19" s="40"/>
      <c r="I19" s="40"/>
    </row>
    <row r="20" spans="1:9" ht="15.75">
      <c r="A20" s="127" t="s">
        <v>93</v>
      </c>
      <c r="C20" s="133"/>
      <c r="D20" s="133"/>
      <c r="E20" s="133"/>
      <c r="F20" s="40"/>
      <c r="G20" s="40"/>
      <c r="H20" s="40"/>
      <c r="I20" s="40"/>
    </row>
    <row r="21" spans="1:9" ht="15.75">
      <c r="A21" s="127" t="s">
        <v>85</v>
      </c>
      <c r="C21" s="133"/>
      <c r="D21" s="133"/>
      <c r="E21" s="133"/>
      <c r="F21" s="40"/>
      <c r="G21" s="40"/>
      <c r="H21" s="40"/>
      <c r="I21" s="40"/>
    </row>
    <row r="22" spans="1:9" ht="15.75">
      <c r="A22" s="127" t="s">
        <v>25</v>
      </c>
      <c r="C22" s="133"/>
      <c r="D22" s="133"/>
      <c r="E22" s="133"/>
      <c r="F22" s="40"/>
      <c r="G22" s="40"/>
      <c r="H22" s="40"/>
      <c r="I22" s="40"/>
    </row>
    <row r="23" spans="1:9" ht="15.75">
      <c r="A23" s="127" t="s">
        <v>107</v>
      </c>
      <c r="C23" s="133"/>
      <c r="D23" s="133"/>
      <c r="E23" s="133"/>
      <c r="F23" s="40"/>
      <c r="G23" s="40"/>
      <c r="H23" s="40"/>
      <c r="I23" s="40"/>
    </row>
    <row r="24" spans="1:9" ht="15.75">
      <c r="A24" s="127" t="s">
        <v>63</v>
      </c>
      <c r="C24" s="133"/>
      <c r="D24" s="133"/>
      <c r="E24" s="133"/>
      <c r="F24" s="40"/>
      <c r="G24" s="40"/>
      <c r="H24" s="40"/>
      <c r="I24" s="40"/>
    </row>
    <row r="25" spans="1:9" ht="15.75">
      <c r="A25" s="127" t="s">
        <v>84</v>
      </c>
      <c r="C25" s="133"/>
      <c r="D25" s="133"/>
      <c r="E25" s="133"/>
      <c r="F25" s="40"/>
      <c r="G25" s="40"/>
      <c r="H25" s="40"/>
      <c r="I25" s="40"/>
    </row>
    <row r="26" spans="1:9" ht="15.75">
      <c r="A26" s="127" t="s">
        <v>58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>
        <f>COUNTIF(I6:I26,"sim")</f>
        <v>0</v>
      </c>
    </row>
    <row r="29" spans="1:9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>
        <f>COUNTIF(I6:I26,"não")</f>
        <v>0</v>
      </c>
    </row>
    <row r="30" spans="1:9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>
        <f>COUNTIF(I6:I26,"ausente")</f>
        <v>0</v>
      </c>
    </row>
    <row r="31" spans="1:9" ht="15.75">
      <c r="A31" s="19" t="s">
        <v>20</v>
      </c>
      <c r="B31" s="20"/>
      <c r="C31" s="136">
        <f t="shared" ref="C31:I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108</v>
      </c>
      <c r="B2" s="2"/>
    </row>
    <row r="3" spans="1:23">
      <c r="A3" s="76" t="s">
        <v>109</v>
      </c>
      <c r="B3" s="2"/>
    </row>
    <row r="4" spans="1:23" ht="60.75" customHeight="1" thickBot="1">
      <c r="A4" s="52" t="s">
        <v>5</v>
      </c>
      <c r="B4" s="110" t="s">
        <v>32</v>
      </c>
      <c r="C4" s="106" t="s">
        <v>37</v>
      </c>
      <c r="D4" s="106" t="s">
        <v>64</v>
      </c>
      <c r="E4" s="106" t="s">
        <v>65</v>
      </c>
      <c r="F4" s="106" t="s">
        <v>66</v>
      </c>
      <c r="G4" s="106" t="s">
        <v>67</v>
      </c>
      <c r="H4" s="106" t="s">
        <v>68</v>
      </c>
      <c r="I4" s="106" t="s">
        <v>69</v>
      </c>
      <c r="J4" s="106" t="s">
        <v>70</v>
      </c>
      <c r="K4" s="106" t="s">
        <v>71</v>
      </c>
      <c r="L4" s="106" t="s">
        <v>72</v>
      </c>
      <c r="M4" s="106" t="s">
        <v>73</v>
      </c>
      <c r="N4" s="106" t="s">
        <v>74</v>
      </c>
      <c r="O4" s="106" t="s">
        <v>75</v>
      </c>
      <c r="P4" s="106" t="s">
        <v>76</v>
      </c>
      <c r="Q4" s="106" t="s">
        <v>77</v>
      </c>
      <c r="R4" s="106" t="s">
        <v>78</v>
      </c>
      <c r="S4" s="106" t="s">
        <v>79</v>
      </c>
      <c r="T4" s="106" t="s">
        <v>80</v>
      </c>
      <c r="U4" s="106" t="s">
        <v>81</v>
      </c>
      <c r="V4" s="106" t="s">
        <v>82</v>
      </c>
      <c r="W4" s="106" t="s">
        <v>83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48</v>
      </c>
    </row>
    <row r="7" spans="1:23" ht="18">
      <c r="A7" s="129" t="s">
        <v>62</v>
      </c>
    </row>
    <row r="8" spans="1:23" ht="18">
      <c r="A8" s="129" t="s">
        <v>51</v>
      </c>
    </row>
    <row r="9" spans="1:23" ht="18">
      <c r="A9" s="130" t="s">
        <v>52</v>
      </c>
    </row>
    <row r="10" spans="1:23" ht="18">
      <c r="A10" s="129" t="s">
        <v>27</v>
      </c>
    </row>
    <row r="11" spans="1:23" ht="18">
      <c r="A11" s="129" t="s">
        <v>53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54</v>
      </c>
    </row>
    <row r="15" spans="1:23" ht="18">
      <c r="A15" s="129" t="s">
        <v>55</v>
      </c>
    </row>
    <row r="16" spans="1:23" ht="18">
      <c r="A16" s="129" t="s">
        <v>56</v>
      </c>
    </row>
    <row r="17" spans="1:23" ht="18">
      <c r="A17" s="129" t="s">
        <v>92</v>
      </c>
    </row>
    <row r="18" spans="1:23" ht="18">
      <c r="A18" s="129" t="s">
        <v>24</v>
      </c>
    </row>
    <row r="19" spans="1:23" ht="18">
      <c r="A19" s="129" t="s">
        <v>57</v>
      </c>
    </row>
    <row r="20" spans="1:23" ht="18">
      <c r="A20" s="129" t="s">
        <v>93</v>
      </c>
    </row>
    <row r="21" spans="1:23" ht="18">
      <c r="A21" s="129" t="s">
        <v>85</v>
      </c>
    </row>
    <row r="22" spans="1:23" ht="18">
      <c r="A22" s="129" t="s">
        <v>25</v>
      </c>
    </row>
    <row r="23" spans="1:23" ht="18">
      <c r="A23" s="129" t="s">
        <v>107</v>
      </c>
    </row>
    <row r="24" spans="1:23" ht="18">
      <c r="A24" s="129" t="s">
        <v>63</v>
      </c>
    </row>
    <row r="25" spans="1:23" ht="18">
      <c r="A25" s="129" t="s">
        <v>84</v>
      </c>
    </row>
    <row r="26" spans="1:23" ht="18">
      <c r="A26" s="129" t="s">
        <v>58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2026-06-11T18:06:44Z</dcterms:modified>
</cp:coreProperties>
</file>