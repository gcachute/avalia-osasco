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18A3C459-F178-4A42-BF26-98B90B49F47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F27" i="2"/>
  <c r="E28" i="2"/>
  <c r="F28" i="2"/>
  <c r="E29" i="2"/>
  <c r="F29" i="2"/>
  <c r="E30" i="2"/>
  <c r="F30" i="2"/>
  <c r="C27" i="3"/>
  <c r="C28" i="3"/>
  <c r="C29" i="3"/>
  <c r="C30" i="3"/>
  <c r="G27" i="2"/>
  <c r="G28" i="2"/>
  <c r="G29" i="2"/>
  <c r="G30" i="2"/>
  <c r="C28" i="10"/>
  <c r="C29" i="10"/>
  <c r="C30" i="10"/>
  <c r="C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<sst xmlns="http://schemas.openxmlformats.org/spreadsheetml/2006/main" count="470" uniqueCount="123">
  <si>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</si>
  <si>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</si>
  <si>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</si>
  <si>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</si>
  <si>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</si>
  <si>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</si>
  <si>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</si>
  <si>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</si>
  <si>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</si>
  <si>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</si>
  <si>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</si>
  <si>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</si>
  <si>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</si>
  <si>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</si>
  <si>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</si>
  <si>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</si>
  <si>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</si>
  <si>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</si>
  <si>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</si>
  <si>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</si>
  <si>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</si>
  <si>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</si>
  <si>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</si>
  <si>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</si>
  <si>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</si>
  <si>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</si>
  <si>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</si>
  <si>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</si>
  <si>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</si>
  <si>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</si>
  <si>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</si>
  <si>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</si>
  <si>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</si>
  <si>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</si>
  <si>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</si>
  <si>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</si>
  <si>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</si>
  <si>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</si>
  <si>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</si>
  <si>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</si>
  <si>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</si>
  <si>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</si>
  <si>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</si>
  <si>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</si>
  <si>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</si>
  <si>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</si>
  <si>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</si>
  <si>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</si>
  <si>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</si>
  <si>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</si>
  <si>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</si>
  <si>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</si>
  <si>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</si>
  <si>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</si>
  <si>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</si>
  <si>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</si>
  <si>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</si>
  <si>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</si>
  <si>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</si>
  <si>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</si>
  <si>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</si>
  <si>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</si>
  <si>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</si>
  <si>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</si>
  <si>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</si>
  <si>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</si>
  <si>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</si>
  <si>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</si>
  <si>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</si>
  <si>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</si>
  <si>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</si>
  <si>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</si>
  <si>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</si>
  <si>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</si>
  <si>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</si>
  <si>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</si>
  <si>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</si>
  <si>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</si>
  <si>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</si>
  <si>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</si>
  <si>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</si>
  <si>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</si>
  <si>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</si>
  <si>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</si>
  <si>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</si>
  <si>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</si>
  <si>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</si>
  <si>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</si>
  <si>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</si>
  <si>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</si>
  <si>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</si>
  <si>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</si>
  <si>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</si>
  <si>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</si>
  <si>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</si>
  <si>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</si>
  <si>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</si>
  <si>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</si>
  <si>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r>
      <t xml:space="preserve">MOÇÃO DE APLAUSOS Nº 196/2026 – RALFI – </t>
    </r>
    <r>
      <rPr>
        <sz val="11"/>
        <color theme="1"/>
        <rFont val="Arial"/>
        <family val="2"/>
      </rPr>
      <t>À atleta Jamilly Pereira, pela conquista do Campeonato Brasileiro de Kickboxing de 2026.</t>
    </r>
  </si>
  <si>
    <t>pela ausência do autor, será pautada na próxima sessão.</t>
  </si>
  <si>
    <r>
      <t xml:space="preserve">MOÇÃO DE RECONHECIMENTO Nº 200/2026 – RALFI – </t>
    </r>
    <r>
      <rPr>
        <sz val="11"/>
        <color theme="1"/>
        <rFont val="Arial"/>
        <family val="2"/>
      </rPr>
      <t>À Sra. Renata Cassoli, pela exemplar trajetória profissional e dedicação à sociedade através do Instituto Vozes que Renascem.</t>
    </r>
  </si>
  <si>
    <r>
      <t xml:space="preserve">MOÇÃO DE APLAUSOS Nº 207/2026 – STEPHANE ROSSI – </t>
    </r>
    <r>
      <rPr>
        <sz val="11"/>
        <color theme="1"/>
        <rFont val="Arial"/>
        <family val="2"/>
      </rPr>
      <t>À estudante Brenda Victoria Rodrigues Lopes, por conquistar a 4ª colocação no 22º Concurso de Poesia, promovido durante a 30ª edição do Festival Nacional de Teatro (FESCETE).</t>
    </r>
  </si>
  <si>
    <r>
      <t xml:space="preserve">PROJETO DE LEI Nº 22/2026 – GABRIEL SAÚDE - </t>
    </r>
    <r>
      <rPr>
        <sz val="14"/>
        <color theme="1"/>
        <rFont val="Arial"/>
        <family val="2"/>
      </rPr>
      <t xml:space="preserve">Institui a Meia Maratona de Osasco – 21K no Calendário Oficial de Eventos do Município de Osasco, a ser realizada anualmente no último domingo do mês de fevereiro, e dá outras providências. </t>
    </r>
  </si>
  <si>
    <t>na presidência</t>
  </si>
  <si>
    <t>40ª SESSÃO ORDINÁRIA</t>
  </si>
  <si>
    <t>DIA 11 DE AGOSTO DE 2026 - TERÇA-FEIRA</t>
  </si>
  <si>
    <t>PROJETO DE LEI Nº 177/2026 – Prefeito do Município de Osasco - Dispõe sobre abertura de crédito adicional especial ao orçamento vigente e dá outras providências.</t>
  </si>
  <si>
    <t>PROJETO DE LEI Nº 178/2026 – Prefeito do Município de Osasco - Dispõe sobre abertura de crédito adicional ao orçamento vigente e dá outras providências.</t>
  </si>
  <si>
    <t>PROJETO DE LEI Nº 179/2026 – Prefeito do Município de Osasco - Dispõe sobre abertura de crédito adicional suplementar ao orçamento vigente e dá outras providências.</t>
  </si>
  <si>
    <t>PROJETO DE LEI Nº 180/2026 – Prefeito do Município de Osasco - Dispõe sobre abertura de crédito adicional especial ao orçamento vigente e dá outras providências.</t>
  </si>
  <si>
    <t>PROJETO DE LEI Nº 171/2026 – Ivanildo Eventos - Institui o Dia do Pedestre no Calendário Oficial do Município de Osasco.</t>
  </si>
  <si>
    <t>PROJETO DE LEI Nº 175/2026 – Alexandre Capriotti - Dispõe sobre a denominação do Pet Parque Cão Caramelo localizado no bairro Jaguaribe.</t>
  </si>
  <si>
    <t>PROJETO DE LEI Nº 176/2026 – Guilherme Prado - Dispõe sobre a criação do Selo Servidor Sangue Bom no âmbito do Município de Osasco.</t>
  </si>
  <si>
    <t>PROJETO DE LEI Nº 181/2026 – Batista Comunidade - Dispõe sobre o pagamento de adicional de insalubridade às cozinheiras e cantineiras no âmbito da administração pública municipal.</t>
  </si>
  <si>
    <t>Justificativa de ausência vereador Alexandre Capriotti.</t>
  </si>
  <si>
    <r>
      <t>MOÇÃO DE APLAUSOS Nº 201/2026 – RALFI –</t>
    </r>
    <r>
      <rPr>
        <sz val="11"/>
        <color theme="1"/>
        <rFont val="Arial"/>
        <family val="2"/>
      </rPr>
      <t xml:space="preserve"> Ao Rotary Club de Osasco, pelos 67 anos de história, união e dedicação ao próximo.</t>
    </r>
  </si>
  <si>
    <r>
      <t xml:space="preserve">MOÇÃO DE REPÚDIO Nº 209/2026 – LÚCIA DA SAÚDE – </t>
    </r>
    <r>
      <rPr>
        <sz val="11"/>
        <color theme="1"/>
        <rFont val="Arial"/>
        <family val="2"/>
      </rPr>
      <t>Ao crime brutal que vitimou as crianças Ísis e Laís, na zona sul da cidade de São Paulo.</t>
    </r>
  </si>
  <si>
    <r>
      <t xml:space="preserve">MOÇÃO DE PESAR Nº 210/2026 – STEPHANE ROSSI – </t>
    </r>
    <r>
      <rPr>
        <sz val="11"/>
        <color theme="1"/>
        <rFont val="Arial"/>
        <family val="2"/>
      </rPr>
      <t>Pelo falecimento do Senhor Hagop Koulkdjian Neto, no dia 7 de agosto.</t>
    </r>
  </si>
  <si>
    <r>
      <t xml:space="preserve">MOÇÃO DE APLAUSO Nº 153/2026 – BATISTA COMUNIDADE – </t>
    </r>
    <r>
      <rPr>
        <sz val="11"/>
        <color theme="1"/>
        <rFont val="Arial"/>
        <family val="2"/>
      </rPr>
      <t>Ao jovem profissional do esporte e professor de futebol Nicolas Moraes de Oliveira, por seu comprometimento com o desenvolvimento de crianças e adolescentes da periferia, formando novos atletas e cidadãos no município de Osasco.</t>
    </r>
  </si>
  <si>
    <r>
      <t xml:space="preserve">PROJETO DE LEI Nº 135/2026 - PREFEITO DO MUNICÍPIO DE OSASCO – </t>
    </r>
    <r>
      <rPr>
        <sz val="14"/>
        <color theme="1"/>
        <rFont val="Arial"/>
        <family val="2"/>
      </rPr>
      <t>Dispõe sobre a abertura de crédito adicional especial ao orçamento vigente e dá outras providências.</t>
    </r>
  </si>
  <si>
    <r>
      <t>PROJETO DE LEI Nº 26/2026 - PEDRINHO CANTAGESSI -</t>
    </r>
    <r>
      <rPr>
        <sz val="14"/>
        <color theme="1"/>
        <rFont val="Arial"/>
        <family val="2"/>
      </rPr>
      <t xml:space="preserve"> Institui o Dia Municipal da Alfabetização e cria o Programa Municipal de Soletração no Município de Osasco, e dá outras providências.</t>
    </r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</si>
  <si>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</si>
  <si>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r>
      <t xml:space="preserve">PROJETO DE DECRETO LEGISLATIVO 14/2026 – STEPHANE ROSSI - </t>
    </r>
    <r>
      <rPr>
        <sz val="11"/>
        <color theme="1"/>
        <rFont val="Arial"/>
        <family val="2"/>
      </rPr>
      <t>Dispõe sobre a concessão de Diploma Líder Comunitário ao senhor Anderson Roberty Andrade da Silva.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</si>
</sst>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A62" sqref="A62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0" t="s">
        <v>27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70"/>
      <c r="O1" s="70"/>
      <c r="P1" s="70"/>
      <c r="Q1" s="40">
        <v>1</v>
      </c>
      <c r="R1" s="36" t="s">
        <v>10</v>
      </c>
      <c r="T1" s="154"/>
      <c r="U1" s="154"/>
      <c r="V1" s="154"/>
      <c r="W1" s="154"/>
      <c r="X1" s="154"/>
      <c r="Y1" s="154"/>
      <c r="Z1" s="7" t="s">
        <v>16</v>
      </c>
    </row>
    <row r="2" spans="1:28" ht="19.5" customHeight="1">
      <c r="A2" s="83" t="s">
        <v>104</v>
      </c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70"/>
      <c r="O2" s="70"/>
      <c r="P2" s="70"/>
      <c r="Q2" s="35">
        <v>2</v>
      </c>
      <c r="R2" s="36" t="s">
        <v>11</v>
      </c>
      <c r="T2" s="154"/>
      <c r="U2" s="154"/>
      <c r="V2" s="154"/>
      <c r="W2" s="154"/>
      <c r="X2" s="154"/>
      <c r="Y2" s="154"/>
      <c r="Z2" s="7" t="s">
        <v>17</v>
      </c>
    </row>
    <row r="3" spans="1:28" ht="19.5" customHeight="1" thickBot="1">
      <c r="A3" s="83" t="s">
        <v>105</v>
      </c>
      <c r="B3" s="152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70"/>
      <c r="O3" s="70"/>
      <c r="P3" s="70"/>
      <c r="Q3" s="41">
        <v>3</v>
      </c>
      <c r="R3" s="37" t="s">
        <v>12</v>
      </c>
      <c r="T3" s="154"/>
      <c r="U3" s="154"/>
      <c r="V3" s="154"/>
      <c r="W3" s="154"/>
      <c r="X3" s="154"/>
      <c r="Y3" s="154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4"/>
      <c r="U4" s="154"/>
      <c r="V4" s="154"/>
      <c r="W4" s="154"/>
      <c r="X4" s="154"/>
      <c r="Y4" s="154"/>
    </row>
    <row r="5" spans="1:28" ht="18" customHeight="1">
      <c r="A5" s="46" t="s">
        <v>96</v>
      </c>
      <c r="B5" s="88">
        <v>2</v>
      </c>
      <c r="C5" s="102" t="s">
        <v>48</v>
      </c>
      <c r="D5" s="63"/>
      <c r="E5" s="62"/>
      <c r="F5" s="88">
        <v>2</v>
      </c>
      <c r="G5" s="102" t="s">
        <v>48</v>
      </c>
      <c r="H5" s="63"/>
      <c r="I5" s="62"/>
      <c r="J5" s="63">
        <v>2</v>
      </c>
      <c r="K5" s="102" t="s">
        <v>48</v>
      </c>
      <c r="L5" s="124"/>
      <c r="M5" s="125"/>
      <c r="N5" s="63"/>
      <c r="O5" s="62"/>
      <c r="P5" s="63"/>
      <c r="Q5" s="63"/>
      <c r="R5" s="102"/>
      <c r="S5" s="115"/>
      <c r="T5" s="154"/>
      <c r="U5" s="154"/>
      <c r="V5" s="154"/>
      <c r="W5" s="154"/>
      <c r="X5" s="154"/>
      <c r="Y5" s="154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2</v>
      </c>
      <c r="K6" s="102" t="s">
        <v>48</v>
      </c>
      <c r="L6" s="67"/>
      <c r="M6" s="65"/>
      <c r="N6" s="63"/>
      <c r="O6" s="102"/>
      <c r="P6" s="63"/>
      <c r="Q6" s="63"/>
      <c r="R6" s="102"/>
      <c r="S6" s="89"/>
      <c r="T6" s="154"/>
      <c r="U6" s="154"/>
      <c r="V6" s="154"/>
      <c r="W6" s="154"/>
      <c r="X6" s="154"/>
      <c r="Y6" s="154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4"/>
      <c r="U7" s="154"/>
      <c r="V7" s="154"/>
      <c r="W7" s="154"/>
      <c r="X7" s="154"/>
      <c r="Y7" s="154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4"/>
      <c r="U8" s="154"/>
      <c r="V8" s="154"/>
      <c r="W8" s="154"/>
      <c r="X8" s="154"/>
      <c r="Y8" s="154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4"/>
      <c r="U9" s="154"/>
      <c r="V9" s="154"/>
      <c r="W9" s="154"/>
      <c r="X9" s="154"/>
      <c r="Y9" s="154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1</v>
      </c>
      <c r="G10" s="62" t="s">
        <v>47</v>
      </c>
      <c r="H10" s="63"/>
      <c r="I10" s="62"/>
      <c r="J10" s="63">
        <v>1</v>
      </c>
      <c r="K10" s="62" t="s">
        <v>47</v>
      </c>
      <c r="L10" s="67"/>
      <c r="M10" s="65"/>
      <c r="N10" s="63"/>
      <c r="O10" s="62"/>
      <c r="P10" s="63"/>
      <c r="Q10" s="63"/>
      <c r="R10" s="62"/>
      <c r="S10" s="89"/>
      <c r="T10" s="154"/>
      <c r="U10" s="154"/>
      <c r="V10" s="154"/>
      <c r="W10" s="154"/>
      <c r="X10" s="154"/>
      <c r="Y10" s="154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4"/>
      <c r="U11" s="154"/>
      <c r="V11" s="154"/>
      <c r="W11" s="154"/>
      <c r="X11" s="154"/>
      <c r="Y11" s="154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1</v>
      </c>
      <c r="G12" s="62" t="s">
        <v>47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4"/>
      <c r="U12" s="154"/>
      <c r="V12" s="154"/>
      <c r="W12" s="154"/>
      <c r="X12" s="154"/>
      <c r="Y12" s="154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2</v>
      </c>
      <c r="K13" s="102" t="s">
        <v>48</v>
      </c>
      <c r="L13" s="67"/>
      <c r="M13" s="65"/>
      <c r="N13" s="63"/>
      <c r="O13" s="102"/>
      <c r="P13" s="63"/>
      <c r="Q13" s="63"/>
      <c r="R13" s="102"/>
      <c r="S13" s="91"/>
      <c r="T13" s="154"/>
      <c r="U13" s="154"/>
      <c r="V13" s="154"/>
      <c r="W13" s="154"/>
      <c r="X13" s="154"/>
      <c r="Y13" s="154"/>
    </row>
    <row r="14" spans="1:28" ht="18" customHeight="1">
      <c r="A14" s="46" t="s">
        <v>53</v>
      </c>
      <c r="B14" s="88">
        <v>1</v>
      </c>
      <c r="C14" s="62" t="s">
        <v>47</v>
      </c>
      <c r="D14" s="63"/>
      <c r="E14" s="102"/>
      <c r="F14" s="88">
        <v>1</v>
      </c>
      <c r="G14" s="62" t="s">
        <v>47</v>
      </c>
      <c r="H14" s="63"/>
      <c r="I14" s="62"/>
      <c r="J14" s="63">
        <v>2</v>
      </c>
      <c r="K14" s="102" t="s">
        <v>48</v>
      </c>
      <c r="L14" s="67"/>
      <c r="M14" s="65"/>
      <c r="N14" s="63"/>
      <c r="O14" s="102"/>
      <c r="P14" s="63"/>
      <c r="Q14" s="63"/>
      <c r="R14" s="102"/>
      <c r="S14" s="91"/>
      <c r="T14" s="154"/>
      <c r="U14" s="154"/>
      <c r="V14" s="154"/>
      <c r="W14" s="154"/>
      <c r="X14" s="154"/>
      <c r="Y14" s="154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2</v>
      </c>
      <c r="G15" s="102" t="s">
        <v>48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4"/>
      <c r="U15" s="154"/>
      <c r="V15" s="154"/>
      <c r="W15" s="154"/>
      <c r="X15" s="154"/>
      <c r="Y15" s="154"/>
    </row>
    <row r="16" spans="1:28" ht="18.75" customHeight="1">
      <c r="A16" s="46" t="s">
        <v>89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4"/>
      <c r="U16" s="154"/>
      <c r="V16" s="154"/>
      <c r="W16" s="154"/>
      <c r="X16" s="154"/>
      <c r="Y16" s="154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4"/>
      <c r="U17" s="154"/>
      <c r="V17" s="154"/>
      <c r="W17" s="154"/>
      <c r="X17" s="154"/>
      <c r="Y17" s="154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4"/>
      <c r="U18" s="154"/>
      <c r="V18" s="154"/>
      <c r="W18" s="154"/>
      <c r="X18" s="154"/>
      <c r="Y18" s="154"/>
    </row>
    <row r="19" spans="1:28" ht="18" customHeight="1">
      <c r="A19" s="46" t="s">
        <v>90</v>
      </c>
      <c r="B19" s="88">
        <v>2</v>
      </c>
      <c r="C19" s="102" t="s">
        <v>48</v>
      </c>
      <c r="D19" s="63"/>
      <c r="E19" s="62"/>
      <c r="F19" s="88">
        <v>2</v>
      </c>
      <c r="G19" s="102" t="s">
        <v>48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4"/>
      <c r="U19" s="154"/>
      <c r="V19" s="154"/>
      <c r="W19" s="154"/>
      <c r="X19" s="154"/>
      <c r="Y19" s="154"/>
    </row>
    <row r="20" spans="1:28" ht="18" customHeight="1">
      <c r="A20" s="46" t="s">
        <v>83</v>
      </c>
      <c r="B20" s="88">
        <v>1</v>
      </c>
      <c r="C20" s="62" t="s">
        <v>47</v>
      </c>
      <c r="D20" s="63"/>
      <c r="E20" s="102"/>
      <c r="F20" s="88">
        <v>1</v>
      </c>
      <c r="G20" s="62" t="s">
        <v>47</v>
      </c>
      <c r="H20" s="63"/>
      <c r="I20" s="62"/>
      <c r="J20" s="63">
        <v>1</v>
      </c>
      <c r="K20" s="62" t="s">
        <v>47</v>
      </c>
      <c r="L20" s="67"/>
      <c r="M20" s="65"/>
      <c r="N20" s="63"/>
      <c r="O20" s="102"/>
      <c r="P20" s="63"/>
      <c r="Q20" s="63"/>
      <c r="R20" s="102"/>
      <c r="S20" s="91"/>
      <c r="T20" s="154"/>
      <c r="U20" s="154"/>
      <c r="V20" s="154"/>
      <c r="W20" s="154"/>
      <c r="X20" s="154"/>
      <c r="Y20" s="154"/>
    </row>
    <row r="21" spans="1:28" ht="18" customHeight="1">
      <c r="A21" s="46" t="s">
        <v>95</v>
      </c>
      <c r="B21" s="88">
        <v>1</v>
      </c>
      <c r="C21" s="62" t="s">
        <v>47</v>
      </c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4"/>
      <c r="U21" s="154"/>
      <c r="V21" s="154"/>
      <c r="W21" s="154"/>
      <c r="X21" s="154"/>
      <c r="Y21" s="154"/>
    </row>
    <row r="22" spans="1:28" ht="18.75" customHeight="1">
      <c r="A22" s="46" t="s">
        <v>97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2</v>
      </c>
      <c r="K22" s="102" t="s">
        <v>48</v>
      </c>
      <c r="L22" s="64"/>
      <c r="M22" s="64"/>
      <c r="N22" s="63"/>
      <c r="O22" s="102"/>
      <c r="P22" s="63"/>
      <c r="Q22" s="63"/>
      <c r="R22" s="62"/>
      <c r="S22" s="91"/>
      <c r="T22" s="154"/>
      <c r="U22" s="154"/>
      <c r="V22" s="154"/>
      <c r="W22" s="154"/>
      <c r="X22" s="154"/>
      <c r="Y22" s="154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1</v>
      </c>
      <c r="G23" s="62" t="s">
        <v>47</v>
      </c>
      <c r="H23" s="63"/>
      <c r="I23" s="68"/>
      <c r="J23" s="63">
        <v>2</v>
      </c>
      <c r="K23" s="102" t="s">
        <v>48</v>
      </c>
      <c r="L23" s="67"/>
      <c r="M23" s="65"/>
      <c r="N23" s="63"/>
      <c r="O23" s="102"/>
      <c r="P23" s="63"/>
      <c r="Q23" s="63"/>
      <c r="R23" s="102"/>
      <c r="S23" s="91"/>
      <c r="T23" s="154"/>
      <c r="U23" s="154"/>
      <c r="V23" s="154"/>
      <c r="W23" s="154"/>
      <c r="X23" s="154"/>
      <c r="Y23" s="154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1</v>
      </c>
      <c r="G24" s="62" t="s">
        <v>47</v>
      </c>
      <c r="H24" s="63"/>
      <c r="I24" s="62"/>
      <c r="J24" s="63">
        <v>2</v>
      </c>
      <c r="K24" s="102" t="s">
        <v>48</v>
      </c>
      <c r="L24" s="67"/>
      <c r="M24" s="65"/>
      <c r="N24" s="63"/>
      <c r="O24" s="62"/>
      <c r="P24" s="63"/>
      <c r="Q24" s="63"/>
      <c r="R24" s="102"/>
      <c r="S24" s="91"/>
      <c r="T24" s="154"/>
      <c r="U24" s="154"/>
      <c r="V24" s="154"/>
      <c r="W24" s="154"/>
      <c r="X24" s="154"/>
      <c r="Y24" s="154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4"/>
      <c r="U25" s="154"/>
      <c r="V25" s="154"/>
      <c r="W25" s="154"/>
      <c r="X25" s="154"/>
      <c r="Y25" s="154"/>
    </row>
    <row r="26" spans="1:28" ht="16.5" thickBot="1">
      <c r="A26" s="38" t="s">
        <v>13</v>
      </c>
      <c r="B26" s="98">
        <v>13</v>
      </c>
      <c r="C26" s="96" t="s">
        <v>43</v>
      </c>
      <c r="D26" s="98"/>
      <c r="E26" s="96" t="s">
        <v>43</v>
      </c>
      <c r="F26" s="98">
        <v>18</v>
      </c>
      <c r="G26" s="96" t="s">
        <v>43</v>
      </c>
      <c r="H26" s="100"/>
      <c r="I26" s="101"/>
      <c r="J26" s="98">
        <v>12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8</v>
      </c>
      <c r="C27" s="96" t="s">
        <v>44</v>
      </c>
      <c r="D27" s="98"/>
      <c r="E27" s="96" t="s">
        <v>44</v>
      </c>
      <c r="F27" s="98">
        <v>3</v>
      </c>
      <c r="G27" s="96" t="s">
        <v>44</v>
      </c>
      <c r="H27" s="100"/>
      <c r="I27" s="96"/>
      <c r="J27" s="98">
        <v>9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55</v>
      </c>
      <c r="V32" s="12"/>
      <c r="W32" s="12"/>
    </row>
    <row r="33" spans="1:23" ht="18">
      <c r="A33" s="34" t="s">
        <v>61</v>
      </c>
      <c r="V33" s="12"/>
      <c r="W33" s="12"/>
    </row>
    <row r="34" spans="1:23" ht="18">
      <c r="A34" s="34" t="s">
        <v>82</v>
      </c>
      <c r="V34" s="12"/>
      <c r="W34" s="12"/>
    </row>
    <row r="35" spans="1:23" ht="18">
      <c r="A35" s="34" t="s">
        <v>23</v>
      </c>
      <c r="V35" s="12"/>
      <c r="W35" s="12"/>
    </row>
    <row r="36" spans="1:23" ht="18">
      <c r="A36" s="34" t="s">
        <v>51</v>
      </c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54</v>
      </c>
      <c r="V44" s="12"/>
      <c r="W44" s="12"/>
    </row>
    <row r="45" spans="1:23" ht="18">
      <c r="A45" s="34"/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23</v>
      </c>
    </row>
    <row r="56" spans="1:23" ht="18">
      <c r="A56" s="34" t="s">
        <v>52</v>
      </c>
    </row>
    <row r="57" spans="1:23" ht="18">
      <c r="A57" s="34" t="s">
        <v>53</v>
      </c>
    </row>
    <row r="58" spans="1:23" ht="18">
      <c r="A58" s="34" t="s">
        <v>54</v>
      </c>
    </row>
    <row r="59" spans="1:23" ht="18">
      <c r="A59" s="34" t="s">
        <v>97</v>
      </c>
    </row>
    <row r="60" spans="1:23" ht="18">
      <c r="A60" s="34" t="s">
        <v>61</v>
      </c>
    </row>
    <row r="61" spans="1:23" ht="18">
      <c r="A61" s="34" t="s">
        <v>82</v>
      </c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U39"/>
  <sheetViews>
    <sheetView workbookViewId="0">
      <pane xSplit="1" topLeftCell="B1" activePane="topRight" state="frozen"/>
      <selection pane="topRight" activeCell="C4" sqref="C4"/>
    </sheetView>
  </sheetViews>
  <sheetFormatPr defaultColWidth="9.140625" defaultRowHeight="12.75"/>
  <cols>
    <col min="1" max="1" width="47.7109375" style="22" customWidth="1"/>
    <col min="2" max="11" width="23.7109375" style="22" customWidth="1"/>
    <col min="12" max="12" width="19" style="22" customWidth="1"/>
    <col min="13" max="13" width="26.28515625" style="22" customWidth="1"/>
    <col min="14" max="14" width="22.140625" style="22" customWidth="1"/>
    <col min="15" max="21" width="22.7109375" style="22" customWidth="1"/>
    <col min="22" max="16384" width="9.140625" style="22"/>
  </cols>
  <sheetData>
    <row r="1" spans="1:21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1" ht="15">
      <c r="A2" s="76" t="s">
        <v>104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1" ht="17.25" customHeight="1">
      <c r="A3" s="76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21" ht="63" customHeight="1">
      <c r="A4" s="51" t="str">
        <f>'[1]MOÇÃO E REQUERIMENTO'!B7</f>
        <v>EXPEDIENTE</v>
      </c>
      <c r="B4" s="50" t="s">
        <v>42</v>
      </c>
      <c r="C4" s="117" t="s">
        <v>106</v>
      </c>
      <c r="D4" s="117" t="s">
        <v>107</v>
      </c>
      <c r="E4" s="117" t="s">
        <v>108</v>
      </c>
      <c r="F4" s="117" t="s">
        <v>109</v>
      </c>
      <c r="G4" s="117" t="s">
        <v>110</v>
      </c>
      <c r="H4" s="117" t="s">
        <v>111</v>
      </c>
      <c r="I4" s="117" t="s">
        <v>112</v>
      </c>
      <c r="J4" s="117" t="s">
        <v>113</v>
      </c>
      <c r="K4" s="117" t="s">
        <v>114</v>
      </c>
      <c r="L4" s="112" t="s">
        <v>32</v>
      </c>
      <c r="M4" s="123"/>
      <c r="N4" s="50" t="s">
        <v>25</v>
      </c>
      <c r="O4" s="84" t="s">
        <v>98</v>
      </c>
      <c r="P4" s="84" t="s">
        <v>100</v>
      </c>
      <c r="Q4" s="84" t="s">
        <v>115</v>
      </c>
      <c r="R4" s="84" t="s">
        <v>101</v>
      </c>
      <c r="S4" s="84" t="s">
        <v>116</v>
      </c>
      <c r="T4" s="84" t="s">
        <v>117</v>
      </c>
      <c r="U4" s="84" t="s">
        <v>118</v>
      </c>
    </row>
    <row r="5" spans="1:21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113"/>
      <c r="O5" s="149" t="s">
        <v>99</v>
      </c>
      <c r="P5" s="113" t="s">
        <v>84</v>
      </c>
      <c r="Q5" s="149" t="s">
        <v>99</v>
      </c>
      <c r="R5" s="113" t="s">
        <v>84</v>
      </c>
      <c r="S5" s="113" t="s">
        <v>84</v>
      </c>
      <c r="T5" s="113" t="s">
        <v>84</v>
      </c>
      <c r="U5" s="113" t="s">
        <v>84</v>
      </c>
    </row>
    <row r="6" spans="1:21" ht="15.75">
      <c r="A6" s="126" t="s">
        <v>96</v>
      </c>
      <c r="N6" s="23"/>
    </row>
    <row r="7" spans="1:21" ht="15.75">
      <c r="A7" s="126" t="s">
        <v>60</v>
      </c>
      <c r="N7" s="23"/>
    </row>
    <row r="8" spans="1:21" ht="15.75">
      <c r="A8" s="126" t="s">
        <v>49</v>
      </c>
      <c r="N8" s="23"/>
    </row>
    <row r="9" spans="1:21" ht="15.75">
      <c r="A9" s="127" t="s">
        <v>50</v>
      </c>
      <c r="N9" s="23"/>
    </row>
    <row r="10" spans="1:21" ht="15.75">
      <c r="A10" s="126" t="s">
        <v>26</v>
      </c>
      <c r="N10" s="23"/>
    </row>
    <row r="11" spans="1:21" ht="15.75">
      <c r="A11" s="126" t="s">
        <v>51</v>
      </c>
      <c r="N11" s="23"/>
    </row>
    <row r="12" spans="1:21" ht="15.75">
      <c r="A12" s="126" t="s">
        <v>22</v>
      </c>
      <c r="N12" s="23"/>
    </row>
    <row r="13" spans="1:21" ht="15.75">
      <c r="A13" s="126" t="s">
        <v>23</v>
      </c>
      <c r="N13" s="23"/>
    </row>
    <row r="14" spans="1:21" ht="15.75">
      <c r="A14" s="126" t="s">
        <v>52</v>
      </c>
      <c r="N14" s="23"/>
    </row>
    <row r="15" spans="1:21" ht="15.75">
      <c r="A15" s="126" t="s">
        <v>53</v>
      </c>
      <c r="N15" s="23"/>
    </row>
    <row r="16" spans="1:21" ht="15.75">
      <c r="A16" s="126" t="s">
        <v>54</v>
      </c>
      <c r="N16" s="23"/>
    </row>
    <row r="17" spans="1:14" ht="15.75">
      <c r="A17" s="126" t="s">
        <v>89</v>
      </c>
      <c r="N17" s="23"/>
    </row>
    <row r="18" spans="1:14" ht="15.75">
      <c r="A18" s="126" t="s">
        <v>24</v>
      </c>
      <c r="N18" s="23"/>
    </row>
    <row r="19" spans="1:14" ht="15.75">
      <c r="A19" s="126" t="s">
        <v>55</v>
      </c>
      <c r="N19" s="23"/>
    </row>
    <row r="20" spans="1:14" ht="15.75">
      <c r="A20" s="126" t="s">
        <v>90</v>
      </c>
      <c r="N20" s="23"/>
    </row>
    <row r="21" spans="1:14" ht="15.75">
      <c r="A21" s="126" t="s">
        <v>83</v>
      </c>
      <c r="N21" s="23"/>
    </row>
    <row r="22" spans="1:14" ht="15.75">
      <c r="A22" s="126" t="s">
        <v>95</v>
      </c>
      <c r="N22" s="23"/>
    </row>
    <row r="23" spans="1:14" ht="15.75">
      <c r="A23" s="126" t="s">
        <v>97</v>
      </c>
      <c r="N23" s="23"/>
    </row>
    <row r="24" spans="1:14" ht="15.75">
      <c r="A24" s="126" t="s">
        <v>61</v>
      </c>
      <c r="N24" s="23"/>
    </row>
    <row r="25" spans="1:14" ht="15.75">
      <c r="A25" s="126" t="s">
        <v>82</v>
      </c>
      <c r="N25" s="23"/>
    </row>
    <row r="26" spans="1:14" ht="15.75">
      <c r="A26" s="126" t="s">
        <v>56</v>
      </c>
      <c r="N26" s="23"/>
    </row>
    <row r="27" spans="1:14" s="25" customFormat="1">
      <c r="A27" s="24" t="s">
        <v>18</v>
      </c>
    </row>
    <row r="28" spans="1:14" s="27" customFormat="1">
      <c r="A28" s="26" t="s">
        <v>19</v>
      </c>
    </row>
    <row r="29" spans="1:14">
      <c r="A29" s="28" t="s">
        <v>11</v>
      </c>
    </row>
    <row r="30" spans="1:14" s="30" customFormat="1">
      <c r="A30" s="29" t="s">
        <v>20</v>
      </c>
    </row>
    <row r="32" spans="1:14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B37"/>
  <sheetViews>
    <sheetView zoomScale="80" zoomScaleNormal="80" workbookViewId="0">
      <pane xSplit="1" topLeftCell="B1" activePane="topRight" state="frozen"/>
      <selection activeCell="A4" sqref="A4"/>
      <selection pane="topRight" activeCell="I16" sqref="I1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7" width="36.7109375" customWidth="1"/>
  </cols>
  <sheetData>
    <row r="1" spans="1:47" ht="18" customHeight="1">
      <c r="A1" s="76" t="s">
        <v>8</v>
      </c>
      <c r="B1" s="49"/>
      <c r="C1" s="74"/>
    </row>
    <row r="2" spans="1:47" ht="18" customHeight="1">
      <c r="A2" s="76" t="s">
        <v>104</v>
      </c>
      <c r="B2" s="49"/>
      <c r="C2" s="74"/>
    </row>
    <row r="3" spans="1:47" ht="17.25" customHeight="1">
      <c r="A3" s="76" t="s">
        <v>105</v>
      </c>
      <c r="B3" s="49"/>
      <c r="C3" s="74"/>
      <c r="E3" s="116"/>
      <c r="F3" s="116"/>
      <c r="G3" s="116"/>
    </row>
    <row r="4" spans="1:47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119</v>
      </c>
      <c r="F4" s="139" t="s">
        <v>120</v>
      </c>
      <c r="G4" s="139" t="s">
        <v>102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</row>
    <row r="5" spans="1:47" s="81" customFormat="1" ht="48" customHeight="1">
      <c r="A5" s="99" t="s">
        <v>35</v>
      </c>
      <c r="B5" s="78"/>
      <c r="C5" s="113"/>
      <c r="D5" s="79"/>
      <c r="E5" s="144" t="s">
        <v>87</v>
      </c>
      <c r="F5" s="144" t="s">
        <v>87</v>
      </c>
      <c r="G5" s="144" t="s">
        <v>121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</row>
    <row r="6" spans="1:47" ht="20.25">
      <c r="A6" s="46" t="s">
        <v>96</v>
      </c>
      <c r="C6" s="107"/>
      <c r="E6" s="114" t="s">
        <v>48</v>
      </c>
      <c r="F6" s="114" t="s">
        <v>48</v>
      </c>
      <c r="G6" s="107"/>
      <c r="H6" s="142"/>
    </row>
    <row r="7" spans="1:47" ht="20.25">
      <c r="A7" s="46" t="s">
        <v>60</v>
      </c>
      <c r="C7" s="107"/>
      <c r="E7" s="114" t="s">
        <v>48</v>
      </c>
      <c r="F7" s="114" t="s">
        <v>48</v>
      </c>
      <c r="G7" s="107"/>
    </row>
    <row r="8" spans="1:47" ht="20.25">
      <c r="A8" s="46" t="s">
        <v>49</v>
      </c>
      <c r="C8" s="107"/>
      <c r="E8" s="107" t="s">
        <v>88</v>
      </c>
      <c r="F8" s="107" t="s">
        <v>88</v>
      </c>
      <c r="G8" s="107"/>
    </row>
    <row r="9" spans="1:47" ht="20.25">
      <c r="A9" s="82" t="s">
        <v>50</v>
      </c>
      <c r="C9" s="114"/>
      <c r="E9" s="114" t="s">
        <v>103</v>
      </c>
      <c r="F9" s="114" t="s">
        <v>103</v>
      </c>
      <c r="G9" s="114"/>
    </row>
    <row r="10" spans="1:47" ht="20.25">
      <c r="A10" s="46" t="s">
        <v>26</v>
      </c>
      <c r="C10" s="107"/>
      <c r="E10" s="107" t="s">
        <v>88</v>
      </c>
      <c r="F10" s="107" t="s">
        <v>88</v>
      </c>
      <c r="G10" s="107"/>
    </row>
    <row r="11" spans="1:47" ht="20.25">
      <c r="A11" s="46" t="s">
        <v>51</v>
      </c>
      <c r="C11" s="114"/>
      <c r="E11" s="107" t="s">
        <v>88</v>
      </c>
      <c r="F11" s="107" t="s">
        <v>88</v>
      </c>
      <c r="G11" s="114"/>
    </row>
    <row r="12" spans="1:47" ht="20.25">
      <c r="A12" s="46" t="s">
        <v>22</v>
      </c>
      <c r="C12" s="107"/>
      <c r="E12" s="107" t="s">
        <v>88</v>
      </c>
      <c r="F12" s="107" t="s">
        <v>88</v>
      </c>
      <c r="G12" s="107"/>
    </row>
    <row r="13" spans="1:47" ht="20.25">
      <c r="A13" s="46" t="s">
        <v>23</v>
      </c>
      <c r="C13" s="114"/>
      <c r="E13" s="114" t="s">
        <v>48</v>
      </c>
      <c r="F13" s="107" t="s">
        <v>88</v>
      </c>
      <c r="G13" s="107"/>
    </row>
    <row r="14" spans="1:47" ht="20.25">
      <c r="A14" s="46" t="s">
        <v>52</v>
      </c>
      <c r="C14" s="114"/>
      <c r="E14" s="107" t="s">
        <v>88</v>
      </c>
      <c r="F14" s="107" t="s">
        <v>88</v>
      </c>
      <c r="G14" s="107"/>
    </row>
    <row r="15" spans="1:47" ht="20.25">
      <c r="A15" s="46" t="s">
        <v>53</v>
      </c>
      <c r="C15" s="107"/>
      <c r="E15" s="107" t="s">
        <v>88</v>
      </c>
      <c r="F15" s="107" t="s">
        <v>88</v>
      </c>
      <c r="G15" s="107"/>
    </row>
    <row r="16" spans="1:47" ht="20.25">
      <c r="A16" s="46" t="s">
        <v>54</v>
      </c>
      <c r="C16" s="143"/>
      <c r="E16" s="114" t="s">
        <v>48</v>
      </c>
      <c r="F16" s="107" t="s">
        <v>88</v>
      </c>
      <c r="G16" s="107"/>
    </row>
    <row r="17" spans="1:132" ht="20.25">
      <c r="A17" s="46" t="s">
        <v>89</v>
      </c>
      <c r="C17" s="107"/>
      <c r="E17" s="107" t="s">
        <v>88</v>
      </c>
      <c r="F17" s="107" t="s">
        <v>88</v>
      </c>
      <c r="G17" s="107"/>
    </row>
    <row r="18" spans="1:132" ht="20.25">
      <c r="A18" s="46" t="s">
        <v>24</v>
      </c>
      <c r="C18" s="107"/>
      <c r="E18" s="107" t="s">
        <v>88</v>
      </c>
      <c r="F18" s="107" t="s">
        <v>88</v>
      </c>
      <c r="G18" s="107"/>
    </row>
    <row r="19" spans="1:132" ht="20.25">
      <c r="A19" s="46" t="s">
        <v>55</v>
      </c>
      <c r="C19" s="114"/>
      <c r="E19" s="107" t="s">
        <v>88</v>
      </c>
      <c r="F19" s="107" t="s">
        <v>88</v>
      </c>
      <c r="G19" s="107"/>
    </row>
    <row r="20" spans="1:132" ht="20.25">
      <c r="A20" s="46" t="s">
        <v>90</v>
      </c>
      <c r="C20" s="107"/>
      <c r="E20" s="107" t="s">
        <v>88</v>
      </c>
      <c r="F20" s="107" t="s">
        <v>88</v>
      </c>
      <c r="G20" s="107"/>
    </row>
    <row r="21" spans="1:132" ht="20.25">
      <c r="A21" s="46" t="s">
        <v>83</v>
      </c>
      <c r="C21" s="114"/>
      <c r="E21" s="107" t="s">
        <v>88</v>
      </c>
      <c r="F21" s="107" t="s">
        <v>88</v>
      </c>
      <c r="G21" s="107"/>
    </row>
    <row r="22" spans="1:132" ht="20.25">
      <c r="A22" s="46" t="s">
        <v>95</v>
      </c>
      <c r="C22" s="107"/>
      <c r="E22" s="107" t="s">
        <v>88</v>
      </c>
      <c r="F22" s="107" t="s">
        <v>88</v>
      </c>
      <c r="G22" s="107"/>
    </row>
    <row r="23" spans="1:132" ht="20.25">
      <c r="A23" s="46" t="s">
        <v>97</v>
      </c>
      <c r="C23" s="107"/>
      <c r="E23" s="107" t="s">
        <v>88</v>
      </c>
      <c r="F23" s="107" t="s">
        <v>88</v>
      </c>
      <c r="G23" s="107"/>
    </row>
    <row r="24" spans="1:132" ht="20.25">
      <c r="A24" s="46" t="s">
        <v>61</v>
      </c>
      <c r="C24" s="107"/>
      <c r="E24" s="107" t="s">
        <v>88</v>
      </c>
      <c r="F24" s="107" t="s">
        <v>88</v>
      </c>
      <c r="G24" s="107"/>
    </row>
    <row r="25" spans="1:132" ht="20.25">
      <c r="A25" s="46" t="s">
        <v>82</v>
      </c>
      <c r="C25" s="107"/>
      <c r="E25" s="107" t="s">
        <v>88</v>
      </c>
      <c r="F25" s="107" t="s">
        <v>88</v>
      </c>
      <c r="G25" s="107"/>
    </row>
    <row r="26" spans="1:132" ht="20.25">
      <c r="A26" s="46" t="s">
        <v>56</v>
      </c>
      <c r="C26" s="143"/>
      <c r="E26" s="107" t="s">
        <v>88</v>
      </c>
      <c r="F26" s="107" t="s">
        <v>88</v>
      </c>
      <c r="G26" s="114"/>
    </row>
    <row r="27" spans="1:132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:G27" si="0">COUNTIF(E6:E26,"sim")</f>
        <v>16</v>
      </c>
      <c r="F27" s="103">
        <f t="shared" si="0"/>
        <v>18</v>
      </c>
      <c r="G27" s="103">
        <f t="shared" si="0"/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:G28" si="1">COUNTIF(E6:E26,"não")</f>
        <v>0</v>
      </c>
      <c r="F28" s="104">
        <f t="shared" si="1"/>
        <v>0</v>
      </c>
      <c r="G28" s="104">
        <f t="shared" si="1"/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 ht="15.75">
      <c r="A29" s="14" t="s">
        <v>11</v>
      </c>
      <c r="C29" s="40">
        <f>COUNTIF(C6:C26,"ausente")</f>
        <v>0</v>
      </c>
      <c r="E29" s="40">
        <f t="shared" ref="E29:G29" si="2">COUNTIF(E6:E26,"ausente")</f>
        <v>4</v>
      </c>
      <c r="F29" s="40">
        <f t="shared" si="2"/>
        <v>2</v>
      </c>
      <c r="G29" s="40">
        <f t="shared" si="2"/>
        <v>0</v>
      </c>
    </row>
    <row r="30" spans="1:132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G30" si="3">COUNTIF(E6:E26,"abstenção")</f>
        <v>0</v>
      </c>
      <c r="F30" s="105">
        <f t="shared" si="3"/>
        <v>0</v>
      </c>
      <c r="G30" s="105">
        <f t="shared" si="3"/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132" s="20" customFormat="1" ht="15.75">
      <c r="A31" s="19"/>
      <c r="B31"/>
      <c r="C31" s="105"/>
      <c r="D31"/>
      <c r="E31" s="105"/>
      <c r="F31" s="105"/>
      <c r="G31" s="105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D8" sqref="D8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19" t="s">
        <v>5</v>
      </c>
      <c r="B4" s="118" t="s">
        <v>7</v>
      </c>
      <c r="C4" s="138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4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8" t="s">
        <v>96</v>
      </c>
      <c r="C6" s="107"/>
      <c r="U6" s="7"/>
      <c r="V6" s="7"/>
    </row>
    <row r="7" spans="1:29" ht="18">
      <c r="A7" s="128" t="s">
        <v>60</v>
      </c>
      <c r="C7" s="107"/>
      <c r="U7" s="7"/>
      <c r="V7" s="7"/>
    </row>
    <row r="8" spans="1:29" ht="18">
      <c r="A8" s="128" t="s">
        <v>49</v>
      </c>
      <c r="C8" s="107"/>
      <c r="U8" s="7"/>
      <c r="V8" s="7"/>
    </row>
    <row r="9" spans="1:29" ht="18">
      <c r="A9" s="129" t="s">
        <v>50</v>
      </c>
      <c r="C9" s="114"/>
      <c r="U9" s="7"/>
      <c r="V9" s="7"/>
    </row>
    <row r="10" spans="1:29" ht="18">
      <c r="A10" s="128" t="s">
        <v>26</v>
      </c>
      <c r="C10" s="114"/>
      <c r="U10" s="7"/>
      <c r="V10" s="7"/>
    </row>
    <row r="11" spans="1:29" ht="18">
      <c r="A11" s="128" t="s">
        <v>51</v>
      </c>
      <c r="C11" s="114"/>
      <c r="U11" s="7"/>
      <c r="V11" s="7"/>
    </row>
    <row r="12" spans="1:29" ht="18">
      <c r="A12" s="128" t="s">
        <v>22</v>
      </c>
      <c r="C12" s="107"/>
      <c r="U12" s="7"/>
      <c r="V12" s="7"/>
    </row>
    <row r="13" spans="1:29" ht="18">
      <c r="A13" s="128" t="s">
        <v>23</v>
      </c>
      <c r="C13" s="114"/>
      <c r="U13" s="7"/>
      <c r="V13" s="7"/>
    </row>
    <row r="14" spans="1:29" ht="18">
      <c r="A14" s="128" t="s">
        <v>52</v>
      </c>
      <c r="C14" s="107"/>
      <c r="U14" s="7"/>
      <c r="V14" s="7"/>
    </row>
    <row r="15" spans="1:29" ht="18">
      <c r="A15" s="128" t="s">
        <v>53</v>
      </c>
      <c r="C15" s="107"/>
      <c r="U15" s="7"/>
      <c r="V15" s="7"/>
    </row>
    <row r="16" spans="1:29" ht="18">
      <c r="A16" s="128" t="s">
        <v>54</v>
      </c>
      <c r="C16" s="114"/>
      <c r="U16" s="7"/>
      <c r="V16" s="7"/>
    </row>
    <row r="17" spans="1:123" ht="18">
      <c r="A17" s="128" t="s">
        <v>89</v>
      </c>
      <c r="C17" s="114"/>
      <c r="U17" s="7"/>
      <c r="V17" s="7"/>
    </row>
    <row r="18" spans="1:123" ht="15" customHeight="1">
      <c r="A18" s="128" t="s">
        <v>24</v>
      </c>
      <c r="C18" s="114"/>
      <c r="T18" s="8"/>
      <c r="U18" s="7"/>
      <c r="V18" s="7"/>
    </row>
    <row r="19" spans="1:123" ht="18">
      <c r="A19" s="128" t="s">
        <v>55</v>
      </c>
      <c r="C19" s="107"/>
      <c r="U19" s="7"/>
      <c r="V19" s="7"/>
    </row>
    <row r="20" spans="1:123" ht="18">
      <c r="A20" s="128" t="s">
        <v>90</v>
      </c>
      <c r="C20" s="107"/>
      <c r="U20" s="7"/>
      <c r="V20" s="7"/>
    </row>
    <row r="21" spans="1:123" ht="18">
      <c r="A21" s="128" t="s">
        <v>83</v>
      </c>
      <c r="C21" s="107"/>
      <c r="U21" s="7"/>
      <c r="V21" s="7"/>
    </row>
    <row r="22" spans="1:123" ht="18">
      <c r="A22" s="128" t="s">
        <v>95</v>
      </c>
      <c r="C22" s="107"/>
      <c r="U22" s="7"/>
      <c r="V22" s="7"/>
    </row>
    <row r="23" spans="1:123" ht="18">
      <c r="A23" s="128" t="s">
        <v>97</v>
      </c>
      <c r="C23" s="107"/>
      <c r="U23" s="7"/>
      <c r="V23" s="7"/>
    </row>
    <row r="24" spans="1:123" ht="18">
      <c r="A24" s="128" t="s">
        <v>61</v>
      </c>
      <c r="C24" s="114"/>
      <c r="U24" s="7"/>
      <c r="V24" s="7"/>
    </row>
    <row r="25" spans="1:123" ht="18">
      <c r="A25" s="128" t="s">
        <v>82</v>
      </c>
      <c r="C25" s="107"/>
      <c r="U25" s="7"/>
      <c r="V25" s="7"/>
    </row>
    <row r="26" spans="1:123" ht="18">
      <c r="A26" s="128" t="s">
        <v>56</v>
      </c>
      <c r="C26" s="107"/>
      <c r="U26" s="7"/>
      <c r="V26" s="7"/>
    </row>
    <row r="27" spans="1:123" s="16" customFormat="1" ht="15.75">
      <c r="A27" s="15" t="s">
        <v>18</v>
      </c>
      <c r="B27" s="145">
        <f>COUNTIF(B6:B26,"sim")</f>
        <v>0</v>
      </c>
      <c r="C27" s="103">
        <f t="shared" ref="C27" si="0">COUNTIF(C6:C26,"sim")</f>
        <v>0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46">
        <f>COUNTIF(B6:B26,"não")</f>
        <v>0</v>
      </c>
      <c r="C28" s="104">
        <f t="shared" ref="C28" si="5">COUNTIF(C6:C26,"não")</f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 s="147">
        <f>COUNTIF(B6:B26,"ausente")</f>
        <v>0</v>
      </c>
      <c r="C29" s="40">
        <f t="shared" ref="C29" si="10">COUNTIF(C6:C26,"ausente")</f>
        <v>0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148">
        <f>COUNTIF(B6:B26,"abstenção")</f>
        <v>0</v>
      </c>
      <c r="C30" s="105">
        <f t="shared" ref="C30" si="15">COUNTIF(C6:C26,"abstenção")</f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U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ref="BV30:DA30" si="18">COUNTIF(BV10:BV29,"abstenção")</f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ref="DB30:DS30" si="19">COUNTIF(DB10:DB29,"abstenção")</f>
        <v>0</v>
      </c>
      <c r="DC30" s="20">
        <f t="shared" si="19"/>
        <v>0</v>
      </c>
      <c r="DD30" s="20">
        <f t="shared" si="19"/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tabSelected="1" workbookViewId="0">
      <pane xSplit="1" topLeftCell="B1" activePane="topRight" state="frozen"/>
      <selection pane="topRight" activeCell="F4" sqref="F4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104</v>
      </c>
      <c r="B2" s="2"/>
    </row>
    <row r="3" spans="1:3" ht="15.75" thickBot="1">
      <c r="A3" s="120" t="s">
        <v>105</v>
      </c>
      <c r="B3" s="2"/>
    </row>
    <row r="4" spans="1:3" ht="78.75" customHeight="1" thickBot="1">
      <c r="A4" s="119" t="s">
        <v>5</v>
      </c>
      <c r="B4" s="111" t="s">
        <v>21</v>
      </c>
      <c r="C4" s="138" t="s">
        <v>122</v>
      </c>
    </row>
    <row r="5" spans="1:3" s="6" customFormat="1" ht="60.75" customHeight="1">
      <c r="A5" s="121"/>
      <c r="B5" s="111"/>
      <c r="C5" s="113" t="s">
        <v>87</v>
      </c>
    </row>
    <row r="6" spans="1:3" ht="15.75">
      <c r="A6" s="126" t="s">
        <v>96</v>
      </c>
      <c r="C6" s="114" t="s">
        <v>48</v>
      </c>
    </row>
    <row r="7" spans="1:3" ht="15.75">
      <c r="A7" s="126" t="s">
        <v>60</v>
      </c>
      <c r="C7" s="114" t="s">
        <v>48</v>
      </c>
    </row>
    <row r="8" spans="1:3" ht="15.75">
      <c r="A8" s="126" t="s">
        <v>49</v>
      </c>
      <c r="C8" s="107" t="s">
        <v>88</v>
      </c>
    </row>
    <row r="9" spans="1:3" ht="15.75">
      <c r="A9" s="127" t="s">
        <v>50</v>
      </c>
      <c r="C9" s="107" t="s">
        <v>88</v>
      </c>
    </row>
    <row r="10" spans="1:3" ht="15.75">
      <c r="A10" s="126" t="s">
        <v>26</v>
      </c>
      <c r="C10" s="107" t="s">
        <v>88</v>
      </c>
    </row>
    <row r="11" spans="1:3" ht="15.75">
      <c r="A11" s="126" t="s">
        <v>51</v>
      </c>
      <c r="C11" s="107" t="s">
        <v>88</v>
      </c>
    </row>
    <row r="12" spans="1:3" ht="15.75">
      <c r="A12" s="126" t="s">
        <v>22</v>
      </c>
      <c r="C12" s="107" t="s">
        <v>88</v>
      </c>
    </row>
    <row r="13" spans="1:3" ht="15.75">
      <c r="A13" s="126" t="s">
        <v>23</v>
      </c>
      <c r="C13" s="107" t="s">
        <v>88</v>
      </c>
    </row>
    <row r="14" spans="1:3" ht="15.75">
      <c r="A14" s="126" t="s">
        <v>52</v>
      </c>
      <c r="C14" s="107" t="s">
        <v>88</v>
      </c>
    </row>
    <row r="15" spans="1:3" ht="15.75">
      <c r="A15" s="126" t="s">
        <v>53</v>
      </c>
      <c r="B15" s="137"/>
      <c r="C15" s="107" t="s">
        <v>88</v>
      </c>
    </row>
    <row r="16" spans="1:3" ht="15.75">
      <c r="A16" s="126" t="s">
        <v>54</v>
      </c>
      <c r="C16" s="107" t="s">
        <v>88</v>
      </c>
    </row>
    <row r="17" spans="1:3" ht="15.75">
      <c r="A17" s="126" t="s">
        <v>89</v>
      </c>
      <c r="C17" s="107" t="s">
        <v>88</v>
      </c>
    </row>
    <row r="18" spans="1:3" ht="15.75">
      <c r="A18" s="126" t="s">
        <v>24</v>
      </c>
      <c r="C18" s="107" t="s">
        <v>88</v>
      </c>
    </row>
    <row r="19" spans="1:3" ht="15.75">
      <c r="A19" s="126" t="s">
        <v>55</v>
      </c>
      <c r="C19" s="107" t="s">
        <v>88</v>
      </c>
    </row>
    <row r="20" spans="1:3" ht="15.75">
      <c r="A20" s="126" t="s">
        <v>90</v>
      </c>
      <c r="C20" s="107" t="s">
        <v>88</v>
      </c>
    </row>
    <row r="21" spans="1:3" ht="15.75">
      <c r="A21" s="126" t="s">
        <v>83</v>
      </c>
      <c r="C21" s="107" t="s">
        <v>88</v>
      </c>
    </row>
    <row r="22" spans="1:3" ht="15.75">
      <c r="A22" s="126" t="s">
        <v>95</v>
      </c>
      <c r="C22" s="107" t="s">
        <v>88</v>
      </c>
    </row>
    <row r="23" spans="1:3" ht="15.75">
      <c r="A23" s="126" t="s">
        <v>97</v>
      </c>
      <c r="C23" s="107" t="s">
        <v>88</v>
      </c>
    </row>
    <row r="24" spans="1:3" ht="15.75">
      <c r="A24" s="126" t="s">
        <v>61</v>
      </c>
      <c r="C24" s="107" t="s">
        <v>88</v>
      </c>
    </row>
    <row r="25" spans="1:3" ht="15.75">
      <c r="A25" s="126" t="s">
        <v>82</v>
      </c>
      <c r="C25" s="107" t="s">
        <v>88</v>
      </c>
    </row>
    <row r="26" spans="1:3" ht="15.75">
      <c r="A26" s="126" t="s">
        <v>56</v>
      </c>
      <c r="C26" s="107" t="s">
        <v>88</v>
      </c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19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2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104</v>
      </c>
      <c r="B2" s="2"/>
      <c r="C2" s="54"/>
      <c r="D2" s="54"/>
      <c r="E2" s="54"/>
    </row>
    <row r="3" spans="1:9" ht="15.75" thickBot="1">
      <c r="A3" s="120" t="s">
        <v>105</v>
      </c>
      <c r="B3" s="2"/>
      <c r="C3" s="54"/>
      <c r="D3" s="54"/>
      <c r="E3" s="54"/>
    </row>
    <row r="4" spans="1:9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91</v>
      </c>
      <c r="G4" s="141" t="s">
        <v>92</v>
      </c>
      <c r="H4" s="141" t="s">
        <v>93</v>
      </c>
      <c r="I4" s="141" t="s">
        <v>94</v>
      </c>
    </row>
    <row r="5" spans="1:9" ht="60.75" customHeight="1">
      <c r="A5" s="48"/>
      <c r="B5" s="10"/>
      <c r="C5" s="131"/>
      <c r="D5" s="130"/>
      <c r="E5" s="130"/>
      <c r="F5" s="40"/>
      <c r="G5" s="40"/>
      <c r="H5" s="40"/>
      <c r="I5" s="40"/>
    </row>
    <row r="6" spans="1:9" ht="15.75">
      <c r="A6" s="126" t="s">
        <v>96</v>
      </c>
      <c r="C6" s="132"/>
      <c r="D6" s="132"/>
      <c r="E6" s="132"/>
      <c r="F6" s="40"/>
      <c r="G6" s="40"/>
      <c r="H6" s="40"/>
      <c r="I6" s="40"/>
    </row>
    <row r="7" spans="1:9" ht="15.75">
      <c r="A7" s="126" t="s">
        <v>60</v>
      </c>
      <c r="C7" s="132"/>
      <c r="D7" s="132"/>
      <c r="E7" s="132"/>
      <c r="F7" s="40"/>
      <c r="G7" s="40"/>
      <c r="H7" s="40"/>
      <c r="I7" s="40"/>
    </row>
    <row r="8" spans="1:9" ht="15.75">
      <c r="A8" s="126" t="s">
        <v>49</v>
      </c>
      <c r="C8" s="132"/>
      <c r="D8" s="132"/>
      <c r="E8" s="132"/>
      <c r="F8" s="40"/>
      <c r="G8" s="40"/>
      <c r="H8" s="40"/>
      <c r="I8" s="40"/>
    </row>
    <row r="9" spans="1:9" ht="15.75">
      <c r="A9" s="127" t="s">
        <v>50</v>
      </c>
      <c r="C9" s="132"/>
      <c r="D9" s="132"/>
      <c r="E9" s="132"/>
      <c r="F9" s="40"/>
      <c r="G9" s="40"/>
      <c r="H9" s="40"/>
      <c r="I9" s="40"/>
    </row>
    <row r="10" spans="1:9" ht="15.75">
      <c r="A10" s="126" t="s">
        <v>26</v>
      </c>
      <c r="C10" s="132"/>
      <c r="D10" s="132"/>
      <c r="E10" s="132"/>
      <c r="F10" s="40"/>
      <c r="G10" s="40"/>
      <c r="H10" s="40"/>
      <c r="I10" s="40"/>
    </row>
    <row r="11" spans="1:9" ht="15.75">
      <c r="A11" s="126" t="s">
        <v>51</v>
      </c>
      <c r="C11" s="132"/>
      <c r="D11" s="132"/>
      <c r="E11" s="132"/>
      <c r="F11" s="40"/>
      <c r="G11" s="40"/>
      <c r="H11" s="40"/>
      <c r="I11" s="40"/>
    </row>
    <row r="12" spans="1:9" ht="15.75">
      <c r="A12" s="126" t="s">
        <v>22</v>
      </c>
      <c r="C12" s="132"/>
      <c r="D12" s="132"/>
      <c r="E12" s="132"/>
      <c r="F12" s="40"/>
      <c r="G12" s="40"/>
      <c r="H12" s="40"/>
      <c r="I12" s="40"/>
    </row>
    <row r="13" spans="1:9" ht="15.75">
      <c r="A13" s="126" t="s">
        <v>23</v>
      </c>
      <c r="C13" s="132"/>
      <c r="D13" s="132"/>
      <c r="E13" s="132"/>
      <c r="F13" s="40"/>
      <c r="G13" s="40"/>
      <c r="H13" s="40"/>
      <c r="I13" s="40"/>
    </row>
    <row r="14" spans="1:9" ht="15.75">
      <c r="A14" s="126" t="s">
        <v>52</v>
      </c>
      <c r="C14" s="132"/>
      <c r="D14" s="132"/>
      <c r="E14" s="132"/>
      <c r="F14" s="40"/>
      <c r="G14" s="40"/>
      <c r="H14" s="40"/>
      <c r="I14" s="40"/>
    </row>
    <row r="15" spans="1:9" ht="15.75">
      <c r="A15" s="126" t="s">
        <v>53</v>
      </c>
      <c r="C15" s="132"/>
      <c r="D15" s="132"/>
      <c r="E15" s="132"/>
      <c r="F15" s="40"/>
      <c r="G15" s="40"/>
      <c r="H15" s="40"/>
      <c r="I15" s="40"/>
    </row>
    <row r="16" spans="1:9" ht="15.75">
      <c r="A16" s="126" t="s">
        <v>54</v>
      </c>
      <c r="C16" s="132"/>
      <c r="D16" s="132"/>
      <c r="E16" s="132"/>
      <c r="F16" s="40"/>
      <c r="G16" s="40"/>
      <c r="H16" s="40"/>
      <c r="I16" s="40"/>
    </row>
    <row r="17" spans="1:9" ht="15.75">
      <c r="A17" s="126" t="s">
        <v>89</v>
      </c>
      <c r="C17" s="132"/>
      <c r="D17" s="132"/>
      <c r="E17" s="132"/>
      <c r="F17" s="40"/>
      <c r="G17" s="40"/>
      <c r="H17" s="40"/>
      <c r="I17" s="40"/>
    </row>
    <row r="18" spans="1:9" ht="15.75">
      <c r="A18" s="126" t="s">
        <v>24</v>
      </c>
      <c r="C18" s="132"/>
      <c r="D18" s="132"/>
      <c r="E18" s="132"/>
      <c r="F18" s="40"/>
      <c r="G18" s="40"/>
      <c r="H18" s="40"/>
      <c r="I18" s="40"/>
    </row>
    <row r="19" spans="1:9" ht="15.75">
      <c r="A19" s="126" t="s">
        <v>55</v>
      </c>
      <c r="C19" s="132"/>
      <c r="D19" s="132"/>
      <c r="E19" s="132"/>
      <c r="F19" s="40"/>
      <c r="G19" s="40"/>
      <c r="H19" s="40"/>
      <c r="I19" s="40"/>
    </row>
    <row r="20" spans="1:9" ht="15.75">
      <c r="A20" s="126" t="s">
        <v>90</v>
      </c>
      <c r="C20" s="132"/>
      <c r="D20" s="132"/>
      <c r="E20" s="132"/>
      <c r="F20" s="40"/>
      <c r="G20" s="40"/>
      <c r="H20" s="40"/>
      <c r="I20" s="40"/>
    </row>
    <row r="21" spans="1:9" ht="15.75">
      <c r="A21" s="126" t="s">
        <v>83</v>
      </c>
      <c r="C21" s="132"/>
      <c r="D21" s="132"/>
      <c r="E21" s="132"/>
      <c r="F21" s="40"/>
      <c r="G21" s="40"/>
      <c r="H21" s="40"/>
      <c r="I21" s="40"/>
    </row>
    <row r="22" spans="1:9" ht="15.75">
      <c r="A22" s="126" t="s">
        <v>95</v>
      </c>
      <c r="C22" s="132"/>
      <c r="D22" s="132"/>
      <c r="E22" s="132"/>
      <c r="F22" s="40"/>
      <c r="G22" s="40"/>
      <c r="H22" s="40"/>
      <c r="I22" s="40"/>
    </row>
    <row r="23" spans="1:9" ht="15.75">
      <c r="A23" s="126" t="s">
        <v>97</v>
      </c>
      <c r="C23" s="132"/>
      <c r="D23" s="132"/>
      <c r="E23" s="132"/>
      <c r="F23" s="40"/>
      <c r="G23" s="40"/>
      <c r="H23" s="40"/>
      <c r="I23" s="40"/>
    </row>
    <row r="24" spans="1:9" ht="15.75">
      <c r="A24" s="126" t="s">
        <v>61</v>
      </c>
      <c r="C24" s="132"/>
      <c r="D24" s="132"/>
      <c r="E24" s="132"/>
      <c r="F24" s="40"/>
      <c r="G24" s="40"/>
      <c r="H24" s="40"/>
      <c r="I24" s="40"/>
    </row>
    <row r="25" spans="1:9" ht="15.75">
      <c r="A25" s="126" t="s">
        <v>82</v>
      </c>
      <c r="C25" s="132"/>
      <c r="D25" s="132"/>
      <c r="E25" s="132"/>
      <c r="F25" s="40"/>
      <c r="G25" s="40"/>
      <c r="H25" s="40"/>
      <c r="I25" s="40"/>
    </row>
    <row r="26" spans="1:9" ht="15.75">
      <c r="A26" s="126" t="s">
        <v>56</v>
      </c>
      <c r="C26" s="132"/>
      <c r="D26" s="132"/>
      <c r="E26" s="132"/>
      <c r="F26" s="40"/>
      <c r="G26" s="40"/>
      <c r="H26" s="40"/>
      <c r="I26" s="40"/>
    </row>
    <row r="27" spans="1:9">
      <c r="C27" s="132"/>
      <c r="D27" s="132"/>
      <c r="E27" s="132"/>
      <c r="F27" s="40"/>
      <c r="G27" s="40"/>
      <c r="H27" s="40"/>
      <c r="I27" s="40"/>
    </row>
    <row r="28" spans="1:9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/>
      <c r="G28" s="133"/>
      <c r="H28" s="133"/>
      <c r="I28" s="133">
        <f>COUNTIF(I6:I26,"sim")</f>
        <v>0</v>
      </c>
    </row>
    <row r="29" spans="1:9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/>
      <c r="G29" s="134"/>
      <c r="H29" s="134"/>
      <c r="I29" s="134">
        <f>COUNTIF(I6:I26,"não")</f>
        <v>0</v>
      </c>
    </row>
    <row r="30" spans="1:9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/>
      <c r="G30" s="132"/>
      <c r="H30" s="132"/>
      <c r="I30" s="132">
        <f>COUNTIF(I6:I26,"ausente")</f>
        <v>0</v>
      </c>
    </row>
    <row r="31" spans="1:9" ht="15.75">
      <c r="A31" s="19" t="s">
        <v>20</v>
      </c>
      <c r="B31" s="20"/>
      <c r="C31" s="135">
        <f t="shared" ref="C31:I31" si="0">COUNTIF(C6:C26,"abstenção")</f>
        <v>0</v>
      </c>
      <c r="D31" s="135">
        <f t="shared" si="0"/>
        <v>0</v>
      </c>
      <c r="E31" s="135">
        <f t="shared" si="0"/>
        <v>0</v>
      </c>
      <c r="F31" s="135"/>
      <c r="G31" s="135"/>
      <c r="H31" s="135"/>
      <c r="I31" s="135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104</v>
      </c>
      <c r="B2" s="2"/>
    </row>
    <row r="3" spans="1:23">
      <c r="A3" s="76" t="s">
        <v>105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96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89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90</v>
      </c>
    </row>
    <row r="21" spans="1:23" ht="18">
      <c r="A21" s="128" t="s">
        <v>83</v>
      </c>
    </row>
    <row r="22" spans="1:23" ht="18">
      <c r="A22" s="128" t="s">
        <v>95</v>
      </c>
    </row>
    <row r="23" spans="1:23" ht="18">
      <c r="A23" s="128" t="s">
        <v>97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2026-08-13T18:21:48Z</dcterms:modified>
</cp:coreProperties>
</file>