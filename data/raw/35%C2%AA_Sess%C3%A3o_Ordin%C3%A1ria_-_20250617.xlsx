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428C1D4-83D7-4BD4-8B18-1D1589CDA91F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C29" i="10"/>
  <c r="C30" i="10"/>
  <c r="C31" i="10"/>
  <c r="C27" i="3"/>
  <c r="D27" i="3"/>
  <c r="E27" i="3"/>
  <c r="C28" i="3"/>
  <c r="D28" i="3"/>
  <c r="E28" i="3"/>
  <c r="C29" i="3"/>
  <c r="D29" i="3"/>
  <c r="E29" i="3"/>
  <c r="C30" i="3"/>
  <c r="D30" i="3"/>
  <c r="E30" i="3"/>
  <c r="E27" i="2"/>
  <c r="E28" i="2"/>
  <c r="E29" i="2"/>
  <c r="E30" i="2"/>
  <c r="F27" i="3"/>
  <c r="F28" i="3"/>
  <c r="F29" i="3"/>
  <c r="F30" i="3"/>
  <c r="D28" i="10"/>
  <c r="D29" i="10"/>
  <c r="D30" i="10"/>
  <c r="D31" i="10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V27" i="3"/>
  <c r="DV28" i="3" s="1"/>
  <c r="DV29" i="3" s="1"/>
  <c r="DV30" i="3" s="1"/>
  <c r="DU27" i="3"/>
  <c r="DU28" i="3" s="1"/>
  <c r="DU29" i="3" s="1"/>
  <c r="DU30" i="3" s="1"/>
  <c r="DT27" i="3"/>
  <c r="DT28" i="3" s="1"/>
  <c r="DS27" i="3"/>
  <c r="DR27" i="3"/>
  <c r="DR28" i="3" s="1"/>
  <c r="DR29" i="3" s="1"/>
  <c r="DR30" i="3" s="1"/>
  <c r="DQ27" i="3"/>
  <c r="DQ28" i="3" s="1"/>
  <c r="DQ29" i="3" s="1"/>
  <c r="DQ30" i="3" s="1"/>
  <c r="DP27" i="3"/>
  <c r="DP28" i="3" s="1"/>
  <c r="DP29" i="3" s="1"/>
  <c r="DP30" i="3" s="1"/>
  <c r="DO27" i="3"/>
  <c r="DN27" i="3"/>
  <c r="DN28" i="3" s="1"/>
  <c r="DM27" i="3"/>
  <c r="DM28" i="3" s="1"/>
  <c r="DL27" i="3"/>
  <c r="DL28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F27" i="3"/>
  <c r="DF28" i="3" s="1"/>
  <c r="DF29" i="3" s="1"/>
  <c r="DE27" i="3"/>
  <c r="DE28" i="3" s="1"/>
  <c r="DD27" i="3"/>
  <c r="DD28" i="3" s="1"/>
  <c r="DD29" i="3" s="1"/>
  <c r="DC27" i="3"/>
  <c r="DC28" i="3" s="1"/>
  <c r="DC29" i="3" s="1"/>
  <c r="DC30" i="3" s="1"/>
  <c r="DB27" i="3"/>
  <c r="DB28" i="3" s="1"/>
  <c r="DA27" i="3"/>
  <c r="DA28" i="3" s="1"/>
  <c r="DA29" i="3" s="1"/>
  <c r="DA30" i="3" s="1"/>
  <c r="CZ27" i="3"/>
  <c r="CZ28" i="3" s="1"/>
  <c r="CY27" i="3"/>
  <c r="CX27" i="3"/>
  <c r="CX28" i="3" s="1"/>
  <c r="CX29" i="3" s="1"/>
  <c r="CW27" i="3"/>
  <c r="CW28" i="3" s="1"/>
  <c r="CV27" i="3"/>
  <c r="CV28" i="3" s="1"/>
  <c r="CV29" i="3" s="1"/>
  <c r="CV30" i="3" s="1"/>
  <c r="CU27" i="3"/>
  <c r="CU28" i="3" s="1"/>
  <c r="CU29" i="3" s="1"/>
  <c r="CU30" i="3" s="1"/>
  <c r="CT27" i="3"/>
  <c r="CT28" i="3" s="1"/>
  <c r="CS27" i="3"/>
  <c r="CS28" i="3" s="1"/>
  <c r="CS29" i="3" s="1"/>
  <c r="CS30" i="3" s="1"/>
  <c r="CR27" i="3"/>
  <c r="CR28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N29" i="3" s="1"/>
  <c r="CM27" i="3"/>
  <c r="CM28" i="3" s="1"/>
  <c r="CL27" i="3"/>
  <c r="CL28" i="3" s="1"/>
  <c r="CK27" i="3"/>
  <c r="CK28" i="3" s="1"/>
  <c r="CK29" i="3" s="1"/>
  <c r="CK30" i="3" s="1"/>
  <c r="CJ27" i="3"/>
  <c r="CJ28" i="3" s="1"/>
  <c r="CI27" i="3"/>
  <c r="CI28" i="3" s="1"/>
  <c r="CH27" i="3"/>
  <c r="CG27" i="3"/>
  <c r="CG28" i="3" s="1"/>
  <c r="CF27" i="3"/>
  <c r="CF28" i="3" s="1"/>
  <c r="CF29" i="3" s="1"/>
  <c r="CF30" i="3" s="1"/>
  <c r="CE27" i="3"/>
  <c r="CD27" i="3"/>
  <c r="CD28" i="3" s="1"/>
  <c r="CC27" i="3"/>
  <c r="CC28" i="3" s="1"/>
  <c r="CC29" i="3" s="1"/>
  <c r="CC30" i="3" s="1"/>
  <c r="CB27" i="3"/>
  <c r="CB28" i="3" s="1"/>
  <c r="CA27" i="3"/>
  <c r="CA28" i="3" s="1"/>
  <c r="CA29" i="3" s="1"/>
  <c r="BZ27" i="3"/>
  <c r="BZ28" i="3" s="1"/>
  <c r="BZ29" i="3" s="1"/>
  <c r="BY27" i="3"/>
  <c r="BY28" i="3" s="1"/>
  <c r="BX27" i="3"/>
  <c r="BX28" i="3" s="1"/>
  <c r="BW27" i="3"/>
  <c r="BW28" i="3" s="1"/>
  <c r="BV27" i="3"/>
  <c r="BV28" i="3" s="1"/>
  <c r="BU27" i="3"/>
  <c r="BU28" i="3" s="1"/>
  <c r="BU29" i="3" s="1"/>
  <c r="BU30" i="3" s="1"/>
  <c r="BT27" i="3"/>
  <c r="BT28" i="3" s="1"/>
  <c r="BS27" i="3"/>
  <c r="BS28" i="3" s="1"/>
  <c r="BR27" i="3"/>
  <c r="BR28" i="3" s="1"/>
  <c r="BQ27" i="3"/>
  <c r="BQ28" i="3" s="1"/>
  <c r="BP27" i="3"/>
  <c r="BP28" i="3" s="1"/>
  <c r="BP29" i="3" s="1"/>
  <c r="BO27" i="3"/>
  <c r="BN27" i="3"/>
  <c r="BN28" i="3" s="1"/>
  <c r="BN29" i="3" s="1"/>
  <c r="BM27" i="3"/>
  <c r="BM28" i="3" s="1"/>
  <c r="BM29" i="3" s="1"/>
  <c r="BM30" i="3" s="1"/>
  <c r="BL27" i="3"/>
  <c r="BL28" i="3" s="1"/>
  <c r="BK27" i="3"/>
  <c r="BK28" i="3" s="1"/>
  <c r="BJ27" i="3"/>
  <c r="BJ28" i="3" s="1"/>
  <c r="BJ29" i="3" s="1"/>
  <c r="BJ30" i="3" s="1"/>
  <c r="BI27" i="3"/>
  <c r="BI28" i="3" s="1"/>
  <c r="BH27" i="3"/>
  <c r="BH28" i="3" s="1"/>
  <c r="BH29" i="3" s="1"/>
  <c r="BH30" i="3" s="1"/>
  <c r="BG27" i="3"/>
  <c r="BG28" i="3" s="1"/>
  <c r="BG29" i="3" s="1"/>
  <c r="BG30" i="3" s="1"/>
  <c r="BF27" i="3"/>
  <c r="BF28" i="3" s="1"/>
  <c r="BF29" i="3" s="1"/>
  <c r="BF30" i="3" s="1"/>
  <c r="BE27" i="3"/>
  <c r="BE28" i="3" s="1"/>
  <c r="BD27" i="3"/>
  <c r="BD28" i="3" s="1"/>
  <c r="BC27" i="3"/>
  <c r="BC28" i="3" s="1"/>
  <c r="BC29" i="3" s="1"/>
  <c r="BB27" i="3"/>
  <c r="BB28" i="3" s="1"/>
  <c r="BB29" i="3" s="1"/>
  <c r="BA27" i="3"/>
  <c r="BA28" i="3" s="1"/>
  <c r="BA29" i="3" s="1"/>
  <c r="BA30" i="3" s="1"/>
  <c r="AZ27" i="3"/>
  <c r="AZ28" i="3" s="1"/>
  <c r="AY27" i="3"/>
  <c r="AY28" i="3" s="1"/>
  <c r="AY29" i="3" s="1"/>
  <c r="AY30" i="3" s="1"/>
  <c r="AX27" i="3"/>
  <c r="AX28" i="3" s="1"/>
  <c r="AW27" i="3"/>
  <c r="AW28" i="3" s="1"/>
  <c r="AW29" i="3" s="1"/>
  <c r="AW30" i="3" s="1"/>
  <c r="AV27" i="3"/>
  <c r="AV28" i="3" s="1"/>
  <c r="AU27" i="3"/>
  <c r="AU28" i="3" s="1"/>
  <c r="AT27" i="3"/>
  <c r="AT28" i="3" s="1"/>
  <c r="AS27" i="3"/>
  <c r="AS28" i="3" s="1"/>
  <c r="AR27" i="3"/>
  <c r="AR28" i="3" s="1"/>
  <c r="AR29" i="3" s="1"/>
  <c r="AR30" i="3" s="1"/>
  <c r="AQ27" i="3"/>
  <c r="AQ28" i="3" s="1"/>
  <c r="AQ29" i="3" s="1"/>
  <c r="AP27" i="3"/>
  <c r="AP28" i="3" s="1"/>
  <c r="AP29" i="3" s="1"/>
  <c r="AP30" i="3" s="1"/>
  <c r="AO27" i="3"/>
  <c r="AO28" i="3" s="1"/>
  <c r="AN27" i="3"/>
  <c r="AN28" i="3" s="1"/>
  <c r="AM27" i="3"/>
  <c r="AM28" i="3" s="1"/>
  <c r="AL27" i="3"/>
  <c r="AL28" i="3" s="1"/>
  <c r="AL29" i="3" s="1"/>
  <c r="AK27" i="3"/>
  <c r="AK28" i="3" s="1"/>
  <c r="AK29" i="3" s="1"/>
  <c r="AJ27" i="3"/>
  <c r="AJ28" i="3" s="1"/>
  <c r="AJ29" i="3" s="1"/>
  <c r="AI27" i="3"/>
  <c r="AH27" i="3"/>
  <c r="AH28" i="3" s="1"/>
  <c r="AH29" i="3" s="1"/>
  <c r="AH30" i="3" s="1"/>
  <c r="AG27" i="3"/>
  <c r="AG28" i="3" s="1"/>
  <c r="AF27" i="3"/>
  <c r="AF28" i="3" s="1"/>
  <c r="AF29" i="3" s="1"/>
  <c r="AF30" i="3" s="1"/>
  <c r="AE27" i="3"/>
  <c r="AE28" i="3" s="1"/>
  <c r="AE29" i="3" s="1"/>
  <c r="AD27" i="3"/>
  <c r="AD28" i="3" s="1"/>
  <c r="AC27" i="3"/>
  <c r="AC28" i="3" s="1"/>
  <c r="AB27" i="3"/>
  <c r="AB28" i="3" s="1"/>
  <c r="AA27" i="3"/>
  <c r="AA28" i="3" s="1"/>
  <c r="AA29" i="3" s="1"/>
  <c r="AA30" i="3" s="1"/>
  <c r="Z27" i="3"/>
  <c r="Z28" i="3" s="1"/>
  <c r="Z29" i="3" s="1"/>
  <c r="Z30" i="3" s="1"/>
  <c r="Y27" i="3"/>
  <c r="Y28" i="3" s="1"/>
  <c r="X27" i="3"/>
  <c r="W27" i="3"/>
  <c r="V27" i="3"/>
  <c r="V28" i="3" s="1"/>
  <c r="V29" i="3" s="1"/>
  <c r="U27" i="3"/>
  <c r="U28" i="3" s="1"/>
  <c r="T27" i="3"/>
  <c r="T28" i="3" s="1"/>
  <c r="T29" i="3" s="1"/>
  <c r="T30" i="3" s="1"/>
  <c r="S27" i="3"/>
  <c r="S28" i="3" s="1"/>
  <c r="R27" i="3"/>
  <c r="R28" i="3" s="1"/>
  <c r="R29" i="3" s="1"/>
  <c r="R30" i="3" s="1"/>
  <c r="Q27" i="3"/>
  <c r="Q28" i="3" s="1"/>
  <c r="P27" i="3"/>
  <c r="P28" i="3" s="1"/>
  <c r="P29" i="3" s="1"/>
  <c r="P30" i="3" s="1"/>
  <c r="O27" i="3"/>
  <c r="O28" i="3" s="1"/>
  <c r="N27" i="3"/>
  <c r="N28" i="3" s="1"/>
  <c r="N29" i="3" s="1"/>
  <c r="N30" i="3" s="1"/>
  <c r="M27" i="3"/>
  <c r="M28" i="3" s="1"/>
  <c r="DE29" i="3" l="1"/>
  <c r="DE30" i="3" s="1"/>
  <c r="BY29" i="3"/>
  <c r="BY30" i="3" s="1"/>
  <c r="CO29" i="3"/>
  <c r="CO30" i="3" s="1"/>
  <c r="AS29" i="3"/>
  <c r="AS30" i="3" s="1"/>
  <c r="CZ29" i="3"/>
  <c r="CZ30" i="3" s="1"/>
  <c r="BQ29" i="3"/>
  <c r="BQ30" i="3" s="1"/>
  <c r="BT29" i="3"/>
  <c r="BT30" i="3" s="1"/>
  <c r="BI29" i="3"/>
  <c r="BI30" i="3" s="1"/>
  <c r="CB29" i="3"/>
  <c r="CB30" i="3" s="1"/>
  <c r="U29" i="3"/>
  <c r="U30" i="3" s="1"/>
  <c r="AD29" i="3"/>
  <c r="AD30" i="3" s="1"/>
  <c r="BV29" i="3"/>
  <c r="BV30" i="3" s="1"/>
  <c r="AT29" i="3"/>
  <c r="AT30" i="3" s="1"/>
  <c r="CR29" i="3"/>
  <c r="CR30" i="3" s="1"/>
  <c r="CY28" i="3"/>
  <c r="CY29" i="3" s="1"/>
  <c r="CY30" i="3" s="1"/>
  <c r="DS28" i="3"/>
  <c r="DS29" i="3" s="1"/>
  <c r="DS30" i="3" s="1"/>
  <c r="CJ29" i="3"/>
  <c r="CJ30" i="3" s="1"/>
  <c r="AI28" i="3"/>
  <c r="AI29" i="3" s="1"/>
  <c r="AI30" i="3" s="1"/>
  <c r="CE28" i="3"/>
  <c r="CE29" i="3" s="1"/>
  <c r="CE30" i="3" s="1"/>
  <c r="CI29" i="3"/>
  <c r="CI30" i="3" s="1"/>
  <c r="AB29" i="3"/>
  <c r="AB30" i="3" s="1"/>
  <c r="AM29" i="3"/>
  <c r="AM30" i="3" s="1"/>
  <c r="BO28" i="3"/>
  <c r="BO29" i="3" s="1"/>
  <c r="BO30" i="3" s="1"/>
  <c r="DO28" i="3"/>
  <c r="DO29" i="3" s="1"/>
  <c r="DO30" i="3" s="1"/>
  <c r="BK29" i="3"/>
  <c r="BK30" i="3" s="1"/>
  <c r="BR29" i="3"/>
  <c r="BR30" i="3" s="1"/>
  <c r="AJ30" i="3"/>
  <c r="CX30" i="3"/>
  <c r="DH29" i="3"/>
  <c r="DH30" i="3" s="1"/>
  <c r="X28" i="3"/>
  <c r="X29" i="3" s="1"/>
  <c r="X30" i="3" s="1"/>
  <c r="AU29" i="3"/>
  <c r="AU30" i="3" s="1"/>
  <c r="CH28" i="3"/>
  <c r="CH29" i="3" s="1"/>
  <c r="CH30" i="3" s="1"/>
  <c r="O29" i="3"/>
  <c r="O30" i="3" s="1"/>
  <c r="S29" i="3"/>
  <c r="S30" i="3" s="1"/>
  <c r="DG29" i="3"/>
  <c r="DG30" i="3" s="1"/>
  <c r="DK29" i="3"/>
  <c r="DK30" i="3" s="1"/>
  <c r="M29" i="3"/>
  <c r="M30" i="3" s="1"/>
  <c r="DB29" i="3"/>
  <c r="DB30" i="3" s="1"/>
  <c r="DM29" i="3"/>
  <c r="DM30" i="3" s="1"/>
  <c r="BX29" i="3"/>
  <c r="BX30" i="3" s="1"/>
  <c r="CL29" i="3"/>
  <c r="CL30" i="3" s="1"/>
  <c r="CD29" i="3"/>
  <c r="CD30" i="3" s="1"/>
  <c r="V30" i="3"/>
  <c r="DN29" i="3"/>
  <c r="DN30" i="3" s="1"/>
  <c r="AQ30" i="3"/>
  <c r="DD30" i="3"/>
  <c r="CW29" i="3"/>
  <c r="CW30" i="3" s="1"/>
  <c r="CG29" i="3"/>
  <c r="CG30" i="3" s="1"/>
  <c r="AC29" i="3"/>
  <c r="AC30" i="3" s="1"/>
  <c r="CT29" i="3"/>
  <c r="CT30" i="3" s="1"/>
  <c r="W28" i="3"/>
  <c r="W29" i="3" s="1"/>
  <c r="W30" i="3" s="1"/>
  <c r="DF30" i="3"/>
  <c r="AN29" i="3"/>
  <c r="AN30" i="3" s="1"/>
  <c r="AE30" i="3"/>
  <c r="AK30" i="3"/>
  <c r="BL29" i="3"/>
  <c r="BL30" i="3" s="1"/>
  <c r="AL30" i="3"/>
  <c r="BW29" i="3"/>
  <c r="BW30" i="3" s="1"/>
  <c r="CQ29" i="3"/>
  <c r="CQ30" i="3" s="1"/>
  <c r="BC30" i="3"/>
  <c r="BB30" i="3"/>
  <c r="BP30" i="3"/>
  <c r="CN30" i="3"/>
  <c r="Y29" i="3"/>
  <c r="Y30" i="3" s="1"/>
  <c r="BS29" i="3"/>
  <c r="BS30" i="3" s="1"/>
  <c r="AV29" i="3"/>
  <c r="AV30" i="3" s="1"/>
  <c r="CM29" i="3"/>
  <c r="CM30" i="3" s="1"/>
  <c r="BN30" i="3"/>
  <c r="AG29" i="3"/>
  <c r="AG30" i="3" s="1"/>
  <c r="BD29" i="3"/>
  <c r="BD30" i="3" s="1"/>
  <c r="DT29" i="3"/>
  <c r="DT30" i="3" s="1"/>
  <c r="DL29" i="3"/>
  <c r="DL30" i="3" s="1"/>
  <c r="DJ30" i="3"/>
  <c r="Q29" i="3"/>
  <c r="Q30" i="3" s="1"/>
  <c r="AX29" i="3"/>
  <c r="AX30" i="3" s="1"/>
  <c r="CA30" i="3"/>
  <c r="BZ30" i="3"/>
  <c r="AO29" i="3"/>
  <c r="AO30" i="3" s="1"/>
  <c r="AZ29" i="3"/>
  <c r="AZ30" i="3" s="1"/>
  <c r="BE29" i="3"/>
  <c r="BE30" i="3" s="1"/>
</calcChain>
</file>

<file path=xl/sharedStrings.xml><?xml version="1.0" encoding="utf-8"?>
<sst xmlns="http://schemas.openxmlformats.org/spreadsheetml/2006/main" count="524" uniqueCount="145">
  <si>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</si>
  <si>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</si>
  <si>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</si>
  <si>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</si>
  <si>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</si>
  <si>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</si>
  <si>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</si>
  <si>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</si>
  <si>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</si>
  <si>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</si>
  <si>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</si>
  <si>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</si>
  <si>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</si>
  <si>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</si>
  <si>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</si>
  <si>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</si>
  <si>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</si>
  <si>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</si>
  <si>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</si>
  <si>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</si>
  <si>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</si>
  <si>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</si>
  <si>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</si>
  <si>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</si>
  <si>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</si>
  <si>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</si>
  <si>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</si>
  <si>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</si>
  <si>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</si>
  <si>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</si>
  <si>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</si>
  <si>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</si>
  <si>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</si>
  <si>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</si>
  <si>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</si>
  <si>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</si>
  <si>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</si>
  <si>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</si>
  <si>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</si>
  <si>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</si>
  <si>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</si>
  <si>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</si>
  <si>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</si>
  <si>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</si>
  <si>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</si>
  <si>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</si>
  <si>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</si>
  <si>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</si>
  <si>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</si>
  <si>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</si>
  <si>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</si>
  <si>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</si>
  <si>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</si>
  <si>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</si>
  <si>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</si>
  <si>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</si>
  <si>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</si>
  <si>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</si>
  <si>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</si>
  <si>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</si>
  <si>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</si>
  <si>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</si>
  <si>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</si>
  <si>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</si>
  <si>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</si>
  <si>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</si>
  <si>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</si>
  <si>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</si>
  <si>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</si>
  <si>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</si>
  <si>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</si>
  <si>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</si>
  <si>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</si>
  <si>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</si>
  <si>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</si>
  <si>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</si>
  <si>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</si>
  <si>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</si>
  <si>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</si>
  <si>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</si>
  <si>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</si>
  <si>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</si>
  <si>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</si>
  <si>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</si>
  <si>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</si>
  <si>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</si>
  <si>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</si>
  <si>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</si>
  <si>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</si>
  <si>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</si>
  <si>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</si>
  <si>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</si>
  <si>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</si>
  <si>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</si>
  <si>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</si>
  <si>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</si>
  <si>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APROVADO
VOTAÇÃO SIMBÓLICA</t>
  </si>
  <si>
    <t>André Luís Alves Pereira</t>
  </si>
  <si>
    <t xml:space="preserve"> </t>
  </si>
  <si>
    <t>Batista Comunidade</t>
  </si>
  <si>
    <t>Lúcia da Saúde</t>
  </si>
  <si>
    <r>
      <t xml:space="preserve">MOÇÃO DE APLAUSOS nº 282/2025 – ALEXANDRE CAPRIOTTI - </t>
    </r>
    <r>
      <rPr>
        <sz val="11"/>
        <color theme="1"/>
        <rFont val="Arial"/>
        <family val="2"/>
      </rPr>
      <t>Ao Grupo “Lá Vem Elas”, um grupo de Mulheres que promovem a saúde física e mental através de atividades físicas.</t>
    </r>
  </si>
  <si>
    <r>
      <t>MOÇÃO DE RECONHECIMENTO Nº 284/2025 – GABRIEL SAÚDE -</t>
    </r>
    <r>
      <rPr>
        <sz val="11"/>
        <color theme="1"/>
        <rFont val="Arial"/>
        <family val="2"/>
      </rPr>
      <t xml:space="preserve"> A Carla Monteiro, coordenadora de enfermagem do Hospital Municipal Antônio Giglio, pela excelência no exercício da enfermagem e por sua atuação transformadora na instituição.</t>
    </r>
  </si>
  <si>
    <r>
      <t>MOÇÃO DE RECONHECIMENTO Nº 285/2025 – GABRIEL SAÚDE –</t>
    </r>
    <r>
      <rPr>
        <sz val="11"/>
        <color theme="1"/>
        <rFont val="Arial"/>
        <family val="2"/>
      </rPr>
      <t xml:space="preserve"> À Caroline Martins dos Santos, coordenadora de enfermagem do Hospital Municipal Antônio Giglio, por sua dedicação à enfermagem e contribuição à qualidade do atendimento prestado.</t>
    </r>
  </si>
  <si>
    <r>
      <t>MOÇÃO DE RECONHECIMENTO nº 289/2025 – LAÉRCIO MENDONÇA -</t>
    </r>
    <r>
      <rPr>
        <sz val="11"/>
        <color theme="1"/>
        <rFont val="Arial"/>
        <family val="2"/>
      </rPr>
      <t xml:space="preserve"> À Secretaria de Meio Ambiente e Recursos Hídricos - SEMARH, pela agilidade e excelência nos serviços prestados à população osasquense.</t>
    </r>
  </si>
  <si>
    <r>
      <t>MOÇÃO DE RECONHECIMENTO nº 283/2025 – GABRIEL SAÚDE -</t>
    </r>
    <r>
      <rPr>
        <sz val="11"/>
        <color theme="1"/>
        <rFont val="Arial"/>
        <family val="2"/>
      </rPr>
      <t xml:space="preserve"> A Tatiana Silva de Oliveira, gerente assistencial do Hospital Municipal Antônio Giglio, em reconhecimento à sua trajetória profissional dedicada à saúde pública de Osasco, especialmente na referida instituição.</t>
    </r>
  </si>
  <si>
    <r>
      <t xml:space="preserve">MOÇÃO DE RECONHECIMENTO Nº 286/2025 – GABRIEL SAÚDE - </t>
    </r>
    <r>
      <rPr>
        <sz val="11"/>
        <color theme="1"/>
        <rFont val="Arial"/>
        <family val="2"/>
      </rPr>
      <t>A Rafael dos Santos Lisboa, coordenador administrativo do Hospital Municipal Antônio Giglio, pela sua atuação humanizada, ética e eficiente na gestão da unidade.</t>
    </r>
  </si>
  <si>
    <r>
      <t xml:space="preserve">MOÇÃO DE RECONHECIMENTO Nº 288/2025 – GABRIEL SAÚDE - </t>
    </r>
    <r>
      <rPr>
        <sz val="11"/>
        <color theme="1"/>
        <rFont val="Arial"/>
        <family val="2"/>
      </rPr>
      <t>Ao Dr. Mário Antônio Raimundo Neto, médico do Hospital Municipal Antônio Giglio, pela sua dedicação à saúde pública e pelo atendimento humanizado prestado aos pacientes da unidade.</t>
    </r>
  </si>
  <si>
    <r>
      <t xml:space="preserve">MOÇÃO DE APOIO Nº 293/2025 – STEPHANE ROSSI - </t>
    </r>
    <r>
      <rPr>
        <sz val="11"/>
        <color theme="1"/>
        <rFont val="Arial"/>
        <family val="2"/>
      </rPr>
      <t>À Semana Municipal de Combate à Violência contra a Pessoa Idosa, realizada na terceira semana de junho.</t>
    </r>
  </si>
  <si>
    <t>pela ausência da autora, será pautada na próxima sessão.</t>
  </si>
  <si>
    <t>35ª SESSÃO ORDINÁRIA</t>
  </si>
  <si>
    <t>DIA 17 DE JUNHO DE 2025 - TERÇA-FEIRA</t>
  </si>
  <si>
    <t>DIA 17 DE JUNHO DE 2025 - TERÇA–FEIRA</t>
  </si>
  <si>
    <r>
      <t xml:space="preserve">Ofício Prolegis nº 14/2025 – Prefeito do Município de Osasco - </t>
    </r>
    <r>
      <rPr>
        <sz val="12"/>
        <color rgb="FF000000"/>
        <rFont val="Calibri"/>
        <family val="2"/>
      </rPr>
      <t>Informa a sanção da Lei nº 5.395, de 10 de junho de 2025, referente ao projeto de lei nº 87/2022 de autoria do vereador Josias da Juco, que institui a semana da conscientização e combate à aporofobia.</t>
    </r>
  </si>
  <si>
    <r>
      <t xml:space="preserve">Ofício Prolegis nº 15/2025 – Prefeito do Município de Osasco - </t>
    </r>
    <r>
      <rPr>
        <sz val="12"/>
        <color rgb="FF000000"/>
        <rFont val="Calibri"/>
        <family val="2"/>
      </rPr>
      <t>Informa a sanção da Lei nº 5.396, de 10 de junho de 2025, referente ao projeto de lei nº 65/2025 de autoria do vereador Guiga, que Institui a Semana Municipal de Conscientização sobre a Segurança Digital a Proteção de Dados.</t>
    </r>
  </si>
  <si>
    <r>
      <t xml:space="preserve">Ofício Prolegis nº 16/2025 – Prefeito do Município de Osasco - </t>
    </r>
    <r>
      <rPr>
        <sz val="12"/>
        <color rgb="FF000000"/>
        <rFont val="Calibri"/>
        <family val="2"/>
      </rPr>
      <t>Informa a sanção da Lei nº 5.397, de 11 de junho de 2025, referente ao projeto de lei nº 85/2025, que dispõe sobre reajuste aos servidores ativos e inativos da Câmara Municipal de Osasco.</t>
    </r>
  </si>
  <si>
    <r>
      <t xml:space="preserve">Ofício Prolegis nº 17/2025 – Prefeito do Município de Osasco - </t>
    </r>
    <r>
      <rPr>
        <sz val="12"/>
        <color rgb="FF000000"/>
        <rFont val="Calibri"/>
        <family val="2"/>
      </rPr>
      <t>Informa a sanção da Lei Complementar nº 446, de 11 de junho de 2025, referente ao projeto de lei complementar nº 1/2025, que dispõe sobre a alteração da Lei Complementar nº 442, de 20 de dezembro de 2024.</t>
    </r>
  </si>
  <si>
    <r>
      <t xml:space="preserve">Decretos nº 14.670 e 14.671 de 11 de junho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</si>
  <si>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Decreto nº 14.672 de 16 de maio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</si>
  <si>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Projeto de Lei nº 79/2025 – Gabriel Saúde - </t>
    </r>
    <r>
      <rPr>
        <sz val="12"/>
        <color rgb="FF000000"/>
        <rFont val="Calibri"/>
        <family val="2"/>
      </rPr>
      <t>Dispõe sobre a obrigatoriedade da instalação de piso tátil de alerta e direcional em novas construções públicas e privadas no Município de Osasco.</t>
    </r>
  </si>
  <si>
    <r>
      <t xml:space="preserve">Projeto de Resolução nº 5/2025 – Alexandre Capriotti – </t>
    </r>
    <r>
      <rPr>
        <sz val="12"/>
        <color rgb="FF000000"/>
        <rFont val="Calibri"/>
        <family val="2"/>
      </rPr>
      <t>Institui o “Kids Day” no âmbito da Câmara Municipal de Osasco.</t>
    </r>
  </si>
  <si>
    <r>
      <t xml:space="preserve">MOÇÃO DE APELO Nº 280/2025 – HEBER DO JUNTOZ - </t>
    </r>
    <r>
      <rPr>
        <sz val="11"/>
        <color theme="1"/>
        <rFont val="Arial"/>
        <family val="2"/>
      </rPr>
      <t>Pela criação e implementação de políticas públicas de apoio aos cuidadores, especialmente mulheres, que desempenham papel fundamental no cuidado de pessoas com dependência contínua, no Município de Osasco.</t>
    </r>
  </si>
  <si>
    <r>
      <t>MOÇÃO DE RECONHECIMENTO Nº 287/2025 – GABRIEL SAÚDE -</t>
    </r>
    <r>
      <rPr>
        <sz val="11"/>
        <color theme="1"/>
        <rFont val="Arial"/>
        <family val="2"/>
      </rPr>
      <t xml:space="preserve"> A Weudja Vieira de Araújo, coordenadora administrativa do Ambulatório e do Departamento de Cirurgias do Hospital Municipal Antônio Giglio, pelos relevantes serviços prestados à saúde pública do município.</t>
    </r>
  </si>
  <si>
    <r>
      <t xml:space="preserve">MOÇÃO DE CONGRATULAÇÕES Nº 296/2025 – ELSA OLIVEIRA - </t>
    </r>
    <r>
      <rPr>
        <sz val="11"/>
        <color theme="1"/>
        <rFont val="Arial"/>
        <family val="2"/>
      </rPr>
      <t>Às Servidoras Públicas Maytê Prado de Lima e Érica Aparecida de Jesus Paulino, da Secretaria de Habitação - SEHAB, pelo brilhante desenvolvimento do projeto "Parques para a Primeira Infância", que obteve reconhecimento nacional no evento Convergência 2025: Inovação Pública e Conexão Humana, realizado em Belo Horizonte/MG.</t>
    </r>
  </si>
  <si>
    <r>
      <t xml:space="preserve">MOÇÃO DE APELO Nº 298/2025 – LÚCIA DE SAÚDE - </t>
    </r>
    <r>
      <rPr>
        <sz val="11"/>
        <color theme="1"/>
        <rFont val="Arial"/>
        <family val="2"/>
      </rPr>
      <t>À Secretaria Municipal de Saúde de Osasco para esclarecimentos e providências urgentes diante do surto de Síndrome Respiratória Aguda Grave (SRAG) que tem atingido o município de Osasco.</t>
    </r>
  </si>
  <si>
    <r>
      <t xml:space="preserve">MOÇÃO DE CONGRATULAÇÕES Nº 299/2025 - DÉLBIO TERUEL - </t>
    </r>
    <r>
      <rPr>
        <sz val="11"/>
        <color theme="1"/>
        <rFont val="Arial"/>
        <family val="2"/>
      </rPr>
      <t>Pelos 63 anos da Associação Comercial e Empresarial de Osasco (ACEO), comemorados com uma grandiosa solenidade no último dia 10 de junho de 2025.</t>
    </r>
  </si>
  <si>
    <r>
      <t xml:space="preserve">MOÇÃO DE APLAUSOS Nº 300/2025 – ELSA OLIVEIRA - </t>
    </r>
    <r>
      <rPr>
        <sz val="11"/>
        <color theme="1"/>
        <rFont val="Arial"/>
        <family val="2"/>
      </rPr>
      <t>Ao Instituto CAJU - Unidade de Osasco, sediado no bairro Jardim Conceição, pelo relevante e inspirador trabalho social, educacional e comunitário às crianças, adolescentes e famílias da cidade de Osasco.</t>
    </r>
  </si>
  <si>
    <r>
      <t>MOÇÃO DE RECONHECIMENTO Nº 301/2025 – GABRIEL SAÚDE -</t>
    </r>
    <r>
      <rPr>
        <sz val="11"/>
        <color theme="1"/>
        <rFont val="Arial"/>
        <family val="2"/>
      </rPr>
      <t xml:space="preserve"> À Fernanda Nicola, em justa e merecida homenagem por sua exemplar trajetória no serviço público e pela significativa contribuição à qualidade do atendimento prestado à população osasquense no Hospital Municipal Antônio Giglio (HMAG). Seu compromisso, dedicação e sensibilidade no trato com os cidadãos fazem dela uma referência de profissionalismo e humanidade.</t>
    </r>
  </si>
  <si>
    <r>
      <t xml:space="preserve">MOÇÃO DE RECONHECIMENTO Nº 302/2025 – HEBER DO JUNTOZ – </t>
    </r>
    <r>
      <rPr>
        <sz val="11"/>
        <color theme="1"/>
        <rFont val="Arial"/>
        <family val="2"/>
      </rPr>
      <t>Ao marco de 10 anos da promulgação da Lei Brasileira de Inclusão da Pessoa com Deficiência - Estatuto Da Pessoa Com Deficiência.</t>
    </r>
  </si>
  <si>
    <t>esgotado o tempo regimental, será pautada na próxima sessão.</t>
  </si>
  <si>
    <r>
      <t xml:space="preserve">MOÇÃO DE CONGRATULAÇÕES Nº 303/2025 – SÉRGIO FONTELLAS - </t>
    </r>
    <r>
      <rPr>
        <sz val="11"/>
        <color theme="1"/>
        <rFont val="Arial"/>
        <family val="2"/>
      </rPr>
      <t>Pelo Dia da Guarda Municipal, pelos relevantes serviços de segurança pública, prestados na Cidade de Osasco.</t>
    </r>
  </si>
  <si>
    <r>
      <t xml:space="preserve">MOÇÃO DE RECONHECIMENTO Nº 304/2025 – GUILHERME PRADO - </t>
    </r>
    <r>
      <rPr>
        <sz val="11"/>
        <color theme="1"/>
        <rFont val="Arial"/>
        <family val="2"/>
      </rPr>
      <t>À Emanuelle Augusta Grossi da Silva, Gerente de Fiscalização Ambiental, da Secretaria de Meio Ambiente e Recursos Hídricos (SEMARH), pelo compromisso, dedicação e relevante contribuição à preservação ambiental e ao embelezamento das áreas públicas do município de Osasco.</t>
    </r>
  </si>
  <si>
    <r>
      <t xml:space="preserve">MOÇÃO DE RECONHECIMENTO Nº 305/2025 – LÚCIA DA SAÚDE - </t>
    </r>
    <r>
      <rPr>
        <sz val="11"/>
        <color theme="1"/>
        <rFont val="Arial"/>
        <family val="2"/>
      </rPr>
      <t>Ao vereador Rodolfo Cara, pelo alto desempenho legislativo e relevantes indicações em benefício da população osasquense.</t>
    </r>
  </si>
  <si>
    <r>
      <t xml:space="preserve">MOÇÃO DE APLAUSOS Nº 306/2025 – PEDRINHO CANTAGESSI - </t>
    </r>
    <r>
      <rPr>
        <sz val="11"/>
        <color theme="1"/>
        <rFont val="Arial"/>
        <family val="2"/>
      </rPr>
      <t>A Fábio da Silva Ferreira - Fábio Portelinha, criador do Projeto Dignidade, que luta por moradias seguras, acessíveis e humanas no Município de Osasco.</t>
    </r>
  </si>
  <si>
    <r>
      <t>MOÇÃO DE APLAUSOS Nº 309/2025 – ANDREZINHO -</t>
    </r>
    <r>
      <rPr>
        <sz val="11"/>
        <color theme="1"/>
        <rFont val="Arial"/>
        <family val="2"/>
      </rPr>
      <t xml:space="preserve"> Ao Éder Alberto Ramos Máximo pela sua trajetória pessoal e profissional.</t>
    </r>
  </si>
  <si>
    <r>
      <t xml:space="preserve">PROJETO DE LEI Nº 20/2025 – GUILHERME PRADO – </t>
    </r>
    <r>
      <rPr>
        <sz val="14"/>
        <color theme="1"/>
        <rFont val="Arial"/>
        <family val="2"/>
      </rPr>
      <t>Institui a Semana da Mãe Atípica.</t>
    </r>
  </si>
  <si>
    <t>pela ausência do autor, será pautado na próxima sessão.</t>
  </si>
  <si>
    <r>
      <t>PROJETO DE LEI Nº 38/2024 – BATISTA COMUNIDADE –</t>
    </r>
    <r>
      <rPr>
        <sz val="11"/>
        <color theme="1"/>
        <rFont val="Arial"/>
        <family val="2"/>
      </rPr>
      <t xml:space="preserve"> Institui o Dia Municipal do Opala.</t>
    </r>
  </si>
  <si>
    <r>
      <t xml:space="preserve">PROJETO DE LEI Nº 17/2025 – HEBER DO JUNTOZ </t>
    </r>
    <r>
      <rPr>
        <sz val="11"/>
        <color theme="1"/>
        <rFont val="Arial"/>
        <family val="2"/>
      </rPr>
      <t>- Altera a Lei nº 4.019, de 23 de março de 2006, que dispõe sobre o Programa de Agricultura Urbana - PRAURB, no Município de Osasco e dá outras providências.</t>
    </r>
  </si>
  <si>
    <r>
      <t xml:space="preserve">PROJETO DE LEI Nº 23/2025 – HEBER DO JUNTOZ - </t>
    </r>
    <r>
      <rPr>
        <sz val="11"/>
        <color theme="1"/>
        <rFont val="Arial"/>
        <family val="2"/>
      </rPr>
      <t>Dispõe da criação, no município de Osasco-SP, de cursos extensivos preparatórios para o ingresso no ensino superior e em escolas técnicas.</t>
    </r>
  </si>
  <si>
    <r>
      <t xml:space="preserve">PROJETO DE LEI Nº 53/2025 – STEPHANE ROSSI - </t>
    </r>
    <r>
      <rPr>
        <sz val="11"/>
        <color theme="1"/>
        <rFont val="Arial"/>
        <family val="2"/>
      </rPr>
      <t>Institui a Semana Municipal de Incentivo à Adoção de Crianças e Adolescentes.</t>
    </r>
  </si>
  <si>
    <t>na presidência</t>
  </si>
  <si>
    <r>
      <t xml:space="preserve">PROJETO DE DECRETO LEGISLATIVO Nº 29/2025 - COMISSÃO DE ECONOMIA E FINANÇAS – </t>
    </r>
    <r>
      <rPr>
        <sz val="11"/>
        <color theme="1"/>
        <rFont val="Arial"/>
        <family val="2"/>
      </rPr>
      <t>Dispõe sobre a aprovação das contas da Prefeitura do Município de Osasco referente ao exercício de 2021.</t>
    </r>
  </si>
  <si>
    <r>
      <t xml:space="preserve">PROJETO DE DECRETO LEGISLATIVO Nº 30/2025 - COMISSÃO DE ECONOMIA E FINANÇAS – </t>
    </r>
    <r>
      <rPr>
        <sz val="11"/>
        <color theme="1"/>
        <rFont val="Arial"/>
        <family val="2"/>
      </rPr>
      <t>Dispõe sobre a aprovação das contas da Prefeitura do Município de Osasco referente ao exercício de 2022.</t>
    </r>
  </si>
  <si>
    <t>abstenção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</si>
</sst>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K17" sqref="K1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110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111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99</v>
      </c>
      <c r="B6" s="89">
        <v>2</v>
      </c>
      <c r="C6" s="103" t="s">
        <v>56</v>
      </c>
      <c r="D6" s="63"/>
      <c r="E6" s="103"/>
      <c r="F6" s="89">
        <v>2</v>
      </c>
      <c r="G6" s="103" t="s">
        <v>56</v>
      </c>
      <c r="H6" s="63"/>
      <c r="I6" s="62"/>
      <c r="J6" s="63">
        <v>1</v>
      </c>
      <c r="K6" s="62" t="s">
        <v>55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58</v>
      </c>
      <c r="B8" s="89">
        <v>1</v>
      </c>
      <c r="C8" s="62" t="s">
        <v>55</v>
      </c>
      <c r="D8" s="63"/>
      <c r="E8" s="62"/>
      <c r="F8" s="89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9">
        <v>2</v>
      </c>
      <c r="C9" s="103" t="s">
        <v>56</v>
      </c>
      <c r="D9" s="63"/>
      <c r="E9" s="62"/>
      <c r="F9" s="89">
        <v>2</v>
      </c>
      <c r="G9" s="103" t="s">
        <v>56</v>
      </c>
      <c r="H9" s="63"/>
      <c r="I9" s="62"/>
      <c r="J9" s="63">
        <v>1</v>
      </c>
      <c r="K9" s="62" t="s">
        <v>55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59</v>
      </c>
      <c r="B10" s="89">
        <v>1</v>
      </c>
      <c r="C10" s="62" t="s">
        <v>55</v>
      </c>
      <c r="D10" s="63"/>
      <c r="E10" s="62"/>
      <c r="F10" s="89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55</v>
      </c>
      <c r="D11" s="63"/>
      <c r="E11" s="62"/>
      <c r="F11" s="89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56</v>
      </c>
      <c r="D12" s="63"/>
      <c r="E12" s="103"/>
      <c r="F12" s="89">
        <v>2</v>
      </c>
      <c r="G12" s="103" t="s">
        <v>56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2</v>
      </c>
      <c r="C13" s="103" t="s">
        <v>56</v>
      </c>
      <c r="D13" s="63"/>
      <c r="E13" s="62"/>
      <c r="F13" s="89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60</v>
      </c>
      <c r="B14" s="89">
        <v>2</v>
      </c>
      <c r="C14" s="103" t="s">
        <v>56</v>
      </c>
      <c r="D14" s="63"/>
      <c r="E14" s="62"/>
      <c r="F14" s="89">
        <v>2</v>
      </c>
      <c r="G14" s="103" t="s">
        <v>56</v>
      </c>
      <c r="H14" s="63"/>
      <c r="I14" s="62"/>
      <c r="J14" s="63">
        <v>1</v>
      </c>
      <c r="K14" s="62" t="s">
        <v>55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61</v>
      </c>
      <c r="B15" s="89">
        <v>1</v>
      </c>
      <c r="C15" s="62" t="s">
        <v>55</v>
      </c>
      <c r="D15" s="63"/>
      <c r="E15" s="62"/>
      <c r="F15" s="89">
        <v>1</v>
      </c>
      <c r="G15" s="62" t="s">
        <v>55</v>
      </c>
      <c r="H15" s="63"/>
      <c r="I15" s="62"/>
      <c r="J15" s="63">
        <v>1</v>
      </c>
      <c r="K15" s="62" t="s">
        <v>55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9">
        <v>1</v>
      </c>
      <c r="C17" s="62" t="s">
        <v>55</v>
      </c>
      <c r="D17" s="63"/>
      <c r="E17" s="62"/>
      <c r="F17" s="89">
        <v>1</v>
      </c>
      <c r="G17" s="62" t="s">
        <v>55</v>
      </c>
      <c r="H17" s="63"/>
      <c r="I17" s="68"/>
      <c r="J17" s="63">
        <v>1</v>
      </c>
      <c r="K17" s="62" t="s">
        <v>55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8" ht="17.25" customHeight="1">
      <c r="A18" s="46" t="s">
        <v>63</v>
      </c>
      <c r="B18" s="89">
        <v>2</v>
      </c>
      <c r="C18" s="103" t="s">
        <v>56</v>
      </c>
      <c r="D18" s="63"/>
      <c r="E18" s="62"/>
      <c r="F18" s="89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8" ht="18" customHeight="1">
      <c r="A19" s="46" t="s">
        <v>100</v>
      </c>
      <c r="B19" s="89">
        <v>2</v>
      </c>
      <c r="C19" s="103" t="s">
        <v>56</v>
      </c>
      <c r="D19" s="63"/>
      <c r="E19" s="103"/>
      <c r="F19" s="89">
        <v>2</v>
      </c>
      <c r="G19" s="103" t="s">
        <v>56</v>
      </c>
      <c r="H19" s="63"/>
      <c r="I19" s="62"/>
      <c r="J19" s="63">
        <v>2</v>
      </c>
      <c r="K19" s="103" t="s">
        <v>56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9">
        <v>2</v>
      </c>
      <c r="C20" s="103" t="s">
        <v>56</v>
      </c>
      <c r="D20" s="63"/>
      <c r="E20" s="62"/>
      <c r="F20" s="89">
        <v>2</v>
      </c>
      <c r="G20" s="103" t="s">
        <v>56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8" ht="18.75" customHeight="1">
      <c r="A21" s="46" t="s">
        <v>64</v>
      </c>
      <c r="B21" s="89">
        <v>2</v>
      </c>
      <c r="C21" s="103" t="s">
        <v>56</v>
      </c>
      <c r="D21" s="63"/>
      <c r="E21" s="62"/>
      <c r="F21" s="89">
        <v>2</v>
      </c>
      <c r="G21" s="103" t="s">
        <v>56</v>
      </c>
      <c r="H21" s="63"/>
      <c r="I21" s="62"/>
      <c r="J21" s="63">
        <v>1</v>
      </c>
      <c r="K21" s="62" t="s">
        <v>55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8" ht="18" customHeight="1">
      <c r="A22" s="46" t="s">
        <v>97</v>
      </c>
      <c r="B22" s="89">
        <v>1</v>
      </c>
      <c r="C22" s="62" t="s">
        <v>55</v>
      </c>
      <c r="D22" s="63"/>
      <c r="E22" s="103"/>
      <c r="F22" s="89">
        <v>1</v>
      </c>
      <c r="G22" s="62" t="s">
        <v>55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8" ht="18" customHeight="1">
      <c r="A23" s="46" t="s">
        <v>52</v>
      </c>
      <c r="B23" s="89">
        <v>1</v>
      </c>
      <c r="C23" s="62" t="s">
        <v>55</v>
      </c>
      <c r="D23" s="63"/>
      <c r="E23" s="62"/>
      <c r="F23" s="89">
        <v>1</v>
      </c>
      <c r="G23" s="62" t="s">
        <v>55</v>
      </c>
      <c r="H23" s="63"/>
      <c r="I23" s="62"/>
      <c r="J23" s="63">
        <v>1</v>
      </c>
      <c r="K23" s="62" t="s">
        <v>55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2</v>
      </c>
      <c r="G24" s="103" t="s">
        <v>56</v>
      </c>
      <c r="H24" s="63"/>
      <c r="I24" s="62"/>
      <c r="J24" s="63">
        <v>1</v>
      </c>
      <c r="K24" s="62" t="s">
        <v>55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9">
        <v>11</v>
      </c>
      <c r="C26" s="97" t="s">
        <v>49</v>
      </c>
      <c r="D26" s="99"/>
      <c r="E26" s="97"/>
      <c r="F26" s="99">
        <v>13</v>
      </c>
      <c r="G26" s="97" t="s">
        <v>49</v>
      </c>
      <c r="H26" s="101"/>
      <c r="I26" s="102"/>
      <c r="J26" s="99">
        <v>19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10</v>
      </c>
      <c r="C27" s="97" t="s">
        <v>50</v>
      </c>
      <c r="D27" s="99"/>
      <c r="E27" s="97"/>
      <c r="F27" s="99">
        <v>8</v>
      </c>
      <c r="G27" s="97" t="s">
        <v>50</v>
      </c>
      <c r="H27" s="101"/>
      <c r="I27" s="97"/>
      <c r="J27" s="99">
        <v>2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98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24</v>
      </c>
      <c r="V32" s="12"/>
      <c r="W32" s="12"/>
    </row>
    <row r="33" spans="1:23" ht="18">
      <c r="A33" s="34" t="s">
        <v>63</v>
      </c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28</v>
      </c>
      <c r="V41" s="12"/>
      <c r="W41" s="12"/>
    </row>
    <row r="42" spans="1:23" ht="18">
      <c r="A42" s="34" t="s">
        <v>65</v>
      </c>
      <c r="V42" s="12"/>
      <c r="W42" s="12"/>
    </row>
    <row r="43" spans="1:23" ht="18">
      <c r="A43" s="34" t="s">
        <v>100</v>
      </c>
      <c r="V43" s="12"/>
      <c r="W43" s="12"/>
    </row>
    <row r="44" spans="1:23" ht="18">
      <c r="A44" s="34" t="s">
        <v>99</v>
      </c>
      <c r="V44" s="12"/>
      <c r="W44" s="12"/>
    </row>
    <row r="45" spans="1:23" ht="18">
      <c r="A45" s="34" t="s">
        <v>60</v>
      </c>
      <c r="B45" s="7"/>
      <c r="V45" s="12"/>
      <c r="W45" s="32"/>
    </row>
    <row r="46" spans="1:23" ht="18">
      <c r="A46" s="34" t="s">
        <v>23</v>
      </c>
      <c r="W46" s="12"/>
    </row>
    <row r="47" spans="1:23" ht="18">
      <c r="A47" s="34" t="s">
        <v>26</v>
      </c>
      <c r="W47" s="12"/>
    </row>
    <row r="48" spans="1:23" ht="18">
      <c r="A48" s="34" t="s">
        <v>64</v>
      </c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100</v>
      </c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H39"/>
  <sheetViews>
    <sheetView workbookViewId="0">
      <pane xSplit="1" topLeftCell="B1" activePane="topRight" state="frozen"/>
      <selection pane="topRight" activeCell="N5" sqref="N5"/>
    </sheetView>
  </sheetViews>
  <sheetFormatPr defaultColWidth="9.140625" defaultRowHeight="12.75"/>
  <cols>
    <col min="1" max="1" width="47.7109375" style="22" customWidth="1"/>
    <col min="2" max="10" width="23.7109375" style="22" customWidth="1"/>
    <col min="11" max="11" width="19" style="22" customWidth="1"/>
    <col min="12" max="12" width="26.28515625" style="22" customWidth="1"/>
    <col min="13" max="13" width="22.140625" style="22" customWidth="1"/>
    <col min="14" max="34" width="22.7109375" style="22" customWidth="1"/>
    <col min="35" max="16384" width="9.140625" style="22"/>
  </cols>
  <sheetData>
    <row r="1" spans="1:34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34" ht="15">
      <c r="A2" s="77" t="s">
        <v>110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34" ht="17.25" customHeight="1">
      <c r="A3" s="77" t="s">
        <v>112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34" ht="63" customHeight="1">
      <c r="A4" s="51" t="str">
        <f>'[1]MOÇÃO E REQUERIMENTO'!B7</f>
        <v>EXPEDIENTE</v>
      </c>
      <c r="B4" s="50" t="s">
        <v>48</v>
      </c>
      <c r="C4" s="118" t="s">
        <v>113</v>
      </c>
      <c r="D4" s="118" t="s">
        <v>114</v>
      </c>
      <c r="E4" s="118" t="s">
        <v>115</v>
      </c>
      <c r="F4" s="118" t="s">
        <v>116</v>
      </c>
      <c r="G4" s="118" t="s">
        <v>117</v>
      </c>
      <c r="H4" s="118" t="s">
        <v>118</v>
      </c>
      <c r="I4" s="118" t="s">
        <v>119</v>
      </c>
      <c r="J4" s="118" t="s">
        <v>120</v>
      </c>
      <c r="K4" s="113" t="s">
        <v>34</v>
      </c>
      <c r="L4" s="125"/>
      <c r="M4" s="50" t="s">
        <v>27</v>
      </c>
      <c r="N4" s="85" t="s">
        <v>121</v>
      </c>
      <c r="O4" s="85" t="s">
        <v>101</v>
      </c>
      <c r="P4" s="85" t="s">
        <v>105</v>
      </c>
      <c r="Q4" s="85" t="s">
        <v>102</v>
      </c>
      <c r="R4" s="85" t="s">
        <v>103</v>
      </c>
      <c r="S4" s="69" t="s">
        <v>106</v>
      </c>
      <c r="T4" s="69" t="s">
        <v>122</v>
      </c>
      <c r="U4" s="69" t="s">
        <v>107</v>
      </c>
      <c r="V4" s="69" t="s">
        <v>104</v>
      </c>
      <c r="W4" s="69" t="s">
        <v>108</v>
      </c>
      <c r="X4" s="69" t="s">
        <v>123</v>
      </c>
      <c r="Y4" s="69" t="s">
        <v>124</v>
      </c>
      <c r="Z4" s="69" t="s">
        <v>125</v>
      </c>
      <c r="AA4" s="69" t="s">
        <v>126</v>
      </c>
      <c r="AB4" s="69" t="s">
        <v>127</v>
      </c>
      <c r="AC4" s="69" t="s">
        <v>128</v>
      </c>
      <c r="AD4" s="69" t="s">
        <v>130</v>
      </c>
      <c r="AE4" s="69" t="s">
        <v>131</v>
      </c>
      <c r="AF4" s="69" t="s">
        <v>132</v>
      </c>
      <c r="AG4" s="69" t="s">
        <v>133</v>
      </c>
      <c r="AH4" s="69" t="s">
        <v>134</v>
      </c>
    </row>
    <row r="5" spans="1:34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114"/>
      <c r="N5" s="114" t="s">
        <v>92</v>
      </c>
      <c r="O5" s="114" t="s">
        <v>92</v>
      </c>
      <c r="P5" s="114" t="s">
        <v>92</v>
      </c>
      <c r="Q5" s="114" t="s">
        <v>92</v>
      </c>
      <c r="R5" s="114" t="s">
        <v>92</v>
      </c>
      <c r="S5" s="114" t="s">
        <v>92</v>
      </c>
      <c r="T5" s="114" t="s">
        <v>92</v>
      </c>
      <c r="U5" s="114" t="s">
        <v>92</v>
      </c>
      <c r="V5" s="114" t="s">
        <v>92</v>
      </c>
      <c r="W5" s="119" t="s">
        <v>109</v>
      </c>
      <c r="X5" s="114" t="s">
        <v>92</v>
      </c>
      <c r="Y5" s="114" t="s">
        <v>92</v>
      </c>
      <c r="Z5" s="119" t="s">
        <v>93</v>
      </c>
      <c r="AA5" s="114" t="s">
        <v>92</v>
      </c>
      <c r="AB5" s="114" t="s">
        <v>92</v>
      </c>
      <c r="AC5" s="119" t="s">
        <v>129</v>
      </c>
      <c r="AD5" s="119" t="s">
        <v>129</v>
      </c>
      <c r="AE5" s="114" t="s">
        <v>92</v>
      </c>
      <c r="AF5" s="119" t="s">
        <v>129</v>
      </c>
      <c r="AG5" s="114" t="s">
        <v>92</v>
      </c>
      <c r="AH5" s="114" t="s">
        <v>92</v>
      </c>
    </row>
    <row r="6" spans="1:34" ht="15.75">
      <c r="A6" s="128" t="s">
        <v>54</v>
      </c>
      <c r="M6" s="23"/>
    </row>
    <row r="7" spans="1:34" ht="15.75">
      <c r="A7" s="128" t="s">
        <v>99</v>
      </c>
      <c r="M7" s="23"/>
    </row>
    <row r="8" spans="1:34" ht="15.75">
      <c r="A8" s="128" t="s">
        <v>57</v>
      </c>
      <c r="M8" s="23"/>
    </row>
    <row r="9" spans="1:34" ht="15.75">
      <c r="A9" s="129" t="s">
        <v>58</v>
      </c>
      <c r="M9" s="23"/>
    </row>
    <row r="10" spans="1:34" ht="15.75">
      <c r="A10" s="128" t="s">
        <v>28</v>
      </c>
      <c r="M10" s="23"/>
    </row>
    <row r="11" spans="1:34" ht="15.75">
      <c r="A11" s="128" t="s">
        <v>59</v>
      </c>
      <c r="M11" s="23"/>
    </row>
    <row r="12" spans="1:34" ht="15.75">
      <c r="A12" s="128" t="s">
        <v>22</v>
      </c>
      <c r="M12" s="23"/>
    </row>
    <row r="13" spans="1:34" ht="15.75">
      <c r="A13" s="128" t="s">
        <v>23</v>
      </c>
      <c r="M13" s="23"/>
    </row>
    <row r="14" spans="1:34" ht="15.75">
      <c r="A14" s="128" t="s">
        <v>24</v>
      </c>
      <c r="M14" s="23"/>
    </row>
    <row r="15" spans="1:34" ht="15.75">
      <c r="A15" s="128" t="s">
        <v>60</v>
      </c>
      <c r="M15" s="23"/>
    </row>
    <row r="16" spans="1:34" ht="15.75">
      <c r="A16" s="128" t="s">
        <v>61</v>
      </c>
      <c r="M16" s="23"/>
    </row>
    <row r="17" spans="1:13" ht="15.75">
      <c r="A17" s="128" t="s">
        <v>62</v>
      </c>
      <c r="M17" s="23"/>
    </row>
    <row r="18" spans="1:13" ht="15.75">
      <c r="A18" s="128" t="s">
        <v>25</v>
      </c>
      <c r="M18" s="23"/>
    </row>
    <row r="19" spans="1:13" ht="15.75">
      <c r="A19" s="128" t="s">
        <v>63</v>
      </c>
      <c r="M19" s="23"/>
    </row>
    <row r="20" spans="1:13" ht="15.75">
      <c r="A20" s="128" t="s">
        <v>100</v>
      </c>
      <c r="M20" s="23"/>
    </row>
    <row r="21" spans="1:13" ht="15.75">
      <c r="A21" s="128" t="s">
        <v>26</v>
      </c>
      <c r="M21" s="23"/>
    </row>
    <row r="22" spans="1:13" ht="15.75">
      <c r="A22" s="128" t="s">
        <v>64</v>
      </c>
      <c r="M22" s="23"/>
    </row>
    <row r="23" spans="1:13" ht="15.75">
      <c r="A23" s="128" t="s">
        <v>97</v>
      </c>
      <c r="M23" s="23"/>
    </row>
    <row r="24" spans="1:13" ht="15.75">
      <c r="A24" s="128" t="s">
        <v>52</v>
      </c>
      <c r="M24" s="23"/>
    </row>
    <row r="25" spans="1:13" ht="15.75">
      <c r="A25" s="128" t="s">
        <v>65</v>
      </c>
      <c r="M25" s="23"/>
    </row>
    <row r="26" spans="1:13" ht="15.75">
      <c r="A26" s="128" t="s">
        <v>66</v>
      </c>
      <c r="M26" s="23"/>
    </row>
    <row r="27" spans="1:13" s="25" customFormat="1">
      <c r="A27" s="24" t="s">
        <v>18</v>
      </c>
    </row>
    <row r="28" spans="1:13" s="27" customFormat="1">
      <c r="A28" s="26" t="s">
        <v>19</v>
      </c>
    </row>
    <row r="29" spans="1:13">
      <c r="A29" s="28" t="s">
        <v>11</v>
      </c>
    </row>
    <row r="30" spans="1:13" s="30" customFormat="1">
      <c r="A30" s="29" t="s">
        <v>20</v>
      </c>
    </row>
    <row r="32" spans="1:13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7" sqref="G7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110</v>
      </c>
      <c r="B2" s="49"/>
      <c r="C2" s="75"/>
    </row>
    <row r="3" spans="1:45" ht="17.25" customHeight="1">
      <c r="A3" s="77" t="s">
        <v>112</v>
      </c>
      <c r="B3" s="49"/>
      <c r="C3" s="75"/>
      <c r="E3" s="117"/>
    </row>
    <row r="4" spans="1:45" ht="90.75" customHeight="1" thickBot="1">
      <c r="A4" s="52" t="s">
        <v>5</v>
      </c>
      <c r="B4" s="109" t="s">
        <v>31</v>
      </c>
      <c r="C4" s="140"/>
      <c r="D4" s="110" t="s">
        <v>6</v>
      </c>
      <c r="E4" s="143" t="s">
        <v>135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37</v>
      </c>
      <c r="B5" s="79"/>
      <c r="C5" s="114"/>
      <c r="D5" s="80"/>
      <c r="E5" s="149" t="s">
        <v>136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54</v>
      </c>
      <c r="C6" s="108"/>
      <c r="E6" s="108"/>
    </row>
    <row r="7" spans="1:45" ht="20.25">
      <c r="A7" s="46" t="s">
        <v>99</v>
      </c>
      <c r="C7" s="108"/>
      <c r="E7" s="115"/>
    </row>
    <row r="8" spans="1:45" ht="20.25">
      <c r="A8" s="46" t="s">
        <v>57</v>
      </c>
      <c r="C8" s="108"/>
      <c r="E8" s="108"/>
    </row>
    <row r="9" spans="1:45" ht="20.25">
      <c r="A9" s="83" t="s">
        <v>58</v>
      </c>
      <c r="C9" s="115"/>
      <c r="E9" s="108"/>
    </row>
    <row r="10" spans="1:45" ht="20.25">
      <c r="A10" s="46" t="s">
        <v>28</v>
      </c>
      <c r="C10" s="108"/>
      <c r="E10" s="108"/>
    </row>
    <row r="11" spans="1:45" ht="20.25">
      <c r="A11" s="46" t="s">
        <v>59</v>
      </c>
      <c r="C11" s="115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15"/>
      <c r="E13" s="115"/>
    </row>
    <row r="14" spans="1:45" ht="20.25">
      <c r="A14" s="46" t="s">
        <v>24</v>
      </c>
      <c r="C14" s="108"/>
      <c r="E14" s="108"/>
    </row>
    <row r="15" spans="1:45" ht="20.25">
      <c r="A15" s="46" t="s">
        <v>60</v>
      </c>
      <c r="C15" s="108"/>
      <c r="E15" s="115"/>
    </row>
    <row r="16" spans="1:45" ht="20.25">
      <c r="A16" s="46" t="s">
        <v>61</v>
      </c>
      <c r="C16" s="108"/>
      <c r="E16" s="108"/>
    </row>
    <row r="17" spans="1:130" ht="20.25">
      <c r="A17" s="46" t="s">
        <v>62</v>
      </c>
      <c r="C17" s="108"/>
      <c r="E17" s="115"/>
    </row>
    <row r="18" spans="1:130" ht="20.25">
      <c r="A18" s="46" t="s">
        <v>25</v>
      </c>
      <c r="C18" s="108"/>
      <c r="E18" s="108"/>
    </row>
    <row r="19" spans="1:130" ht="20.25">
      <c r="A19" s="46" t="s">
        <v>63</v>
      </c>
      <c r="C19" s="108"/>
      <c r="E19" s="108"/>
    </row>
    <row r="20" spans="1:130" ht="20.25">
      <c r="A20" s="46" t="s">
        <v>100</v>
      </c>
      <c r="C20" s="108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64</v>
      </c>
      <c r="C22" s="108"/>
      <c r="E22" s="108"/>
    </row>
    <row r="23" spans="1:130" ht="20.25">
      <c r="A23" s="46" t="s">
        <v>97</v>
      </c>
      <c r="C23" s="108"/>
      <c r="E23" s="108"/>
    </row>
    <row r="24" spans="1:130" ht="20.25">
      <c r="A24" s="46" t="s">
        <v>52</v>
      </c>
      <c r="C24" s="108"/>
      <c r="E24" s="108"/>
    </row>
    <row r="25" spans="1:130" ht="20.25">
      <c r="A25" s="46" t="s">
        <v>65</v>
      </c>
      <c r="C25" s="108"/>
      <c r="E25" s="115"/>
    </row>
    <row r="26" spans="1:130" ht="20.25">
      <c r="A26" s="46" t="s">
        <v>66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" si="0"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" si="1"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 t="shared" ref="E29" si="2"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" si="3"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V37"/>
  <sheetViews>
    <sheetView zoomScale="90" zoomScaleNormal="90" workbookViewId="0">
      <pane xSplit="1" topLeftCell="B1" activePane="topRight" state="frozen"/>
      <selection pane="topRight" activeCell="D6" sqref="D6"/>
    </sheetView>
  </sheetViews>
  <sheetFormatPr defaultRowHeight="15"/>
  <cols>
    <col min="1" max="1" width="46.85546875" customWidth="1"/>
    <col min="2" max="6" width="30.42578125" customWidth="1"/>
    <col min="7" max="7" width="17.42578125" customWidth="1"/>
    <col min="8" max="8" width="16.85546875" customWidth="1"/>
    <col min="9" max="9" width="29.85546875" customWidth="1"/>
    <col min="10" max="10" width="29.28515625" customWidth="1"/>
    <col min="11" max="11" width="25.7109375" customWidth="1"/>
    <col min="12" max="12" width="28" customWidth="1"/>
    <col min="13" max="13" width="28.140625" customWidth="1"/>
    <col min="14" max="14" width="30.5703125" customWidth="1"/>
    <col min="15" max="15" width="26.7109375" customWidth="1"/>
    <col min="16" max="17" width="29.28515625" customWidth="1"/>
    <col min="18" max="18" width="29.42578125" customWidth="1"/>
    <col min="19" max="20" width="28.7109375" customWidth="1"/>
    <col min="21" max="21" width="28.140625" customWidth="1"/>
    <col min="22" max="22" width="25.7109375" customWidth="1"/>
    <col min="23" max="23" width="21.28515625" customWidth="1"/>
    <col min="24" max="24" width="19.5703125" customWidth="1"/>
    <col min="25" max="25" width="18.28515625" customWidth="1"/>
    <col min="26" max="26" width="17.28515625" customWidth="1"/>
    <col min="27" max="27" width="18.140625" customWidth="1"/>
    <col min="28" max="28" width="22" customWidth="1"/>
    <col min="29" max="29" width="16.140625" customWidth="1"/>
    <col min="30" max="30" width="18" customWidth="1"/>
    <col min="32" max="32" width="18.28515625" customWidth="1"/>
  </cols>
  <sheetData>
    <row r="1" spans="1:32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2">
      <c r="A2" s="77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32" ht="18" customHeight="1" thickBot="1">
      <c r="A3" s="77" t="s">
        <v>112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32" ht="90.6" customHeight="1" thickBot="1">
      <c r="A4" s="121" t="s">
        <v>5</v>
      </c>
      <c r="B4" s="120" t="s">
        <v>7</v>
      </c>
      <c r="C4" s="142" t="s">
        <v>137</v>
      </c>
      <c r="D4" s="142" t="s">
        <v>138</v>
      </c>
      <c r="E4" s="142" t="s">
        <v>139</v>
      </c>
      <c r="F4" s="142" t="s">
        <v>140</v>
      </c>
      <c r="G4" s="60"/>
      <c r="H4" s="60"/>
      <c r="I4" s="60"/>
      <c r="J4" s="9"/>
      <c r="K4" s="9"/>
      <c r="L4" s="9"/>
      <c r="M4" s="9"/>
      <c r="N4" s="9"/>
      <c r="O4" s="9"/>
      <c r="P4" s="13"/>
      <c r="Q4" s="9"/>
      <c r="R4" s="9"/>
      <c r="S4" s="9"/>
      <c r="T4" s="9"/>
      <c r="U4" s="9"/>
      <c r="V4" s="9"/>
      <c r="W4" s="13"/>
      <c r="X4" s="13"/>
      <c r="Y4" s="13"/>
      <c r="Z4" s="13"/>
      <c r="AA4" s="13"/>
      <c r="AB4" s="9"/>
      <c r="AC4" s="9"/>
      <c r="AD4" s="9"/>
      <c r="AF4" s="8"/>
    </row>
    <row r="5" spans="1:32" s="78" customFormat="1" ht="51.75" customHeight="1">
      <c r="B5" s="76"/>
      <c r="C5" s="114" t="s">
        <v>96</v>
      </c>
      <c r="D5" s="114" t="s">
        <v>94</v>
      </c>
      <c r="E5" s="114" t="s">
        <v>94</v>
      </c>
      <c r="F5" s="114" t="s">
        <v>96</v>
      </c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AC5" s="76"/>
      <c r="AD5" s="76"/>
    </row>
    <row r="6" spans="1:32" ht="18">
      <c r="A6" s="130" t="s">
        <v>54</v>
      </c>
      <c r="C6" s="108"/>
      <c r="D6" s="108" t="s">
        <v>95</v>
      </c>
      <c r="E6" s="108" t="s">
        <v>95</v>
      </c>
      <c r="F6" s="108"/>
      <c r="X6" s="7"/>
      <c r="Y6" s="7"/>
    </row>
    <row r="7" spans="1:32" ht="18">
      <c r="A7" s="130" t="s">
        <v>99</v>
      </c>
      <c r="C7" s="108"/>
      <c r="D7" s="108" t="s">
        <v>95</v>
      </c>
      <c r="E7" s="108" t="s">
        <v>95</v>
      </c>
      <c r="F7" s="108"/>
      <c r="X7" s="7"/>
      <c r="Y7" s="7"/>
    </row>
    <row r="8" spans="1:32" ht="18">
      <c r="A8" s="130" t="s">
        <v>57</v>
      </c>
      <c r="C8" s="108"/>
      <c r="D8" s="108" t="s">
        <v>95</v>
      </c>
      <c r="E8" s="108" t="s">
        <v>95</v>
      </c>
      <c r="F8" s="108"/>
      <c r="X8" s="7"/>
      <c r="Y8" s="7"/>
    </row>
    <row r="9" spans="1:32" ht="18">
      <c r="A9" s="131" t="s">
        <v>58</v>
      </c>
      <c r="C9" s="108"/>
      <c r="D9" s="115" t="s">
        <v>141</v>
      </c>
      <c r="E9" s="115" t="s">
        <v>141</v>
      </c>
      <c r="F9" s="108"/>
      <c r="X9" s="7"/>
      <c r="Y9" s="7"/>
    </row>
    <row r="10" spans="1:32" ht="18">
      <c r="A10" s="130" t="s">
        <v>28</v>
      </c>
      <c r="C10" s="108"/>
      <c r="D10" s="108" t="s">
        <v>95</v>
      </c>
      <c r="E10" s="108" t="s">
        <v>95</v>
      </c>
      <c r="F10" s="108"/>
      <c r="X10" s="7"/>
      <c r="Y10" s="7"/>
    </row>
    <row r="11" spans="1:32" ht="18">
      <c r="A11" s="130" t="s">
        <v>59</v>
      </c>
      <c r="C11" s="108"/>
      <c r="D11" s="108" t="s">
        <v>95</v>
      </c>
      <c r="E11" s="108" t="s">
        <v>95</v>
      </c>
      <c r="F11" s="108"/>
      <c r="X11" s="7"/>
      <c r="Y11" s="7"/>
    </row>
    <row r="12" spans="1:32" ht="18">
      <c r="A12" s="130" t="s">
        <v>22</v>
      </c>
      <c r="C12" s="108"/>
      <c r="D12" s="108" t="s">
        <v>95</v>
      </c>
      <c r="E12" s="108" t="s">
        <v>95</v>
      </c>
      <c r="F12" s="108"/>
      <c r="X12" s="7"/>
      <c r="Y12" s="7"/>
    </row>
    <row r="13" spans="1:32" ht="18">
      <c r="A13" s="130" t="s">
        <v>23</v>
      </c>
      <c r="C13" s="115"/>
      <c r="D13" s="108" t="s">
        <v>95</v>
      </c>
      <c r="E13" s="108" t="s">
        <v>95</v>
      </c>
      <c r="F13" s="115"/>
      <c r="X13" s="7"/>
      <c r="Y13" s="7"/>
    </row>
    <row r="14" spans="1:32" ht="18">
      <c r="A14" s="130" t="s">
        <v>24</v>
      </c>
      <c r="C14" s="115"/>
      <c r="D14" s="108" t="s">
        <v>95</v>
      </c>
      <c r="E14" s="108" t="s">
        <v>95</v>
      </c>
      <c r="F14" s="115"/>
      <c r="X14" s="7"/>
      <c r="Y14" s="7"/>
    </row>
    <row r="15" spans="1:32" ht="18">
      <c r="A15" s="130" t="s">
        <v>60</v>
      </c>
      <c r="C15" s="115"/>
      <c r="D15" s="108" t="s">
        <v>95</v>
      </c>
      <c r="E15" s="108" t="s">
        <v>95</v>
      </c>
      <c r="F15" s="115"/>
      <c r="X15" s="7"/>
      <c r="Y15" s="7"/>
    </row>
    <row r="16" spans="1:32" ht="18">
      <c r="A16" s="130" t="s">
        <v>61</v>
      </c>
      <c r="C16" s="108"/>
      <c r="D16" s="108" t="s">
        <v>95</v>
      </c>
      <c r="E16" s="108" t="s">
        <v>95</v>
      </c>
      <c r="F16" s="108"/>
      <c r="X16" s="7"/>
      <c r="Y16" s="7"/>
    </row>
    <row r="17" spans="1:126" ht="15" customHeight="1">
      <c r="A17" s="130" t="s">
        <v>62</v>
      </c>
      <c r="C17" s="115"/>
      <c r="D17" s="108" t="s">
        <v>95</v>
      </c>
      <c r="E17" s="108" t="s">
        <v>95</v>
      </c>
      <c r="F17" s="115"/>
      <c r="W17" s="8"/>
      <c r="X17" s="7"/>
      <c r="Y17" s="7"/>
    </row>
    <row r="18" spans="1:126" ht="18">
      <c r="A18" s="130" t="s">
        <v>25</v>
      </c>
      <c r="C18" s="115"/>
      <c r="D18" s="115" t="s">
        <v>56</v>
      </c>
      <c r="E18" s="115" t="s">
        <v>56</v>
      </c>
      <c r="F18" s="115"/>
      <c r="X18" s="7"/>
      <c r="Y18" s="7"/>
    </row>
    <row r="19" spans="1:126" ht="18">
      <c r="A19" s="130" t="s">
        <v>63</v>
      </c>
      <c r="C19" s="108"/>
      <c r="D19" s="108" t="s">
        <v>95</v>
      </c>
      <c r="E19" s="108" t="s">
        <v>95</v>
      </c>
      <c r="F19" s="108"/>
      <c r="X19" s="7"/>
      <c r="Y19" s="7"/>
    </row>
    <row r="20" spans="1:126" ht="18">
      <c r="A20" s="130" t="s">
        <v>100</v>
      </c>
      <c r="C20" s="108"/>
      <c r="D20" s="108" t="s">
        <v>95</v>
      </c>
      <c r="E20" s="108" t="s">
        <v>95</v>
      </c>
      <c r="F20" s="108"/>
      <c r="X20" s="7"/>
      <c r="Y20" s="7"/>
    </row>
    <row r="21" spans="1:126" ht="18">
      <c r="A21" s="130" t="s">
        <v>26</v>
      </c>
      <c r="C21" s="108"/>
      <c r="D21" s="108" t="s">
        <v>95</v>
      </c>
      <c r="E21" s="108" t="s">
        <v>95</v>
      </c>
      <c r="F21" s="108"/>
      <c r="X21" s="7"/>
      <c r="Y21" s="7"/>
    </row>
    <row r="22" spans="1:126" ht="18">
      <c r="A22" s="130" t="s">
        <v>64</v>
      </c>
      <c r="C22" s="108"/>
      <c r="D22" s="108" t="s">
        <v>95</v>
      </c>
      <c r="E22" s="108" t="s">
        <v>95</v>
      </c>
      <c r="F22" s="108"/>
      <c r="X22" s="7"/>
      <c r="Y22" s="7"/>
    </row>
    <row r="23" spans="1:126" ht="18">
      <c r="A23" s="130" t="s">
        <v>97</v>
      </c>
      <c r="C23" s="108"/>
      <c r="D23" s="108" t="s">
        <v>95</v>
      </c>
      <c r="E23" s="108" t="s">
        <v>95</v>
      </c>
      <c r="F23" s="108"/>
      <c r="X23" s="7"/>
      <c r="Y23" s="7"/>
    </row>
    <row r="24" spans="1:126" ht="18">
      <c r="A24" s="130" t="s">
        <v>52</v>
      </c>
      <c r="C24" s="108"/>
      <c r="D24" s="108" t="s">
        <v>95</v>
      </c>
      <c r="E24" s="108" t="s">
        <v>95</v>
      </c>
      <c r="F24" s="108"/>
      <c r="X24" s="7"/>
      <c r="Y24" s="7"/>
    </row>
    <row r="25" spans="1:126" ht="18">
      <c r="A25" s="130" t="s">
        <v>65</v>
      </c>
      <c r="C25" s="108"/>
      <c r="D25" s="108" t="s">
        <v>95</v>
      </c>
      <c r="E25" s="108" t="s">
        <v>95</v>
      </c>
      <c r="F25" s="108"/>
      <c r="X25" s="7"/>
      <c r="Y25" s="7"/>
    </row>
    <row r="26" spans="1:126" ht="18">
      <c r="A26" s="130" t="s">
        <v>66</v>
      </c>
      <c r="C26" s="108"/>
      <c r="D26" s="108" t="s">
        <v>95</v>
      </c>
      <c r="E26" s="108" t="s">
        <v>95</v>
      </c>
      <c r="F26" s="108"/>
      <c r="X26" s="7"/>
      <c r="Y26" s="7"/>
    </row>
    <row r="27" spans="1:126" s="16" customFormat="1" ht="15.75">
      <c r="A27" s="15" t="s">
        <v>18</v>
      </c>
      <c r="B27" s="16">
        <f t="shared" ref="B27:E27" si="0">COUNTIF(B6:B26,"sim")</f>
        <v>0</v>
      </c>
      <c r="C27" s="104">
        <f t="shared" si="0"/>
        <v>0</v>
      </c>
      <c r="D27" s="104">
        <f t="shared" si="0"/>
        <v>19</v>
      </c>
      <c r="E27" s="104">
        <f t="shared" si="0"/>
        <v>19</v>
      </c>
      <c r="F27" s="104">
        <f t="shared" ref="F27" si="1">COUNTIF(F6:F26,"sim")</f>
        <v>0</v>
      </c>
      <c r="M27" s="16">
        <f t="shared" ref="M27:AR27" si="2">COUNTIF(M6:M26,"sim")</f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si="2"/>
        <v>0</v>
      </c>
      <c r="AQ27" s="16">
        <f t="shared" si="2"/>
        <v>0</v>
      </c>
      <c r="AR27" s="16">
        <f t="shared" si="2"/>
        <v>0</v>
      </c>
      <c r="AS27" s="16">
        <f t="shared" ref="AS27:BX27" si="3">COUNTIF(AS6:AS26,"sim")</f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si="3"/>
        <v>0</v>
      </c>
      <c r="BW27" s="16">
        <f t="shared" si="3"/>
        <v>0</v>
      </c>
      <c r="BX27" s="16">
        <f t="shared" si="3"/>
        <v>0</v>
      </c>
      <c r="BY27" s="16">
        <f t="shared" ref="BY27:DD27" si="4">COUNTIF(BY6:BY26,"sim")</f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si="4"/>
        <v>0</v>
      </c>
      <c r="DC27" s="16">
        <f t="shared" si="4"/>
        <v>0</v>
      </c>
      <c r="DD27" s="16">
        <f t="shared" si="4"/>
        <v>0</v>
      </c>
      <c r="DE27" s="16">
        <f t="shared" ref="DE27:DV27" si="5">COUNTIF(DE6:DE26,"sim")</f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  <c r="DT27" s="16">
        <f t="shared" si="5"/>
        <v>0</v>
      </c>
      <c r="DU27" s="16">
        <f t="shared" si="5"/>
        <v>0</v>
      </c>
      <c r="DV27" s="16">
        <f t="shared" si="5"/>
        <v>0</v>
      </c>
    </row>
    <row r="28" spans="1:126" s="18" customFormat="1" ht="15.75">
      <c r="A28" s="17" t="s">
        <v>19</v>
      </c>
      <c r="B28" s="18">
        <f t="shared" ref="B28:E28" si="6">COUNTIF(B6:B26,"não")</f>
        <v>0</v>
      </c>
      <c r="C28" s="105">
        <f t="shared" si="6"/>
        <v>0</v>
      </c>
      <c r="D28" s="105">
        <f t="shared" si="6"/>
        <v>0</v>
      </c>
      <c r="E28" s="105">
        <f t="shared" si="6"/>
        <v>0</v>
      </c>
      <c r="F28" s="105">
        <f t="shared" ref="F28" si="7">COUNTIF(F6:F26,"não")</f>
        <v>0</v>
      </c>
      <c r="M28" s="18">
        <f t="shared" ref="M28:AR28" si="8">COUNTIF(M6:M27,"não")</f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si="8"/>
        <v>0</v>
      </c>
      <c r="AQ28" s="18">
        <f t="shared" si="8"/>
        <v>0</v>
      </c>
      <c r="AR28" s="18">
        <f t="shared" si="8"/>
        <v>0</v>
      </c>
      <c r="AS28" s="18">
        <f t="shared" ref="AS28:BX28" si="9">COUNTIF(AS6:AS27,"não")</f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si="9"/>
        <v>0</v>
      </c>
      <c r="BW28" s="18">
        <f t="shared" si="9"/>
        <v>0</v>
      </c>
      <c r="BX28" s="18">
        <f t="shared" si="9"/>
        <v>0</v>
      </c>
      <c r="BY28" s="18">
        <f t="shared" ref="BY28:DD28" si="10">COUNTIF(BY6:BY27,"não")</f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si="10"/>
        <v>0</v>
      </c>
      <c r="DC28" s="18">
        <f t="shared" si="10"/>
        <v>0</v>
      </c>
      <c r="DD28" s="18">
        <f t="shared" si="10"/>
        <v>0</v>
      </c>
      <c r="DE28" s="18">
        <f t="shared" ref="DE28:DV28" si="11">COUNTIF(DE6:DE27,"não")</f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  <c r="DT28" s="18">
        <f t="shared" si="11"/>
        <v>0</v>
      </c>
      <c r="DU28" s="18">
        <f t="shared" si="11"/>
        <v>0</v>
      </c>
      <c r="DV28" s="18">
        <f t="shared" si="11"/>
        <v>0</v>
      </c>
    </row>
    <row r="29" spans="1:126" ht="15.75">
      <c r="A29" s="14" t="s">
        <v>11</v>
      </c>
      <c r="B29">
        <f t="shared" ref="B29:E29" si="12">COUNTIF(B6:B26,"ausente")</f>
        <v>0</v>
      </c>
      <c r="C29" s="40">
        <f t="shared" si="12"/>
        <v>0</v>
      </c>
      <c r="D29" s="40">
        <f t="shared" si="12"/>
        <v>1</v>
      </c>
      <c r="E29" s="40">
        <f t="shared" si="12"/>
        <v>1</v>
      </c>
      <c r="F29" s="40">
        <f t="shared" ref="F29" si="13">COUNTIF(F6:F26,"ausente")</f>
        <v>0</v>
      </c>
      <c r="M29">
        <f t="shared" ref="M29:AR29" si="14">COUNTIF(M6:M28,"ausente")</f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si="14"/>
        <v>0</v>
      </c>
      <c r="AQ29">
        <f t="shared" si="14"/>
        <v>0</v>
      </c>
      <c r="AR29">
        <f t="shared" si="14"/>
        <v>0</v>
      </c>
      <c r="AS29">
        <f t="shared" ref="AS29:BX29" si="15">COUNTIF(AS6:AS28,"ausente")</f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si="15"/>
        <v>0</v>
      </c>
      <c r="BW29">
        <f t="shared" si="15"/>
        <v>0</v>
      </c>
      <c r="BX29">
        <f t="shared" si="15"/>
        <v>0</v>
      </c>
      <c r="BY29">
        <f t="shared" ref="BY29:DD29" si="16">COUNTIF(BY6:BY28,"ausente")</f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si="16"/>
        <v>0</v>
      </c>
      <c r="DC29">
        <f t="shared" si="16"/>
        <v>0</v>
      </c>
      <c r="DD29">
        <f t="shared" si="16"/>
        <v>0</v>
      </c>
      <c r="DE29">
        <f t="shared" ref="DE29:DV29" si="17">COUNTIF(DE6:DE28,"ausente")</f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  <c r="DT29">
        <f t="shared" si="17"/>
        <v>0</v>
      </c>
      <c r="DU29">
        <f t="shared" si="17"/>
        <v>0</v>
      </c>
      <c r="DV29">
        <f t="shared" si="17"/>
        <v>0</v>
      </c>
    </row>
    <row r="30" spans="1:126" s="20" customFormat="1" ht="15.75">
      <c r="A30" s="19" t="s">
        <v>20</v>
      </c>
      <c r="B30" s="20">
        <f t="shared" ref="B30:E30" si="18">COUNTIF(B6:B26,"abstenção")</f>
        <v>0</v>
      </c>
      <c r="C30" s="106">
        <f t="shared" si="18"/>
        <v>0</v>
      </c>
      <c r="D30" s="106">
        <f t="shared" si="18"/>
        <v>0</v>
      </c>
      <c r="E30" s="106">
        <f t="shared" si="18"/>
        <v>0</v>
      </c>
      <c r="F30" s="106">
        <f t="shared" ref="F30" si="19">COUNTIF(F6:F26,"abstenção")</f>
        <v>0</v>
      </c>
      <c r="M30" s="20">
        <f t="shared" ref="M30:AR30" si="20">COUNTIF(M10:M29,"abstenção")</f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si="20"/>
        <v>0</v>
      </c>
      <c r="AQ30" s="20">
        <f t="shared" si="20"/>
        <v>0</v>
      </c>
      <c r="AR30" s="20">
        <f t="shared" si="20"/>
        <v>0</v>
      </c>
      <c r="AS30" s="20">
        <f t="shared" ref="AS30:BK30" si="21">COUNTIF(AS10:AS29,"abstenção")</f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si="21"/>
        <v>0</v>
      </c>
      <c r="BJ30" s="20">
        <f t="shared" si="21"/>
        <v>0</v>
      </c>
      <c r="BK30" s="20">
        <f t="shared" si="21"/>
        <v>0</v>
      </c>
      <c r="BL30" s="20">
        <f t="shared" ref="BL30:DV30" si="22">COUNTIF(BL10:BL29,"abstenção")</f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  <c r="DT30" s="20">
        <f t="shared" si="22"/>
        <v>0</v>
      </c>
      <c r="DU30" s="20">
        <f t="shared" si="22"/>
        <v>0</v>
      </c>
      <c r="DV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D38"/>
  <sheetViews>
    <sheetView workbookViewId="0">
      <pane xSplit="1" topLeftCell="B1" activePane="topRight" state="frozen"/>
      <selection pane="topRight" activeCell="K4" sqref="K4"/>
    </sheetView>
  </sheetViews>
  <sheetFormatPr defaultRowHeight="15"/>
  <cols>
    <col min="1" max="1" width="49.7109375" customWidth="1"/>
    <col min="2" max="2" width="22.85546875" customWidth="1"/>
    <col min="3" max="4" width="28.5703125" customWidth="1"/>
  </cols>
  <sheetData>
    <row r="1" spans="1:4">
      <c r="A1" s="77" t="s">
        <v>8</v>
      </c>
      <c r="B1" s="2"/>
    </row>
    <row r="2" spans="1:4">
      <c r="A2" s="77" t="s">
        <v>110</v>
      </c>
      <c r="B2" s="2"/>
    </row>
    <row r="3" spans="1:4" ht="15.75" thickBot="1">
      <c r="A3" s="122" t="s">
        <v>112</v>
      </c>
      <c r="B3" s="2"/>
    </row>
    <row r="4" spans="1:4" ht="78.75" customHeight="1" thickBot="1">
      <c r="A4" s="121" t="s">
        <v>5</v>
      </c>
      <c r="B4" s="112" t="s">
        <v>21</v>
      </c>
      <c r="C4" s="142" t="s">
        <v>142</v>
      </c>
      <c r="D4" s="142" t="s">
        <v>143</v>
      </c>
    </row>
    <row r="5" spans="1:4" s="6" customFormat="1" ht="60.75" customHeight="1">
      <c r="A5" s="123"/>
      <c r="B5" s="112"/>
      <c r="C5" s="114" t="s">
        <v>94</v>
      </c>
      <c r="D5" s="114" t="s">
        <v>94</v>
      </c>
    </row>
    <row r="6" spans="1:4" ht="15.75">
      <c r="A6" s="128" t="s">
        <v>54</v>
      </c>
      <c r="C6" s="108" t="s">
        <v>95</v>
      </c>
      <c r="D6" s="108" t="s">
        <v>95</v>
      </c>
    </row>
    <row r="7" spans="1:4" ht="15.75">
      <c r="A7" s="128" t="s">
        <v>99</v>
      </c>
      <c r="C7" s="108" t="s">
        <v>95</v>
      </c>
      <c r="D7" s="108" t="s">
        <v>95</v>
      </c>
    </row>
    <row r="8" spans="1:4" ht="15.75">
      <c r="A8" s="128" t="s">
        <v>57</v>
      </c>
      <c r="C8" s="108" t="s">
        <v>95</v>
      </c>
      <c r="D8" s="108" t="s">
        <v>95</v>
      </c>
    </row>
    <row r="9" spans="1:4" ht="15.75">
      <c r="A9" s="129" t="s">
        <v>58</v>
      </c>
      <c r="C9" s="108" t="s">
        <v>95</v>
      </c>
      <c r="D9" s="108" t="s">
        <v>95</v>
      </c>
    </row>
    <row r="10" spans="1:4" ht="15.75">
      <c r="A10" s="128" t="s">
        <v>28</v>
      </c>
      <c r="C10" s="108" t="s">
        <v>95</v>
      </c>
      <c r="D10" s="108" t="s">
        <v>95</v>
      </c>
    </row>
    <row r="11" spans="1:4" ht="15.75">
      <c r="A11" s="128" t="s">
        <v>59</v>
      </c>
      <c r="C11" s="108" t="s">
        <v>95</v>
      </c>
      <c r="D11" s="108" t="s">
        <v>95</v>
      </c>
    </row>
    <row r="12" spans="1:4" ht="15.75">
      <c r="A12" s="128" t="s">
        <v>22</v>
      </c>
      <c r="C12" s="108" t="s">
        <v>95</v>
      </c>
      <c r="D12" s="108" t="s">
        <v>95</v>
      </c>
    </row>
    <row r="13" spans="1:4" ht="15.75">
      <c r="A13" s="128" t="s">
        <v>23</v>
      </c>
      <c r="B13" s="141"/>
      <c r="C13" s="108" t="s">
        <v>95</v>
      </c>
      <c r="D13" s="108" t="s">
        <v>95</v>
      </c>
    </row>
    <row r="14" spans="1:4" ht="15.75">
      <c r="A14" s="128" t="s">
        <v>24</v>
      </c>
      <c r="C14" s="108" t="s">
        <v>95</v>
      </c>
      <c r="D14" s="108" t="s">
        <v>95</v>
      </c>
    </row>
    <row r="15" spans="1:4" ht="15.75">
      <c r="A15" s="128" t="s">
        <v>60</v>
      </c>
      <c r="C15" s="108" t="s">
        <v>95</v>
      </c>
      <c r="D15" s="108" t="s">
        <v>95</v>
      </c>
    </row>
    <row r="16" spans="1:4" ht="15.75">
      <c r="A16" s="128" t="s">
        <v>61</v>
      </c>
      <c r="C16" s="108" t="s">
        <v>95</v>
      </c>
      <c r="D16" s="108" t="s">
        <v>95</v>
      </c>
    </row>
    <row r="17" spans="1:4" ht="15.75">
      <c r="A17" s="128" t="s">
        <v>62</v>
      </c>
      <c r="C17" s="115" t="s">
        <v>144</v>
      </c>
      <c r="D17" s="115" t="s">
        <v>144</v>
      </c>
    </row>
    <row r="18" spans="1:4" ht="15.75">
      <c r="A18" s="128" t="s">
        <v>25</v>
      </c>
      <c r="C18" s="108" t="s">
        <v>95</v>
      </c>
      <c r="D18" s="108" t="s">
        <v>95</v>
      </c>
    </row>
    <row r="19" spans="1:4" ht="15.75">
      <c r="A19" s="128" t="s">
        <v>63</v>
      </c>
      <c r="C19" s="108" t="s">
        <v>95</v>
      </c>
      <c r="D19" s="108" t="s">
        <v>95</v>
      </c>
    </row>
    <row r="20" spans="1:4" ht="15.75">
      <c r="A20" s="128" t="s">
        <v>100</v>
      </c>
      <c r="C20" s="108" t="s">
        <v>95</v>
      </c>
      <c r="D20" s="108" t="s">
        <v>95</v>
      </c>
    </row>
    <row r="21" spans="1:4" ht="15.75">
      <c r="A21" s="128" t="s">
        <v>26</v>
      </c>
      <c r="C21" s="108" t="s">
        <v>95</v>
      </c>
      <c r="D21" s="108" t="s">
        <v>95</v>
      </c>
    </row>
    <row r="22" spans="1:4" ht="15.75">
      <c r="A22" s="128" t="s">
        <v>64</v>
      </c>
      <c r="C22" s="108" t="s">
        <v>95</v>
      </c>
      <c r="D22" s="108" t="s">
        <v>95</v>
      </c>
    </row>
    <row r="23" spans="1:4" ht="15.75">
      <c r="A23" s="128" t="s">
        <v>97</v>
      </c>
      <c r="C23" s="108" t="s">
        <v>95</v>
      </c>
      <c r="D23" s="108" t="s">
        <v>95</v>
      </c>
    </row>
    <row r="24" spans="1:4" ht="15.75">
      <c r="A24" s="128" t="s">
        <v>52</v>
      </c>
      <c r="C24" s="108" t="s">
        <v>95</v>
      </c>
      <c r="D24" s="108" t="s">
        <v>95</v>
      </c>
    </row>
    <row r="25" spans="1:4" ht="15.75">
      <c r="A25" s="128" t="s">
        <v>65</v>
      </c>
      <c r="C25" s="108" t="s">
        <v>95</v>
      </c>
      <c r="D25" s="108" t="s">
        <v>95</v>
      </c>
    </row>
    <row r="26" spans="1:4" ht="15.75">
      <c r="A26" s="128" t="s">
        <v>66</v>
      </c>
      <c r="C26" s="108" t="s">
        <v>95</v>
      </c>
      <c r="D26" s="108" t="s">
        <v>95</v>
      </c>
    </row>
    <row r="27" spans="1:4">
      <c r="C27" s="108" t="s">
        <v>95</v>
      </c>
      <c r="D27" s="108" t="s">
        <v>95</v>
      </c>
    </row>
    <row r="28" spans="1:4" ht="15.75">
      <c r="A28" s="15" t="s">
        <v>18</v>
      </c>
      <c r="B28" s="16">
        <f>COUNTIF(B6:B26,"sim")</f>
        <v>0</v>
      </c>
      <c r="C28" s="104">
        <f t="shared" ref="C28:D28" si="0">COUNTIF(C6:C26,"sim")</f>
        <v>20</v>
      </c>
      <c r="D28" s="104">
        <f t="shared" si="0"/>
        <v>20</v>
      </c>
    </row>
    <row r="29" spans="1:4" ht="15.75">
      <c r="A29" s="17" t="s">
        <v>19</v>
      </c>
      <c r="B29" s="18">
        <f>COUNTIF(B6:B26,"não")</f>
        <v>0</v>
      </c>
      <c r="C29" s="105">
        <f t="shared" ref="C29:D29" si="1">COUNTIF(C6:C26,"não")</f>
        <v>0</v>
      </c>
      <c r="D29" s="105">
        <f t="shared" si="1"/>
        <v>0</v>
      </c>
    </row>
    <row r="30" spans="1:4" ht="15.75">
      <c r="A30" s="14" t="s">
        <v>11</v>
      </c>
      <c r="B30">
        <f>COUNTIF(B6:B26,"ausente")</f>
        <v>0</v>
      </c>
      <c r="C30" s="40">
        <f t="shared" ref="C30:D30" si="2">COUNTIF(C6:C26,"ausente")</f>
        <v>0</v>
      </c>
      <c r="D30" s="40">
        <f t="shared" si="2"/>
        <v>0</v>
      </c>
    </row>
    <row r="31" spans="1:4" ht="15.75">
      <c r="A31" s="19" t="s">
        <v>20</v>
      </c>
      <c r="B31" s="20">
        <f>COUNTIF(B6:B26,"abstenção")</f>
        <v>0</v>
      </c>
      <c r="C31" s="106">
        <f t="shared" ref="C31:D31" si="3">COUNTIF(C6:C26,"abstenção")</f>
        <v>1</v>
      </c>
      <c r="D31" s="106">
        <f t="shared" si="3"/>
        <v>1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110</v>
      </c>
      <c r="B2" s="2"/>
      <c r="C2" s="54"/>
      <c r="D2" s="54"/>
      <c r="E2" s="54"/>
    </row>
    <row r="3" spans="1:9" ht="15.75" thickBot="1">
      <c r="A3" s="122" t="s">
        <v>112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99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100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97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110</v>
      </c>
      <c r="B2" s="2"/>
    </row>
    <row r="3" spans="1:25">
      <c r="A3" s="77" t="s">
        <v>112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99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100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97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2025-06-18T21:53:57Z</dcterms:modified>
</cp:coreProperties>
</file>