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578F7DF-4472-4AA1-B9E5-2F1C13EB6B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C29" i="10"/>
  <c r="D29" i="10"/>
  <c r="C30" i="10"/>
  <c r="D30" i="10"/>
  <c r="C31" i="10"/>
  <c r="D31" i="10"/>
  <c r="C27" i="3"/>
  <c r="C28" i="3"/>
  <c r="C29" i="3"/>
  <c r="C30" i="3"/>
  <c r="F28" i="11"/>
  <c r="G28" i="11"/>
  <c r="H28" i="11"/>
  <c r="I28" i="11"/>
  <c r="F29" i="11"/>
  <c r="G29" i="11"/>
  <c r="H29" i="11"/>
  <c r="I29" i="11"/>
  <c r="F30" i="11"/>
  <c r="G30" i="11"/>
  <c r="H30" i="11"/>
  <c r="I30" i="11"/>
  <c r="F31" i="11"/>
  <c r="G31" i="11"/>
  <c r="H31" i="11"/>
  <c r="I31" i="11"/>
  <c r="D27" i="3"/>
  <c r="D28" i="3"/>
  <c r="D29" i="3"/>
  <c r="D30" i="3"/>
  <c r="E27" i="2"/>
  <c r="E28" i="2"/>
  <c r="E29" i="2"/>
  <c r="E30" i="2"/>
  <c r="E28" i="10"/>
  <c r="E29" i="10"/>
  <c r="E30" i="10"/>
  <c r="E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<sst xmlns="http://schemas.openxmlformats.org/spreadsheetml/2006/main" count="486" uniqueCount="121">
  <si>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</si>
  <si>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</si>
  <si>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</si>
  <si>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</si>
  <si>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</si>
  <si>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</si>
  <si>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</si>
  <si>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</si>
  <si>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</si>
  <si>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</si>
  <si>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</si>
  <si>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</si>
  <si>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</si>
  <si>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</si>
  <si>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</si>
  <si>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</si>
  <si>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</si>
  <si>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</si>
  <si>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</si>
  <si>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</si>
  <si>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</si>
  <si>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</si>
  <si>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</si>
  <si>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</si>
  <si>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</si>
  <si>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</si>
  <si>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</si>
  <si>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</si>
  <si>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</si>
  <si>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</si>
  <si>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</si>
  <si>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</si>
  <si>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</si>
  <si>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</si>
  <si>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</si>
  <si>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</si>
  <si>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</si>
  <si>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</si>
  <si>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</si>
  <si>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</si>
  <si>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</si>
  <si>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</si>
  <si>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</si>
  <si>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</si>
  <si>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</si>
  <si>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</si>
  <si>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</si>
  <si>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</si>
  <si>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</si>
  <si>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</si>
  <si>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</si>
  <si>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</si>
  <si>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</si>
  <si>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</si>
  <si>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</si>
  <si>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</si>
  <si>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</si>
  <si>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</si>
  <si>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</si>
  <si>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</si>
  <si>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</si>
  <si>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</si>
  <si>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</si>
  <si>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</si>
  <si>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</si>
  <si>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</si>
  <si>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</si>
  <si>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</si>
  <si>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</si>
  <si>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</si>
  <si>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</si>
  <si>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</si>
  <si>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</si>
  <si>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</si>
  <si>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</si>
  <si>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</si>
  <si>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</si>
  <si>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</si>
  <si>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</si>
  <si>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</si>
  <si>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</si>
  <si>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</si>
  <si>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</si>
  <si>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</si>
  <si>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</si>
  <si>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</si>
  <si>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</si>
  <si>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</si>
  <si>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</si>
  <si>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</si>
  <si>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</si>
  <si>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</si>
  <si>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</si>
  <si>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</si>
  <si>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</si>
  <si>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</si>
  <si>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pela ausência do autor, será pautada na próxima sessão.</t>
  </si>
  <si>
    <t>Justificativa de ausência da Vereadora Lúcia da Saúde.</t>
  </si>
  <si>
    <r>
      <t>PROJETO DE LEI N.º 130/2026 – LÚCIA DA SAÚDE –</t>
    </r>
    <r>
      <rPr>
        <sz val="14"/>
        <color theme="1"/>
        <rFont val="Arial"/>
        <family val="2"/>
      </rPr>
      <t xml:space="preserve"> Institui o “Quadran-Day” no Calendário Oficial do Município de Osasco e dá outras providências.</t>
    </r>
  </si>
  <si>
    <t>Justificativa de ausência do Vereador Heber do Juntoz.</t>
  </si>
  <si>
    <r>
      <t xml:space="preserve">MOÇÃO DE APLAUSO N.º 250/2026 – JOSIAS DA JUCO – </t>
    </r>
    <r>
      <rPr>
        <sz val="11"/>
        <color theme="1"/>
        <rFont val="Arial"/>
        <family val="2"/>
      </rPr>
      <t>Aos Guardas Civis Municipais Tardelli e João Victor, integrantes da Guarda Civil de Osasco, em reconhecimento ao trabalho de excelência desenvolvido no exercício de suas funções, marcado por comprometimento, profissionalismo, coragem, e dedicação à proteção da população osasquense.</t>
    </r>
  </si>
  <si>
    <t>8.RECURSO DE AUTORIA DO VEREADOR PEDRINHO CANTAGESSI AO PL N.º 57/2026, que dispõe sobre a criação do Programa Ônibus Rosa e dá outras providências, em face do parecer contrário da Comissão de Constituição e Justiça – CCJ.</t>
  </si>
  <si>
    <t>pela ausêmcia da autora, será pautado na próxima sessão.</t>
  </si>
  <si>
    <t>APROVADO</t>
  </si>
  <si>
    <t>sim</t>
  </si>
  <si>
    <t>na presidência</t>
  </si>
  <si>
    <t>51ª SESSÃO ORDINÁRIA</t>
  </si>
  <si>
    <t>DIA 17 DE SETEMBRO DE 2026 - QUINTA-FEIRA</t>
  </si>
  <si>
    <t>OFÍCIO PROLEGIS Nº 202603304609 – Prefeito do Município de Osasco – Informa a sanção da Lei nº 5.521, de 14 de setembro de 2026, referente ao Projeto de Lei nº 143/2026, de autoria do vereador Sérgio Fontellas que institui no Calendário Oficial o Dia do Jovem Cristão, a ser comemorado anualmente em 21 de outubro.</t>
  </si>
  <si>
    <t>OFÍCIO PROLEGIS nº 202603304628 - Prefeito do Município de Osasco – Informa a sanção da Lei nº 5.522, de 14 de setembro de 2026, referente ao Projeto de Lei nº 70/2026, de autoria do vereador Heber do Juntoz que institui o Dia Municipal de Combate à Cultura “Red Pill” no Município de Osasco.</t>
  </si>
  <si>
    <r>
      <t>MOÇÃO DE APLAUSO N.º 262/2026 – BATISTA COMUNIDADE –</t>
    </r>
    <r>
      <rPr>
        <sz val="11"/>
        <color theme="1"/>
        <rFont val="Arial"/>
        <family val="2"/>
      </rPr>
      <t xml:space="preserve"> Ao servidor público, cantor, missionário e presbítero Odin Soares da Cunha, pela trajetória de vida marcada pela fé, trabalho, dedicação ao serviço público e compromisso com a comunidade de Osasco. </t>
    </r>
  </si>
  <si>
    <r>
      <t xml:space="preserve">MOÇÃO DE RECONHECIMENTO N.º 264/2026 – GUILHERME PRADO – </t>
    </r>
    <r>
      <rPr>
        <sz val="11"/>
        <color theme="1"/>
        <rFont val="Arial"/>
        <family val="2"/>
      </rPr>
      <t xml:space="preserve">Ao compositor osasquense Léo Rocatto, por sua trajetória, criatividade e inteligência artística, bem como à relevante contribuição para a música brasileira. </t>
    </r>
  </si>
  <si>
    <r>
      <t xml:space="preserve">MOÇÃO DE RECONHECIMENTO N.º 265/2026 – RALFI – </t>
    </r>
    <r>
      <rPr>
        <sz val="11"/>
        <color theme="1"/>
        <rFont val="Arial"/>
        <family val="2"/>
      </rPr>
      <t>Ao Senhor Rodrigo Shigueo Sendai Shimizu, pela relevante trajetória profissional na área da Medicina Veterinária e sua contribuição para a promoção da saúde e do bem-estar animal no Município de Osasco.</t>
    </r>
  </si>
  <si>
    <r>
      <t xml:space="preserve">MOÇÃO DE APLAUSO N.º 266/2026 – BATISTA COMUNIDADE – </t>
    </r>
    <r>
      <rPr>
        <sz val="11"/>
        <color theme="1"/>
        <rFont val="Arial"/>
        <family val="2"/>
      </rPr>
      <t>Ao empresário e líder comunitário Alfredo Tanimoto, diretor regional do BNI para Osasco, Alphaville e Granja Viana, pela trajetória profissional de excelência no Brasil e no exterior, e sua contribuição ao desenvolvimento empresarial e econômico da região de Osasco.</t>
    </r>
  </si>
  <si>
    <r>
      <t xml:space="preserve">MOÇÃO DE CONGRATULAÇÕES N.º 267/2026 – DELBIO TERUEL – </t>
    </r>
    <r>
      <rPr>
        <sz val="11"/>
        <color theme="1"/>
        <rFont val="Arial"/>
        <family val="2"/>
      </rPr>
      <t>Ao Sport Clube Corinthians da Vila Yara, carinhosamente chamado de Corinthinha, pelos 77 anos de história, tradição e contribuição ao esporte e à comunidade osasquense.</t>
    </r>
  </si>
  <si>
    <r>
      <t xml:space="preserve">PROJETO DE LEI N.º 200/2026 – PREFEITO DO MUNICÍPIO DE OSASCO - </t>
    </r>
    <r>
      <rPr>
        <sz val="11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</si>
  <si>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201/2026 - PREFEITO DO MUNICÍPIO DE OSASCO - </t>
    </r>
    <r>
      <rPr>
        <sz val="11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</si>
  <si>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158/2026 – PREFEITO DO MUNICÍPIO DE OSASCO - </t>
    </r>
    <r>
      <rPr>
        <sz val="11"/>
        <color theme="1"/>
        <rFont val="Arial"/>
        <family val="2"/>
      </rPr>
      <t>Dispõe sobre a denominação oficial de logradouro no Assentamento Social Abas, Jardim Mutinga.</t>
    </r>
  </si>
  <si>
    <r>
      <t xml:space="preserve">PROJETO DE LEI N.º 187/2026 – ALEXANDRE CAPRIOTTI – </t>
    </r>
    <r>
      <rPr>
        <sz val="11"/>
        <color theme="1"/>
        <rFont val="Arial"/>
        <family val="2"/>
      </rPr>
      <t>Dispõe sobre a denominação do Pet Parque Pet Estrela localizado no bairro Jaguaribe.CONTÉM EMENDA Nº. 01/2026, DA CCJ.</t>
    </r>
  </si>
  <si>
    <r>
      <t>PROJETO DE DECRETO LEGISLATIVO N.º 39/2026 – FÁBIO CHIRINHAN -</t>
    </r>
    <r>
      <rPr>
        <sz val="11"/>
        <color theme="1"/>
        <rFont val="Arial"/>
        <family val="2"/>
      </rPr>
      <t xml:space="preserve"> Dispõe sobre a concessão de Título de Cidadão Osasquense ao Senhor José Antônio Couzo Arévalo Júnior.</t>
    </r>
  </si>
  <si>
    <t>pela ausêmcia do autor, será pautado na próxima sessão.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</si>
</sst>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O32" sqref="O3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106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107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94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2</v>
      </c>
      <c r="C9" s="102" t="s">
        <v>48</v>
      </c>
      <c r="D9" s="63"/>
      <c r="E9" s="62"/>
      <c r="F9" s="88">
        <v>2</v>
      </c>
      <c r="G9" s="102" t="s">
        <v>48</v>
      </c>
      <c r="H9" s="63"/>
      <c r="I9" s="62"/>
      <c r="J9" s="63">
        <v>2</v>
      </c>
      <c r="K9" s="102" t="s">
        <v>48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1</v>
      </c>
      <c r="K12" s="62" t="s">
        <v>47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2</v>
      </c>
      <c r="C13" s="102" t="s">
        <v>48</v>
      </c>
      <c r="D13" s="63"/>
      <c r="E13" s="62"/>
      <c r="F13" s="88">
        <v>2</v>
      </c>
      <c r="G13" s="102" t="s">
        <v>48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2</v>
      </c>
      <c r="K14" s="102" t="s">
        <v>48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87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88</v>
      </c>
      <c r="B19" s="88">
        <v>2</v>
      </c>
      <c r="C19" s="102" t="s">
        <v>48</v>
      </c>
      <c r="D19" s="63"/>
      <c r="E19" s="62"/>
      <c r="F19" s="88">
        <v>2</v>
      </c>
      <c r="G19" s="102" t="s">
        <v>48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93</v>
      </c>
      <c r="B21" s="88">
        <v>2</v>
      </c>
      <c r="C21" s="102" t="s">
        <v>48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95</v>
      </c>
      <c r="B22" s="88">
        <v>2</v>
      </c>
      <c r="C22" s="102" t="s">
        <v>48</v>
      </c>
      <c r="D22" s="63"/>
      <c r="E22" s="62"/>
      <c r="F22" s="88">
        <v>2</v>
      </c>
      <c r="G22" s="102" t="s">
        <v>48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1</v>
      </c>
      <c r="G23" s="62" t="s">
        <v>47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>
        <v>8</v>
      </c>
      <c r="C26" s="96" t="s">
        <v>43</v>
      </c>
      <c r="D26" s="98"/>
      <c r="E26" s="96" t="s">
        <v>43</v>
      </c>
      <c r="F26" s="98">
        <v>12</v>
      </c>
      <c r="G26" s="96" t="s">
        <v>43</v>
      </c>
      <c r="H26" s="100"/>
      <c r="I26" s="101"/>
      <c r="J26" s="98">
        <v>14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13</v>
      </c>
      <c r="C27" s="96" t="s">
        <v>44</v>
      </c>
      <c r="D27" s="98"/>
      <c r="E27" s="96" t="s">
        <v>44</v>
      </c>
      <c r="F27" s="98">
        <v>9</v>
      </c>
      <c r="G27" s="96" t="s">
        <v>44</v>
      </c>
      <c r="H27" s="100"/>
      <c r="I27" s="96"/>
      <c r="J27" s="98">
        <v>7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51</v>
      </c>
      <c r="V32" s="12"/>
      <c r="W32" s="12"/>
    </row>
    <row r="33" spans="1:23" ht="18">
      <c r="A33" s="34" t="s">
        <v>55</v>
      </c>
      <c r="V33" s="12"/>
      <c r="W33" s="12"/>
    </row>
    <row r="34" spans="1:23" ht="18">
      <c r="A34" s="34" t="s">
        <v>93</v>
      </c>
      <c r="V34" s="12"/>
      <c r="W34" s="12"/>
    </row>
    <row r="35" spans="1:23" ht="18">
      <c r="A35" s="34" t="s">
        <v>61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52</v>
      </c>
      <c r="V44" s="12"/>
      <c r="W44" s="12"/>
    </row>
    <row r="45" spans="1:23" ht="18">
      <c r="A45" s="34" t="s">
        <v>95</v>
      </c>
      <c r="V45" s="12"/>
      <c r="W45" s="12"/>
    </row>
    <row r="46" spans="1:23" ht="18">
      <c r="A46" s="34" t="s">
        <v>26</v>
      </c>
      <c r="V46" s="12"/>
      <c r="W46" s="12"/>
    </row>
    <row r="47" spans="1:23" ht="18">
      <c r="A47" s="34" t="s">
        <v>82</v>
      </c>
      <c r="V47" s="12"/>
      <c r="W47" s="12"/>
    </row>
    <row r="48" spans="1:23" ht="18">
      <c r="A48" s="34" t="s">
        <v>88</v>
      </c>
      <c r="B48" s="7"/>
      <c r="V48" s="12"/>
      <c r="W48" s="32"/>
    </row>
    <row r="49" spans="1:23" ht="18">
      <c r="A49" s="34" t="s">
        <v>23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O39"/>
  <sheetViews>
    <sheetView workbookViewId="0">
      <pane xSplit="1" topLeftCell="B1" activePane="topRight" state="frozen"/>
      <selection pane="topRight" activeCell="Q13" sqref="Q13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15" width="22.7109375" style="22" customWidth="1"/>
    <col min="16" max="16384" width="9.140625" style="22"/>
  </cols>
  <sheetData>
    <row r="1" spans="1:15" ht="15">
      <c r="A1" s="76" t="s">
        <v>8</v>
      </c>
      <c r="B1" s="21"/>
      <c r="C1" s="21"/>
      <c r="D1" s="21"/>
      <c r="E1" s="21"/>
      <c r="F1" s="21"/>
      <c r="G1" s="21"/>
      <c r="H1" s="21"/>
    </row>
    <row r="2" spans="1:15" ht="15">
      <c r="A2" s="76" t="s">
        <v>106</v>
      </c>
      <c r="B2" s="21"/>
      <c r="C2" s="21"/>
      <c r="D2" s="21"/>
      <c r="E2" s="21"/>
      <c r="F2" s="21"/>
      <c r="G2" s="21"/>
      <c r="H2" s="21"/>
    </row>
    <row r="3" spans="1:15" ht="17.25" customHeight="1">
      <c r="A3" s="76" t="s">
        <v>107</v>
      </c>
      <c r="B3" s="21"/>
      <c r="C3" s="21"/>
      <c r="D3" s="21"/>
      <c r="E3" s="21"/>
      <c r="F3" s="21"/>
      <c r="G3" s="21"/>
      <c r="H3" s="21"/>
    </row>
    <row r="4" spans="1:15" ht="63" customHeight="1">
      <c r="A4" s="51" t="str">
        <f>'[1]MOÇÃO E REQUERIMENTO'!B7</f>
        <v>EXPEDIENTE</v>
      </c>
      <c r="B4" s="50" t="s">
        <v>42</v>
      </c>
      <c r="C4" s="117" t="s">
        <v>97</v>
      </c>
      <c r="D4" s="117" t="s">
        <v>99</v>
      </c>
      <c r="E4" s="117" t="s">
        <v>108</v>
      </c>
      <c r="F4" s="117" t="s">
        <v>109</v>
      </c>
      <c r="G4" s="112" t="s">
        <v>32</v>
      </c>
      <c r="H4" s="123"/>
      <c r="I4" s="50" t="s">
        <v>25</v>
      </c>
      <c r="J4" s="84" t="s">
        <v>110</v>
      </c>
      <c r="K4" s="84" t="s">
        <v>111</v>
      </c>
      <c r="L4" s="84" t="s">
        <v>112</v>
      </c>
      <c r="M4" s="84" t="s">
        <v>113</v>
      </c>
      <c r="N4" s="84" t="s">
        <v>114</v>
      </c>
      <c r="O4" s="84" t="s">
        <v>100</v>
      </c>
    </row>
    <row r="5" spans="1:15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113"/>
      <c r="J5" s="113" t="s">
        <v>84</v>
      </c>
      <c r="K5" s="149" t="s">
        <v>96</v>
      </c>
      <c r="L5" s="113" t="s">
        <v>84</v>
      </c>
      <c r="M5" s="113" t="s">
        <v>84</v>
      </c>
      <c r="N5" s="149" t="s">
        <v>96</v>
      </c>
      <c r="O5" s="113" t="s">
        <v>84</v>
      </c>
    </row>
    <row r="6" spans="1:15" ht="15.75">
      <c r="A6" s="126" t="s">
        <v>94</v>
      </c>
      <c r="I6" s="23"/>
    </row>
    <row r="7" spans="1:15" ht="15.75">
      <c r="A7" s="126" t="s">
        <v>60</v>
      </c>
      <c r="I7" s="23"/>
    </row>
    <row r="8" spans="1:15" ht="15.75">
      <c r="A8" s="126" t="s">
        <v>49</v>
      </c>
      <c r="I8" s="23"/>
    </row>
    <row r="9" spans="1:15" ht="15.75">
      <c r="A9" s="127" t="s">
        <v>50</v>
      </c>
      <c r="I9" s="23"/>
    </row>
    <row r="10" spans="1:15" ht="15.75">
      <c r="A10" s="126" t="s">
        <v>26</v>
      </c>
      <c r="I10" s="23"/>
    </row>
    <row r="11" spans="1:15" ht="15.75">
      <c r="A11" s="126" t="s">
        <v>51</v>
      </c>
      <c r="I11" s="23"/>
    </row>
    <row r="12" spans="1:15" ht="15.75">
      <c r="A12" s="126" t="s">
        <v>22</v>
      </c>
      <c r="I12" s="23"/>
    </row>
    <row r="13" spans="1:15" ht="15.75">
      <c r="A13" s="126" t="s">
        <v>23</v>
      </c>
      <c r="I13" s="23"/>
    </row>
    <row r="14" spans="1:15" ht="15.75">
      <c r="A14" s="126" t="s">
        <v>52</v>
      </c>
      <c r="I14" s="23"/>
    </row>
    <row r="15" spans="1:15" ht="15.75">
      <c r="A15" s="126" t="s">
        <v>53</v>
      </c>
      <c r="I15" s="23"/>
    </row>
    <row r="16" spans="1:15" ht="15.75">
      <c r="A16" s="126" t="s">
        <v>54</v>
      </c>
      <c r="I16" s="23"/>
    </row>
    <row r="17" spans="1:9" ht="15.75">
      <c r="A17" s="126" t="s">
        <v>87</v>
      </c>
      <c r="I17" s="23"/>
    </row>
    <row r="18" spans="1:9" ht="15.75">
      <c r="A18" s="126" t="s">
        <v>24</v>
      </c>
      <c r="I18" s="23"/>
    </row>
    <row r="19" spans="1:9" ht="15.75">
      <c r="A19" s="126" t="s">
        <v>55</v>
      </c>
      <c r="I19" s="23"/>
    </row>
    <row r="20" spans="1:9" ht="15.75">
      <c r="A20" s="126" t="s">
        <v>88</v>
      </c>
      <c r="I20" s="23"/>
    </row>
    <row r="21" spans="1:9" ht="15.75">
      <c r="A21" s="126" t="s">
        <v>83</v>
      </c>
      <c r="I21" s="23"/>
    </row>
    <row r="22" spans="1:9" ht="15.75">
      <c r="A22" s="126" t="s">
        <v>93</v>
      </c>
      <c r="I22" s="23"/>
    </row>
    <row r="23" spans="1:9" ht="15.75">
      <c r="A23" s="126" t="s">
        <v>95</v>
      </c>
      <c r="I23" s="23"/>
    </row>
    <row r="24" spans="1:9" ht="15.75">
      <c r="A24" s="126" t="s">
        <v>61</v>
      </c>
      <c r="I24" s="23"/>
    </row>
    <row r="25" spans="1:9" ht="15.75">
      <c r="A25" s="126" t="s">
        <v>82</v>
      </c>
      <c r="I25" s="23"/>
    </row>
    <row r="26" spans="1:9" ht="15.75">
      <c r="A26" s="126" t="s">
        <v>56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106</v>
      </c>
      <c r="B2" s="49"/>
      <c r="C2" s="74"/>
    </row>
    <row r="3" spans="1:45" ht="17.25" customHeight="1">
      <c r="A3" s="76" t="s">
        <v>107</v>
      </c>
      <c r="B3" s="49"/>
      <c r="C3" s="74"/>
      <c r="E3" s="116"/>
    </row>
    <row r="4" spans="1:45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98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35</v>
      </c>
      <c r="B5" s="78"/>
      <c r="C5" s="144"/>
      <c r="D5" s="79"/>
      <c r="E5" s="149" t="s">
        <v>102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94</v>
      </c>
      <c r="C6" s="107"/>
      <c r="E6" s="107"/>
      <c r="F6" s="142"/>
    </row>
    <row r="7" spans="1:45" ht="20.25">
      <c r="A7" s="46" t="s">
        <v>60</v>
      </c>
      <c r="C7" s="107"/>
      <c r="E7" s="107"/>
    </row>
    <row r="8" spans="1:45" ht="20.25">
      <c r="A8" s="46" t="s">
        <v>49</v>
      </c>
      <c r="C8" s="107"/>
      <c r="E8" s="107"/>
    </row>
    <row r="9" spans="1:45" ht="20.25">
      <c r="A9" s="82" t="s">
        <v>50</v>
      </c>
      <c r="C9" s="114"/>
      <c r="E9" s="114"/>
    </row>
    <row r="10" spans="1:45" ht="20.25">
      <c r="A10" s="46" t="s">
        <v>26</v>
      </c>
      <c r="C10" s="107"/>
      <c r="E10" s="107"/>
    </row>
    <row r="11" spans="1:45" ht="20.25">
      <c r="A11" s="46" t="s">
        <v>51</v>
      </c>
      <c r="C11" s="107"/>
      <c r="E11" s="107"/>
    </row>
    <row r="12" spans="1:45" ht="20.25">
      <c r="A12" s="46" t="s">
        <v>22</v>
      </c>
      <c r="C12" s="114"/>
      <c r="E12" s="107"/>
    </row>
    <row r="13" spans="1:45" ht="20.25">
      <c r="A13" s="46" t="s">
        <v>23</v>
      </c>
      <c r="C13" s="107"/>
      <c r="E13" s="114"/>
    </row>
    <row r="14" spans="1:45" ht="20.25">
      <c r="A14" s="46" t="s">
        <v>52</v>
      </c>
      <c r="C14" s="107"/>
      <c r="E14" s="107"/>
    </row>
    <row r="15" spans="1:45" ht="20.25">
      <c r="A15" s="46" t="s">
        <v>53</v>
      </c>
      <c r="C15" s="107"/>
      <c r="E15" s="107"/>
    </row>
    <row r="16" spans="1:45" ht="20.25">
      <c r="A16" s="46" t="s">
        <v>54</v>
      </c>
      <c r="C16" s="143"/>
      <c r="E16" s="114"/>
    </row>
    <row r="17" spans="1:130" ht="20.25">
      <c r="A17" s="46" t="s">
        <v>87</v>
      </c>
      <c r="C17" s="114"/>
      <c r="E17" s="107"/>
    </row>
    <row r="18" spans="1:130" ht="20.25">
      <c r="A18" s="46" t="s">
        <v>24</v>
      </c>
      <c r="C18" s="107"/>
      <c r="E18" s="107"/>
    </row>
    <row r="19" spans="1:130" ht="20.25">
      <c r="A19" s="46" t="s">
        <v>55</v>
      </c>
      <c r="C19" s="107"/>
      <c r="E19" s="107"/>
    </row>
    <row r="20" spans="1:130" ht="20.25">
      <c r="A20" s="46" t="s">
        <v>88</v>
      </c>
      <c r="C20" s="114"/>
      <c r="E20" s="107"/>
    </row>
    <row r="21" spans="1:130" ht="20.25">
      <c r="A21" s="46" t="s">
        <v>83</v>
      </c>
      <c r="C21" s="114"/>
      <c r="E21" s="114"/>
    </row>
    <row r="22" spans="1:130" ht="20.25">
      <c r="A22" s="46" t="s">
        <v>93</v>
      </c>
      <c r="C22" s="107"/>
      <c r="E22" s="114"/>
    </row>
    <row r="23" spans="1:130" ht="20.25">
      <c r="A23" s="46" t="s">
        <v>95</v>
      </c>
      <c r="C23" s="114"/>
      <c r="E23" s="107"/>
    </row>
    <row r="24" spans="1:130" ht="20.25">
      <c r="A24" s="46" t="s">
        <v>61</v>
      </c>
      <c r="C24" s="107"/>
      <c r="E24" s="107"/>
    </row>
    <row r="25" spans="1:130" ht="20.25">
      <c r="A25" s="46" t="s">
        <v>82</v>
      </c>
      <c r="C25" s="107"/>
      <c r="E25" s="107"/>
    </row>
    <row r="26" spans="1:130" ht="20.25">
      <c r="A26" s="46" t="s">
        <v>56</v>
      </c>
      <c r="C26" s="107"/>
      <c r="E26" s="114"/>
    </row>
    <row r="27" spans="1:130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G6" sqref="G6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19" t="s">
        <v>5</v>
      </c>
      <c r="B4" s="118" t="s">
        <v>7</v>
      </c>
      <c r="C4" s="138" t="s">
        <v>115</v>
      </c>
      <c r="D4" s="138" t="s">
        <v>116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4" t="s">
        <v>103</v>
      </c>
      <c r="D5" s="144" t="s">
        <v>103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8" t="s">
        <v>94</v>
      </c>
      <c r="C6" s="107" t="s">
        <v>104</v>
      </c>
      <c r="D6" s="107" t="s">
        <v>104</v>
      </c>
      <c r="V6" s="7"/>
      <c r="W6" s="7"/>
    </row>
    <row r="7" spans="1:30" ht="18">
      <c r="A7" s="128" t="s">
        <v>60</v>
      </c>
      <c r="C7" s="107" t="s">
        <v>104</v>
      </c>
      <c r="D7" s="107" t="s">
        <v>104</v>
      </c>
      <c r="V7" s="7"/>
      <c r="W7" s="7"/>
    </row>
    <row r="8" spans="1:30" ht="18">
      <c r="A8" s="128" t="s">
        <v>49</v>
      </c>
      <c r="C8" s="107" t="s">
        <v>104</v>
      </c>
      <c r="D8" s="107" t="s">
        <v>104</v>
      </c>
      <c r="V8" s="7"/>
      <c r="W8" s="7"/>
    </row>
    <row r="9" spans="1:30" ht="18">
      <c r="A9" s="129" t="s">
        <v>50</v>
      </c>
      <c r="C9" s="114" t="s">
        <v>105</v>
      </c>
      <c r="D9" s="114" t="s">
        <v>105</v>
      </c>
      <c r="V9" s="7"/>
      <c r="W9" s="7"/>
    </row>
    <row r="10" spans="1:30" ht="18">
      <c r="A10" s="128" t="s">
        <v>26</v>
      </c>
      <c r="C10" s="114" t="s">
        <v>48</v>
      </c>
      <c r="D10" s="114" t="s">
        <v>48</v>
      </c>
      <c r="V10" s="7"/>
      <c r="W10" s="7"/>
    </row>
    <row r="11" spans="1:30" ht="18">
      <c r="A11" s="128" t="s">
        <v>51</v>
      </c>
      <c r="C11" s="114" t="s">
        <v>48</v>
      </c>
      <c r="D11" s="114" t="s">
        <v>48</v>
      </c>
      <c r="V11" s="7"/>
      <c r="W11" s="7"/>
    </row>
    <row r="12" spans="1:30" ht="18">
      <c r="A12" s="128" t="s">
        <v>22</v>
      </c>
      <c r="C12" s="107" t="s">
        <v>104</v>
      </c>
      <c r="D12" s="107" t="s">
        <v>104</v>
      </c>
      <c r="V12" s="7"/>
      <c r="W12" s="7"/>
    </row>
    <row r="13" spans="1:30" ht="18">
      <c r="A13" s="128" t="s">
        <v>23</v>
      </c>
      <c r="C13" s="114" t="s">
        <v>48</v>
      </c>
      <c r="D13" s="114" t="s">
        <v>48</v>
      </c>
      <c r="V13" s="7"/>
      <c r="W13" s="7"/>
    </row>
    <row r="14" spans="1:30" ht="18">
      <c r="A14" s="128" t="s">
        <v>52</v>
      </c>
      <c r="C14" s="107" t="s">
        <v>104</v>
      </c>
      <c r="D14" s="107" t="s">
        <v>104</v>
      </c>
      <c r="V14" s="7"/>
      <c r="W14" s="7"/>
    </row>
    <row r="15" spans="1:30" ht="18">
      <c r="A15" s="128" t="s">
        <v>53</v>
      </c>
      <c r="C15" s="114" t="s">
        <v>48</v>
      </c>
      <c r="D15" s="114" t="s">
        <v>48</v>
      </c>
      <c r="V15" s="7"/>
      <c r="W15" s="7"/>
    </row>
    <row r="16" spans="1:30" ht="18">
      <c r="A16" s="128" t="s">
        <v>54</v>
      </c>
      <c r="C16" s="114" t="s">
        <v>48</v>
      </c>
      <c r="D16" s="114" t="s">
        <v>48</v>
      </c>
      <c r="V16" s="7"/>
      <c r="W16" s="7"/>
    </row>
    <row r="17" spans="1:124" ht="18">
      <c r="A17" s="128" t="s">
        <v>87</v>
      </c>
      <c r="C17" s="107" t="s">
        <v>104</v>
      </c>
      <c r="D17" s="107" t="s">
        <v>104</v>
      </c>
      <c r="V17" s="7"/>
      <c r="W17" s="7"/>
    </row>
    <row r="18" spans="1:124" ht="15" customHeight="1">
      <c r="A18" s="128" t="s">
        <v>24</v>
      </c>
      <c r="C18" s="107" t="s">
        <v>104</v>
      </c>
      <c r="D18" s="107" t="s">
        <v>104</v>
      </c>
      <c r="U18" s="8"/>
      <c r="V18" s="7"/>
      <c r="W18" s="7"/>
    </row>
    <row r="19" spans="1:124" ht="18">
      <c r="A19" s="128" t="s">
        <v>55</v>
      </c>
      <c r="C19" s="107" t="s">
        <v>104</v>
      </c>
      <c r="D19" s="107" t="s">
        <v>104</v>
      </c>
      <c r="V19" s="7"/>
      <c r="W19" s="7"/>
    </row>
    <row r="20" spans="1:124" ht="18">
      <c r="A20" s="128" t="s">
        <v>88</v>
      </c>
      <c r="C20" s="107" t="s">
        <v>104</v>
      </c>
      <c r="D20" s="107" t="s">
        <v>104</v>
      </c>
      <c r="V20" s="7"/>
      <c r="W20" s="7"/>
    </row>
    <row r="21" spans="1:124" ht="18">
      <c r="A21" s="128" t="s">
        <v>83</v>
      </c>
      <c r="C21" s="114" t="s">
        <v>48</v>
      </c>
      <c r="D21" s="114" t="s">
        <v>48</v>
      </c>
      <c r="V21" s="7"/>
      <c r="W21" s="7"/>
    </row>
    <row r="22" spans="1:124" ht="18">
      <c r="A22" s="128" t="s">
        <v>93</v>
      </c>
      <c r="C22" s="107" t="s">
        <v>104</v>
      </c>
      <c r="D22" s="107" t="s">
        <v>104</v>
      </c>
      <c r="V22" s="7"/>
      <c r="W22" s="7"/>
    </row>
    <row r="23" spans="1:124" ht="18">
      <c r="A23" s="128" t="s">
        <v>95</v>
      </c>
      <c r="C23" s="107" t="s">
        <v>104</v>
      </c>
      <c r="D23" s="107" t="s">
        <v>104</v>
      </c>
      <c r="V23" s="7"/>
      <c r="W23" s="7"/>
    </row>
    <row r="24" spans="1:124" ht="18">
      <c r="A24" s="128" t="s">
        <v>61</v>
      </c>
      <c r="C24" s="114" t="s">
        <v>48</v>
      </c>
      <c r="D24" s="114" t="s">
        <v>48</v>
      </c>
      <c r="V24" s="7"/>
      <c r="W24" s="7"/>
    </row>
    <row r="25" spans="1:124" ht="18">
      <c r="A25" s="128" t="s">
        <v>82</v>
      </c>
      <c r="C25" s="107" t="s">
        <v>104</v>
      </c>
      <c r="D25" s="107" t="s">
        <v>104</v>
      </c>
      <c r="V25" s="7"/>
      <c r="W25" s="7"/>
    </row>
    <row r="26" spans="1:124" ht="18">
      <c r="A26" s="128" t="s">
        <v>56</v>
      </c>
      <c r="C26" s="107" t="s">
        <v>104</v>
      </c>
      <c r="D26" s="107" t="s">
        <v>104</v>
      </c>
      <c r="V26" s="7"/>
      <c r="W26" s="7"/>
    </row>
    <row r="27" spans="1:124" s="16" customFormat="1" ht="15.75">
      <c r="A27" s="15" t="s">
        <v>18</v>
      </c>
      <c r="B27" s="145">
        <f>COUNTIF(B6:B26,"sim")</f>
        <v>0</v>
      </c>
      <c r="C27" s="103">
        <f t="shared" ref="C27:D27" si="0">COUNTIF(C6:C26,"sim")</f>
        <v>13</v>
      </c>
      <c r="D27" s="103">
        <f t="shared" si="0"/>
        <v>13</v>
      </c>
      <c r="K27" s="16">
        <f t="shared" ref="K27:AP27" si="1">COUNTIF(K6:K26,"sim")</f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ref="AQ27:BV27" si="2">COUNTIF(AQ6:AQ26,"sim")</f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ref="BW27:DB27" si="3">COUNTIF(BW6:BW26,"sim")</f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ref="DC27:DT27" si="4">COUNTIF(DC6:DC26,"sim")</f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</row>
    <row r="28" spans="1:124" s="18" customFormat="1" ht="15.75">
      <c r="A28" s="17" t="s">
        <v>19</v>
      </c>
      <c r="B28" s="146">
        <f>COUNTIF(B6:B26,"não")</f>
        <v>0</v>
      </c>
      <c r="C28" s="104">
        <f t="shared" ref="C28:D28" si="5">COUNTIF(C6:C26,"não")</f>
        <v>0</v>
      </c>
      <c r="D28" s="104">
        <f t="shared" si="5"/>
        <v>0</v>
      </c>
      <c r="K28" s="18">
        <f t="shared" ref="K28:AP28" si="6">COUNTIF(K6:K27,"não")</f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ref="AQ28:BV28" si="7">COUNTIF(AQ6:AQ27,"não")</f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ref="BW28:DB28" si="8">COUNTIF(BW6:BW27,"não")</f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ref="DC28:DT28" si="9">COUNTIF(DC6:DC27,"não")</f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</row>
    <row r="29" spans="1:124" ht="15.75">
      <c r="A29" s="14" t="s">
        <v>11</v>
      </c>
      <c r="B29" s="147">
        <f>COUNTIF(B6:B26,"ausente")</f>
        <v>0</v>
      </c>
      <c r="C29" s="40">
        <f t="shared" ref="C29:D29" si="10">COUNTIF(C6:C26,"ausente")</f>
        <v>7</v>
      </c>
      <c r="D29" s="40">
        <f t="shared" si="10"/>
        <v>7</v>
      </c>
      <c r="K29">
        <f t="shared" ref="K29:AP29" si="11">COUNTIF(K6:K28,"ausente")</f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ref="AQ29:BV29" si="12">COUNTIF(AQ6:AQ28,"ausente")</f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ref="BW29:DB29" si="13">COUNTIF(BW6:BW28,"ausente")</f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ref="DC29:DT29" si="14">COUNTIF(DC6:DC28,"ausente")</f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</row>
    <row r="30" spans="1:124" s="20" customFormat="1" ht="15.75">
      <c r="A30" s="19" t="s">
        <v>20</v>
      </c>
      <c r="B30" s="148">
        <f>COUNTIF(B6:B26,"abstenção")</f>
        <v>0</v>
      </c>
      <c r="C30" s="105">
        <f t="shared" ref="C30:D30" si="15">COUNTIF(C6:C26,"abstenção")</f>
        <v>0</v>
      </c>
      <c r="D30" s="105">
        <f t="shared" si="15"/>
        <v>0</v>
      </c>
      <c r="K30" s="20">
        <f t="shared" ref="K30:AP30" si="16">COUNTIF(K10:K29,"abstenção")</f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ref="AQ30:BV30" si="17">COUNTIF(AQ10:AQ29,"abstenção")</f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ref="BW30:DB30" si="18">COUNTIF(BW10:BW29,"abstenção")</f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ref="DC30:DT30" si="19">COUNTIF(DC10:DC29,"abstenção")</f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E27" sqref="E27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106</v>
      </c>
      <c r="B2" s="2"/>
    </row>
    <row r="3" spans="1:5" ht="15.75" thickBot="1">
      <c r="A3" s="120" t="s">
        <v>107</v>
      </c>
      <c r="B3" s="2"/>
    </row>
    <row r="4" spans="1:5" ht="78.75" customHeight="1" thickBot="1">
      <c r="A4" s="119" t="s">
        <v>5</v>
      </c>
      <c r="B4" s="111" t="s">
        <v>21</v>
      </c>
      <c r="C4" s="138" t="s">
        <v>117</v>
      </c>
      <c r="D4" s="138" t="s">
        <v>118</v>
      </c>
      <c r="E4" s="138" t="s">
        <v>119</v>
      </c>
    </row>
    <row r="5" spans="1:5" s="6" customFormat="1" ht="60.75" customHeight="1">
      <c r="A5" s="121"/>
      <c r="B5" s="111"/>
      <c r="C5" s="144" t="s">
        <v>103</v>
      </c>
      <c r="D5" s="149" t="s">
        <v>120</v>
      </c>
      <c r="E5" s="144" t="s">
        <v>103</v>
      </c>
    </row>
    <row r="6" spans="1:5" ht="15.75">
      <c r="A6" s="126" t="s">
        <v>94</v>
      </c>
      <c r="C6" s="107" t="s">
        <v>104</v>
      </c>
      <c r="D6" s="107"/>
      <c r="E6" s="107" t="s">
        <v>104</v>
      </c>
    </row>
    <row r="7" spans="1:5" ht="15.75">
      <c r="A7" s="126" t="s">
        <v>60</v>
      </c>
      <c r="C7" s="107" t="s">
        <v>104</v>
      </c>
      <c r="D7" s="114"/>
      <c r="E7" s="107" t="s">
        <v>104</v>
      </c>
    </row>
    <row r="8" spans="1:5" ht="15.75">
      <c r="A8" s="126" t="s">
        <v>49</v>
      </c>
      <c r="C8" s="107" t="s">
        <v>104</v>
      </c>
      <c r="D8" s="107"/>
      <c r="E8" s="107" t="s">
        <v>104</v>
      </c>
    </row>
    <row r="9" spans="1:5" ht="15.75">
      <c r="A9" s="127" t="s">
        <v>50</v>
      </c>
      <c r="C9" s="114" t="s">
        <v>105</v>
      </c>
      <c r="D9" s="114"/>
      <c r="E9" s="107" t="s">
        <v>104</v>
      </c>
    </row>
    <row r="10" spans="1:5" ht="15.75">
      <c r="A10" s="126" t="s">
        <v>26</v>
      </c>
      <c r="C10" s="114" t="s">
        <v>48</v>
      </c>
      <c r="D10" s="107"/>
      <c r="E10" s="114" t="s">
        <v>48</v>
      </c>
    </row>
    <row r="11" spans="1:5" ht="15.75">
      <c r="A11" s="126" t="s">
        <v>51</v>
      </c>
      <c r="C11" s="114" t="s">
        <v>48</v>
      </c>
      <c r="D11" s="107"/>
      <c r="E11" s="114" t="s">
        <v>48</v>
      </c>
    </row>
    <row r="12" spans="1:5" ht="15.75">
      <c r="A12" s="126" t="s">
        <v>22</v>
      </c>
      <c r="C12" s="107" t="s">
        <v>104</v>
      </c>
      <c r="D12" s="107"/>
      <c r="E12" s="107" t="s">
        <v>104</v>
      </c>
    </row>
    <row r="13" spans="1:5" ht="15.75">
      <c r="A13" s="126" t="s">
        <v>23</v>
      </c>
      <c r="C13" s="114" t="s">
        <v>48</v>
      </c>
      <c r="D13" s="114"/>
      <c r="E13" s="114" t="s">
        <v>48</v>
      </c>
    </row>
    <row r="14" spans="1:5" ht="15.75">
      <c r="A14" s="126" t="s">
        <v>52</v>
      </c>
      <c r="C14" s="107" t="s">
        <v>104</v>
      </c>
      <c r="D14" s="107"/>
      <c r="E14" s="107" t="s">
        <v>104</v>
      </c>
    </row>
    <row r="15" spans="1:5" ht="15.75">
      <c r="A15" s="126" t="s">
        <v>53</v>
      </c>
      <c r="B15" s="137"/>
      <c r="C15" s="114" t="s">
        <v>48</v>
      </c>
      <c r="D15" s="107"/>
      <c r="E15" s="114" t="s">
        <v>48</v>
      </c>
    </row>
    <row r="16" spans="1:5" ht="15.75">
      <c r="A16" s="126" t="s">
        <v>54</v>
      </c>
      <c r="C16" s="114" t="s">
        <v>48</v>
      </c>
      <c r="D16" s="114"/>
      <c r="E16" s="114" t="s">
        <v>48</v>
      </c>
    </row>
    <row r="17" spans="1:5" ht="15.75">
      <c r="A17" s="126" t="s">
        <v>87</v>
      </c>
      <c r="C17" s="107" t="s">
        <v>104</v>
      </c>
      <c r="D17" s="107"/>
      <c r="E17" s="107" t="s">
        <v>104</v>
      </c>
    </row>
    <row r="18" spans="1:5" ht="15.75">
      <c r="A18" s="126" t="s">
        <v>24</v>
      </c>
      <c r="C18" s="107" t="s">
        <v>104</v>
      </c>
      <c r="D18" s="107"/>
      <c r="E18" s="107" t="s">
        <v>104</v>
      </c>
    </row>
    <row r="19" spans="1:5" ht="15.75">
      <c r="A19" s="126" t="s">
        <v>55</v>
      </c>
      <c r="C19" s="107" t="s">
        <v>104</v>
      </c>
      <c r="D19" s="107"/>
      <c r="E19" s="107" t="s">
        <v>104</v>
      </c>
    </row>
    <row r="20" spans="1:5" ht="15.75">
      <c r="A20" s="126" t="s">
        <v>88</v>
      </c>
      <c r="C20" s="107" t="s">
        <v>104</v>
      </c>
      <c r="D20" s="107"/>
      <c r="E20" s="107" t="s">
        <v>104</v>
      </c>
    </row>
    <row r="21" spans="1:5" ht="15.75">
      <c r="A21" s="126" t="s">
        <v>83</v>
      </c>
      <c r="C21" s="114" t="s">
        <v>48</v>
      </c>
      <c r="D21" s="114"/>
      <c r="E21" s="114" t="s">
        <v>48</v>
      </c>
    </row>
    <row r="22" spans="1:5" ht="15.75">
      <c r="A22" s="126" t="s">
        <v>93</v>
      </c>
      <c r="C22" s="107" t="s">
        <v>104</v>
      </c>
      <c r="D22" s="107"/>
      <c r="E22" s="107" t="s">
        <v>104</v>
      </c>
    </row>
    <row r="23" spans="1:5" ht="15.75">
      <c r="A23" s="126" t="s">
        <v>95</v>
      </c>
      <c r="C23" s="107" t="s">
        <v>104</v>
      </c>
      <c r="D23" s="107"/>
      <c r="E23" s="107" t="s">
        <v>104</v>
      </c>
    </row>
    <row r="24" spans="1:5" ht="15.75">
      <c r="A24" s="126" t="s">
        <v>61</v>
      </c>
      <c r="C24" s="114" t="s">
        <v>48</v>
      </c>
      <c r="D24" s="107"/>
      <c r="E24" s="114" t="s">
        <v>48</v>
      </c>
    </row>
    <row r="25" spans="1:5" ht="15.75">
      <c r="A25" s="126" t="s">
        <v>82</v>
      </c>
      <c r="C25" s="107" t="s">
        <v>104</v>
      </c>
      <c r="D25" s="107"/>
      <c r="E25" s="107" t="s">
        <v>104</v>
      </c>
    </row>
    <row r="26" spans="1:5" ht="15.75">
      <c r="A26" s="126" t="s">
        <v>56</v>
      </c>
      <c r="C26" s="107" t="s">
        <v>104</v>
      </c>
      <c r="D26" s="114"/>
      <c r="E26" s="107" t="s">
        <v>104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13</v>
      </c>
      <c r="D28" s="103">
        <f t="shared" si="0"/>
        <v>0</v>
      </c>
      <c r="E28" s="103">
        <f t="shared" si="0"/>
        <v>14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1">COUNTIF(C6:C26,"não")</f>
        <v>0</v>
      </c>
      <c r="D29" s="104">
        <f t="shared" si="1"/>
        <v>0</v>
      </c>
      <c r="E29" s="104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7</v>
      </c>
      <c r="D30" s="40">
        <f t="shared" si="2"/>
        <v>0</v>
      </c>
      <c r="E30" s="40">
        <f t="shared" si="2"/>
        <v>7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0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106</v>
      </c>
      <c r="B2" s="2"/>
      <c r="C2" s="54"/>
      <c r="D2" s="54"/>
      <c r="E2" s="54"/>
    </row>
    <row r="3" spans="1:10" ht="15.75" thickBot="1">
      <c r="A3" s="120" t="s">
        <v>107</v>
      </c>
      <c r="B3" s="2"/>
      <c r="C3" s="54"/>
      <c r="D3" s="54"/>
      <c r="E3" s="54"/>
    </row>
    <row r="4" spans="1:10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89</v>
      </c>
      <c r="G4" s="141" t="s">
        <v>90</v>
      </c>
      <c r="H4" s="141" t="s">
        <v>91</v>
      </c>
      <c r="I4" s="141" t="s">
        <v>92</v>
      </c>
      <c r="J4" s="141" t="s">
        <v>101</v>
      </c>
    </row>
    <row r="5" spans="1:10" ht="60.75" customHeight="1">
      <c r="A5" s="48"/>
      <c r="B5" s="10"/>
      <c r="C5" s="131"/>
      <c r="D5" s="130"/>
      <c r="E5" s="130"/>
      <c r="F5" s="40"/>
      <c r="G5" s="40"/>
      <c r="H5" s="40"/>
      <c r="I5" s="40"/>
      <c r="J5" s="40"/>
    </row>
    <row r="6" spans="1:10" ht="15.75">
      <c r="A6" s="126" t="s">
        <v>94</v>
      </c>
      <c r="C6" s="132"/>
      <c r="D6" s="132"/>
      <c r="E6" s="132"/>
      <c r="F6" s="40"/>
      <c r="G6" s="40"/>
      <c r="H6" s="40"/>
      <c r="I6" s="40"/>
      <c r="J6" s="40"/>
    </row>
    <row r="7" spans="1:10" ht="15.75">
      <c r="A7" s="126" t="s">
        <v>60</v>
      </c>
      <c r="C7" s="132"/>
      <c r="D7" s="132"/>
      <c r="E7" s="132"/>
      <c r="F7" s="40"/>
      <c r="G7" s="40"/>
      <c r="H7" s="40"/>
      <c r="I7" s="40"/>
      <c r="J7" s="40"/>
    </row>
    <row r="8" spans="1:10" ht="15.75">
      <c r="A8" s="126" t="s">
        <v>49</v>
      </c>
      <c r="C8" s="132"/>
      <c r="D8" s="132"/>
      <c r="E8" s="132"/>
      <c r="F8" s="40"/>
      <c r="G8" s="40"/>
      <c r="H8" s="40"/>
      <c r="I8" s="40"/>
      <c r="J8" s="40"/>
    </row>
    <row r="9" spans="1:10" ht="15.75">
      <c r="A9" s="127" t="s">
        <v>50</v>
      </c>
      <c r="C9" s="132"/>
      <c r="D9" s="132"/>
      <c r="E9" s="132"/>
      <c r="F9" s="40"/>
      <c r="G9" s="40"/>
      <c r="H9" s="40"/>
      <c r="I9" s="40"/>
      <c r="J9" s="40"/>
    </row>
    <row r="10" spans="1:10" ht="15.75">
      <c r="A10" s="126" t="s">
        <v>26</v>
      </c>
      <c r="C10" s="132"/>
      <c r="D10" s="132"/>
      <c r="E10" s="132"/>
      <c r="F10" s="40"/>
      <c r="G10" s="40"/>
      <c r="H10" s="40"/>
      <c r="I10" s="40"/>
      <c r="J10" s="40"/>
    </row>
    <row r="11" spans="1:10" ht="15.75">
      <c r="A11" s="126" t="s">
        <v>51</v>
      </c>
      <c r="C11" s="132"/>
      <c r="D11" s="132"/>
      <c r="E11" s="132"/>
      <c r="F11" s="40"/>
      <c r="G11" s="40"/>
      <c r="H11" s="40"/>
      <c r="I11" s="40"/>
      <c r="J11" s="40"/>
    </row>
    <row r="12" spans="1:10" ht="15.75">
      <c r="A12" s="126" t="s">
        <v>22</v>
      </c>
      <c r="C12" s="132"/>
      <c r="D12" s="132"/>
      <c r="E12" s="132"/>
      <c r="F12" s="40"/>
      <c r="G12" s="40"/>
      <c r="H12" s="40"/>
      <c r="I12" s="40"/>
      <c r="J12" s="40"/>
    </row>
    <row r="13" spans="1:10" ht="15.75">
      <c r="A13" s="126" t="s">
        <v>23</v>
      </c>
      <c r="C13" s="132"/>
      <c r="D13" s="132"/>
      <c r="E13" s="132"/>
      <c r="F13" s="40"/>
      <c r="G13" s="40"/>
      <c r="H13" s="40"/>
      <c r="I13" s="40"/>
      <c r="J13" s="40"/>
    </row>
    <row r="14" spans="1:10" ht="15.75">
      <c r="A14" s="126" t="s">
        <v>52</v>
      </c>
      <c r="C14" s="132"/>
      <c r="D14" s="132"/>
      <c r="E14" s="132"/>
      <c r="F14" s="40"/>
      <c r="G14" s="40"/>
      <c r="H14" s="40"/>
      <c r="I14" s="40"/>
      <c r="J14" s="40"/>
    </row>
    <row r="15" spans="1:10" ht="15.75">
      <c r="A15" s="126" t="s">
        <v>53</v>
      </c>
      <c r="C15" s="132"/>
      <c r="D15" s="132"/>
      <c r="E15" s="132"/>
      <c r="F15" s="40"/>
      <c r="G15" s="40"/>
      <c r="H15" s="40"/>
      <c r="I15" s="40"/>
      <c r="J15" s="40"/>
    </row>
    <row r="16" spans="1:10" ht="15.75">
      <c r="A16" s="126" t="s">
        <v>54</v>
      </c>
      <c r="C16" s="132"/>
      <c r="D16" s="132"/>
      <c r="E16" s="132"/>
      <c r="F16" s="40"/>
      <c r="G16" s="40"/>
      <c r="H16" s="40"/>
      <c r="I16" s="40"/>
      <c r="J16" s="40"/>
    </row>
    <row r="17" spans="1:10" ht="15.75">
      <c r="A17" s="126" t="s">
        <v>87</v>
      </c>
      <c r="C17" s="132"/>
      <c r="D17" s="132"/>
      <c r="E17" s="132"/>
      <c r="F17" s="40"/>
      <c r="G17" s="40"/>
      <c r="H17" s="40"/>
      <c r="I17" s="40"/>
      <c r="J17" s="40"/>
    </row>
    <row r="18" spans="1:10" ht="15.75">
      <c r="A18" s="126" t="s">
        <v>24</v>
      </c>
      <c r="C18" s="132"/>
      <c r="D18" s="132"/>
      <c r="E18" s="132"/>
      <c r="F18" s="40"/>
      <c r="G18" s="40"/>
      <c r="H18" s="40"/>
      <c r="I18" s="40"/>
      <c r="J18" s="40"/>
    </row>
    <row r="19" spans="1:10" ht="15.75">
      <c r="A19" s="126" t="s">
        <v>55</v>
      </c>
      <c r="C19" s="132"/>
      <c r="D19" s="132"/>
      <c r="E19" s="132"/>
      <c r="F19" s="40"/>
      <c r="G19" s="40"/>
      <c r="H19" s="40"/>
      <c r="I19" s="40"/>
      <c r="J19" s="40"/>
    </row>
    <row r="20" spans="1:10" ht="15.75">
      <c r="A20" s="126" t="s">
        <v>88</v>
      </c>
      <c r="C20" s="132"/>
      <c r="D20" s="132"/>
      <c r="E20" s="132"/>
      <c r="F20" s="40"/>
      <c r="G20" s="40"/>
      <c r="H20" s="40"/>
      <c r="I20" s="40"/>
      <c r="J20" s="40"/>
    </row>
    <row r="21" spans="1:10" ht="15.75">
      <c r="A21" s="126" t="s">
        <v>83</v>
      </c>
      <c r="C21" s="132"/>
      <c r="D21" s="132"/>
      <c r="E21" s="132"/>
      <c r="F21" s="40"/>
      <c r="G21" s="40"/>
      <c r="H21" s="40"/>
      <c r="I21" s="40"/>
      <c r="J21" s="40"/>
    </row>
    <row r="22" spans="1:10" ht="15.75">
      <c r="A22" s="126" t="s">
        <v>93</v>
      </c>
      <c r="C22" s="132"/>
      <c r="D22" s="132"/>
      <c r="E22" s="132"/>
      <c r="F22" s="40"/>
      <c r="G22" s="40"/>
      <c r="H22" s="40"/>
      <c r="I22" s="40"/>
      <c r="J22" s="40"/>
    </row>
    <row r="23" spans="1:10" ht="15.75">
      <c r="A23" s="126" t="s">
        <v>95</v>
      </c>
      <c r="C23" s="132"/>
      <c r="D23" s="132"/>
      <c r="E23" s="132"/>
      <c r="F23" s="40"/>
      <c r="G23" s="40"/>
      <c r="H23" s="40"/>
      <c r="I23" s="40"/>
      <c r="J23" s="40"/>
    </row>
    <row r="24" spans="1:10" ht="15.75">
      <c r="A24" s="126" t="s">
        <v>61</v>
      </c>
      <c r="C24" s="132"/>
      <c r="D24" s="132"/>
      <c r="E24" s="132"/>
      <c r="F24" s="40"/>
      <c r="G24" s="40"/>
      <c r="H24" s="40"/>
      <c r="I24" s="40"/>
      <c r="J24" s="40"/>
    </row>
    <row r="25" spans="1:10" ht="15.75">
      <c r="A25" s="126" t="s">
        <v>82</v>
      </c>
      <c r="C25" s="132"/>
      <c r="D25" s="132"/>
      <c r="E25" s="132"/>
      <c r="F25" s="40"/>
      <c r="G25" s="40"/>
      <c r="H25" s="40"/>
      <c r="I25" s="40"/>
      <c r="J25" s="40"/>
    </row>
    <row r="26" spans="1:10" ht="15.75">
      <c r="A26" s="126" t="s">
        <v>56</v>
      </c>
      <c r="C26" s="132"/>
      <c r="D26" s="132"/>
      <c r="E26" s="132"/>
      <c r="F26" s="40"/>
      <c r="G26" s="40"/>
      <c r="H26" s="40"/>
      <c r="I26" s="40"/>
      <c r="J26" s="40"/>
    </row>
    <row r="27" spans="1:10">
      <c r="C27" s="132"/>
      <c r="D27" s="132"/>
      <c r="E27" s="132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>
        <f t="shared" ref="F28:I28" si="0">COUNTIF(F6:F26,"sim")</f>
        <v>0</v>
      </c>
      <c r="G28" s="133">
        <f t="shared" si="0"/>
        <v>0</v>
      </c>
      <c r="H28" s="133">
        <f t="shared" si="0"/>
        <v>0</v>
      </c>
      <c r="I28" s="133">
        <f t="shared" si="0"/>
        <v>0</v>
      </c>
      <c r="J28" s="133">
        <f>COUNTIF(J6:J26,"sim")</f>
        <v>0</v>
      </c>
    </row>
    <row r="29" spans="1:10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>
        <f t="shared" ref="F29:I29" si="1">COUNTIF(F6:F26,"não")</f>
        <v>0</v>
      </c>
      <c r="G29" s="134">
        <f t="shared" si="1"/>
        <v>0</v>
      </c>
      <c r="H29" s="134">
        <f t="shared" si="1"/>
        <v>0</v>
      </c>
      <c r="I29" s="134">
        <f t="shared" si="1"/>
        <v>0</v>
      </c>
      <c r="J29" s="134">
        <f>COUNTIF(J6:J26,"não")</f>
        <v>0</v>
      </c>
    </row>
    <row r="30" spans="1:10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>
        <f t="shared" ref="F30:I30" si="2">COUNTIF(F6:F26,"ausente")</f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>COUNTIF(J6:J26,"ausente")</f>
        <v>0</v>
      </c>
    </row>
    <row r="31" spans="1:10" ht="15.75">
      <c r="A31" s="19" t="s">
        <v>20</v>
      </c>
      <c r="B31" s="20"/>
      <c r="C31" s="135">
        <f t="shared" ref="C31:J31" si="3">COUNTIF(C6:C26,"abstenção")</f>
        <v>0</v>
      </c>
      <c r="D31" s="135">
        <f t="shared" si="3"/>
        <v>0</v>
      </c>
      <c r="E31" s="135">
        <f t="shared" si="3"/>
        <v>0</v>
      </c>
      <c r="F31" s="135">
        <f t="shared" ref="F31:I31" si="4">COUNTIF(F6:F26,"abstenção")</f>
        <v>0</v>
      </c>
      <c r="G31" s="135">
        <f t="shared" si="4"/>
        <v>0</v>
      </c>
      <c r="H31" s="135">
        <f t="shared" si="4"/>
        <v>0</v>
      </c>
      <c r="I31" s="135">
        <f t="shared" si="4"/>
        <v>0</v>
      </c>
      <c r="J31" s="13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106</v>
      </c>
      <c r="B2" s="2"/>
    </row>
    <row r="3" spans="1:23">
      <c r="A3" s="76" t="s">
        <v>107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94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87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88</v>
      </c>
    </row>
    <row r="21" spans="1:23" ht="18">
      <c r="A21" s="128" t="s">
        <v>83</v>
      </c>
    </row>
    <row r="22" spans="1:23" ht="18">
      <c r="A22" s="128" t="s">
        <v>93</v>
      </c>
    </row>
    <row r="23" spans="1:23" ht="18">
      <c r="A23" s="128" t="s">
        <v>95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2026-09-21T20:52:21Z</dcterms:modified>
</cp:coreProperties>
</file>