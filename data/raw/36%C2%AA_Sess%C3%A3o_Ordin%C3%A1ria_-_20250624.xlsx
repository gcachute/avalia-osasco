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2B6AE130-172F-4971-84A3-4AC9BB175D7F}" xr6:coauthVersionLast="47" xr6:coauthVersionMax="47" xr10:uidLastSave="{00000000-0000-0000-0000-000000000000}"/>
  <bookViews>
    <workbookView xWindow="-120" yWindow="-120" windowWidth="29040" windowHeight="15720" tabRatio="849" activeTab="2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C28" i="10"/>
  <c r="C29" i="10"/>
  <c r="C30" i="10"/>
  <c r="C31" i="10"/>
  <c r="C27" i="3"/>
  <c r="C28" i="3"/>
  <c r="C29" i="3"/>
  <c r="C30" i="3"/>
  <c r="I27" i="2"/>
  <c r="I28" i="2"/>
  <c r="I29" i="2"/>
  <c r="I30" i="2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<sst xmlns="http://schemas.openxmlformats.org/spreadsheetml/2006/main" count="482" uniqueCount="144">
  <si>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</si>
  <si>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</si>
  <si>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</si>
  <si>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</si>
  <si>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</si>
  <si>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</si>
  <si>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</si>
  <si>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</si>
  <si>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</si>
  <si>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</si>
  <si>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</si>
  <si>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</si>
  <si>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</si>
  <si>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</si>
  <si>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</si>
  <si>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</si>
  <si>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</si>
  <si>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</si>
  <si>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</si>
  <si>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</si>
  <si>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</si>
  <si>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</si>
  <si>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</si>
  <si>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</si>
  <si>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</si>
  <si>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</si>
  <si>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</si>
  <si>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</si>
  <si>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</si>
  <si>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</si>
  <si>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</si>
  <si>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</si>
  <si>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</si>
  <si>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</si>
  <si>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</si>
  <si>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</si>
  <si>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</si>
  <si>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</si>
  <si>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</si>
  <si>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</si>
  <si>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</si>
  <si>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</si>
  <si>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</si>
  <si>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</si>
  <si>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</si>
  <si>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</si>
  <si>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</si>
  <si>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</si>
  <si>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</si>
  <si>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</si>
  <si>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</si>
  <si>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</si>
  <si>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</si>
  <si>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</si>
  <si>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</si>
  <si>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</si>
  <si>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</si>
  <si>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</si>
  <si>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</si>
  <si>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</si>
  <si>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</si>
  <si>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</si>
  <si>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</si>
  <si>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</si>
  <si>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</si>
  <si>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</si>
  <si>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</si>
  <si>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</si>
  <si>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</si>
  <si>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</si>
  <si>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</si>
  <si>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</si>
  <si>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</si>
  <si>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</si>
  <si>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</si>
  <si>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</si>
  <si>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</si>
  <si>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</si>
  <si>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</si>
  <si>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</si>
  <si>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</si>
  <si>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</si>
  <si>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</si>
  <si>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</si>
  <si>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</si>
  <si>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</si>
  <si>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</si>
  <si>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</si>
  <si>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</si>
  <si>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</si>
  <si>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</si>
  <si>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</si>
  <si>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</si>
  <si>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</si>
  <si>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</si>
  <si>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</si>
  <si>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APROVADO
VOTAÇÃO SIMBÓLICA</t>
  </si>
  <si>
    <t>André Luís Alves Pereira</t>
  </si>
  <si>
    <t xml:space="preserve"> </t>
  </si>
  <si>
    <t>Batista Comunidade</t>
  </si>
  <si>
    <t>Lúcia da Saúde</t>
  </si>
  <si>
    <r>
      <t xml:space="preserve">MOÇÃO DE APOIO Nº 293/2025 – STEPHANE ROSSI - </t>
    </r>
    <r>
      <rPr>
        <sz val="11"/>
        <color theme="1"/>
        <rFont val="Arial"/>
        <family val="2"/>
      </rPr>
      <t>À Semana Municipal de Combate à Violência contra a Pessoa Idosa, realizada na terceira semana de junho.</t>
    </r>
  </si>
  <si>
    <r>
      <t xml:space="preserve">MOÇÃO DE CONGRATULAÇÕES Nº 299/2025 - DÉLBIO TERUEL - </t>
    </r>
    <r>
      <rPr>
        <sz val="11"/>
        <color theme="1"/>
        <rFont val="Arial"/>
        <family val="2"/>
      </rPr>
      <t>Pelos 63 anos da Associação Comercial e Empresarial de Osasco (ACEO), comemorados com uma grandiosa solenidade no último dia 10 de junho de 2025.</t>
    </r>
  </si>
  <si>
    <r>
      <t xml:space="preserve">MOÇÃO DE RECONHECIMENTO Nº 302/2025 – HEBER DO JUNTOZ – </t>
    </r>
    <r>
      <rPr>
        <sz val="11"/>
        <color theme="1"/>
        <rFont val="Arial"/>
        <family val="2"/>
      </rPr>
      <t>Ao marco de 10 anos da promulgação da Lei Brasileira de Inclusão da Pessoa com Deficiência - Estatuto Da Pessoa Com Deficiência.</t>
    </r>
  </si>
  <si>
    <r>
      <t xml:space="preserve">MOÇÃO DE CONGRATULAÇÕES Nº 303/2025 – SÉRGIO FONTELLAS - </t>
    </r>
    <r>
      <rPr>
        <sz val="11"/>
        <color theme="1"/>
        <rFont val="Arial"/>
        <family val="2"/>
      </rPr>
      <t>Pelo Dia da Guarda Municipal, pelos relevantes serviços de segurança pública, prestados na Cidade de Osasco.</t>
    </r>
  </si>
  <si>
    <r>
      <t xml:space="preserve">MOÇÃO DE RECONHECIMENTO Nº 305/2025 – LÚCIA DA SAÚDE - </t>
    </r>
    <r>
      <rPr>
        <sz val="11"/>
        <color theme="1"/>
        <rFont val="Arial"/>
        <family val="2"/>
      </rPr>
      <t>Ao vereador Rodolfo Cara, pelo alto desempenho legislativo e relevantes indicações em benefício da população osasquense.</t>
    </r>
  </si>
  <si>
    <r>
      <t xml:space="preserve">PROJETO DE LEI Nº 20/2025 – GUILHERME PRADO – </t>
    </r>
    <r>
      <rPr>
        <sz val="14"/>
        <color theme="1"/>
        <rFont val="Arial"/>
        <family val="2"/>
      </rPr>
      <t>Institui a Semana da Mãe Atípica.</t>
    </r>
  </si>
  <si>
    <t>na presidência</t>
  </si>
  <si>
    <t>36ª SESSÃO ORDINÁRIA</t>
  </si>
  <si>
    <t>DIA 24 DE JUNHO DE 2025 - TERÇA-FEIRA</t>
  </si>
  <si>
    <t>DIA 24 DE JUNHO DE 2025 - TERÇA–FEIRA</t>
  </si>
  <si>
    <t>Justificativa de ausência do Vereador Carmônio Bastos.</t>
  </si>
  <si>
    <t>Justificativa de ausência da Vereadora Elsa Oliveira.</t>
  </si>
  <si>
    <r>
      <t xml:space="preserve">Projeto de Lei nº 102/2025 – Prefeito do Município de Osasco - </t>
    </r>
    <r>
      <rPr>
        <sz val="12"/>
        <color rgb="FF000000"/>
        <rFont val="Calibri"/>
        <family val="2"/>
      </rPr>
      <t>Dispõe sobre abertura de crédito adicional especial ao orçamento vigente e dá outras providências.</t>
    </r>
  </si>
  <si>
    <r>
      <t xml:space="preserve">Projeto de Lei nº 103/2025 – Prefeito do Município de Osasco - </t>
    </r>
    <r>
      <rPr>
        <sz val="12"/>
        <color rgb="FF000000"/>
        <rFont val="Calibri"/>
        <family val="2"/>
      </rPr>
      <t>Dispõe sobre abertura de crédito adicional especial ao orçamento vigente e dá outras providências.</t>
    </r>
  </si>
  <si>
    <r>
      <t xml:space="preserve">Projeto de Lei Complementar nº 4/2025 – Prefeito do Município de Osasco - </t>
    </r>
    <r>
      <rPr>
        <sz val="12"/>
        <color rgb="FF000000"/>
        <rFont val="Calibri"/>
        <family val="2"/>
      </rPr>
      <t>Altera a Lei Complementar nº 404 de 28 de dezembro de 2022, que dispõe sobre o Código Tributário do Município de Osasco.</t>
    </r>
  </si>
  <si>
    <r>
      <t xml:space="preserve">Projeto de Lei Complementar nº 5/2025 – Prefeito do Município de Osasco - </t>
    </r>
    <r>
      <rPr>
        <sz val="12"/>
        <color rgb="FF000000"/>
        <rFont val="Calibri"/>
        <family val="2"/>
      </rPr>
      <t>Altera a Lei Complementar n° 403, de 28 de dezembro de 2022, que dispõe sobre a Política Municipal de Inovação, cria o Comitê Gestor de Desenvolvimento Tecnológico e Inovação, cria o Fundo Municipal de Desenvolvimento de Inovação Tecnológica, autoriza a criação da Agência Municipal de Desenvolvimento Tecnológico e Inovação e delega Serviços Públicos Municipais.</t>
    </r>
  </si>
  <si>
    <r>
      <t xml:space="preserve">Projeto de Lei Complementar nº 6/2025 – Prefeito do Município de Osasco - </t>
    </r>
    <r>
      <rPr>
        <sz val="12"/>
        <color rgb="FF000000"/>
        <rFont val="Calibri"/>
        <family val="2"/>
      </rPr>
      <t>Institui a Política de Cotas Raciais no Município de Osasco, no âmbito da Administração Pública Municipal, Direta e Indireta, para reserva de vagas para pessoas negras e indígenas oferecidas para provimento de cargos efetivos em concursos.</t>
    </r>
  </si>
  <si>
    <r>
      <t>Decreto nº 14.673 de 16 de junho de 2025 - Prefeito do Município de Osasco –</t>
    </r>
    <r>
      <rPr>
        <sz val="12"/>
        <color rgb="FF000000"/>
        <rFont val="Calibri"/>
        <family val="2"/>
      </rPr>
      <t xml:space="preserve"> Dispõe sobre abertura de crédito adicional especial ao orçamento vigente e dá outras providências.</t>
    </r>
  </si>
  <si>
    <r>
      <t xml:space="preserve">Decretos nº 14.674 e 14.675 de 17 de junho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</si>
  <si>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Projeto de Lei nº 100/2025 – Andrezinho – </t>
    </r>
    <r>
      <rPr>
        <sz val="12"/>
        <color rgb="FF000000"/>
        <rFont val="Calibri"/>
        <family val="2"/>
      </rPr>
      <t>Institui a certificação municipal Selo Empresa Amiga do Motoboy.</t>
    </r>
  </si>
  <si>
    <r>
      <t xml:space="preserve">Projeto de Decreto Legislativo nº 59/2024 – Paulo Júnior - </t>
    </r>
    <r>
      <rPr>
        <sz val="12"/>
        <color rgb="FF000000"/>
        <rFont val="Calibri"/>
        <family val="2"/>
      </rPr>
      <t>Dispõe sobre a concessão de Cartão de Prata à AVASP Associação Verbo Amar do Bairro Santa Maria - Osasco São Paulo.</t>
    </r>
  </si>
  <si>
    <r>
      <t xml:space="preserve">Projeto de Decreto Legislativo nº 9/2025 – Sergio Fontellas - </t>
    </r>
    <r>
      <rPr>
        <sz val="12"/>
        <color rgb="FF000000"/>
        <rFont val="Calibri"/>
        <family val="2"/>
      </rPr>
      <t>Dispõe sobre a concessão de Placa Comemorativa aos Obreiros Voluntários da Igreja Universal do Reino de Deus.</t>
    </r>
  </si>
  <si>
    <r>
      <t xml:space="preserve">Projeto de Decreto Legislativo nº 27/2025 – Sergio Fontellas - </t>
    </r>
    <r>
      <rPr>
        <sz val="12"/>
        <color rgb="FF000000"/>
        <rFont val="Calibri"/>
        <family val="2"/>
      </rPr>
      <t>Dispõe sobre a concessão de Título de Cidadão Osasquense à Deputada Federal Maria do Parto Mendes Rosas.</t>
    </r>
  </si>
  <si>
    <r>
      <t xml:space="preserve">Projeto de Decreto Legislativo nº 32/2025 – Andrezinho – </t>
    </r>
    <r>
      <rPr>
        <sz val="12"/>
        <color rgb="FF000000"/>
        <rFont val="Calibri"/>
        <family val="2"/>
      </rPr>
      <t>Dispõe sobre a concessão de Placa Comemorativa à Sonar Produtora.</t>
    </r>
  </si>
  <si>
    <r>
      <t xml:space="preserve">MOÇÃO DE RECONHECIMENTO Nº 307/2025 – EMERSON OSASCO - </t>
    </r>
    <r>
      <rPr>
        <sz val="11"/>
        <color theme="1"/>
        <rFont val="Arial"/>
        <family val="2"/>
      </rPr>
      <t>À trancista Ana Carolina da Silva Carlota pelo reconhecimento da atividade de trancista, após a inclusão da categoria na Classificação Brasileira de Ocupações (CBO) do Ministério do Trabalho e Emprego (MTE), sob o código 5161-65, medida vista como um avanço para o reconhecimento e a valorização da atividade, essencial para a cultura e economia, sobretudo de comunidades negras.</t>
    </r>
  </si>
  <si>
    <r>
      <t xml:space="preserve">MOÇÃO DE APLAUSOS Nº 308/2025 – ANDREZINHO - </t>
    </r>
    <r>
      <rPr>
        <sz val="11"/>
        <color theme="1"/>
        <rFont val="Arial"/>
        <family val="2"/>
      </rPr>
      <t>À Jaqueline Raimundo por sua trajetória pessoal e profissional.</t>
    </r>
  </si>
  <si>
    <r>
      <t xml:space="preserve">MOÇÃO DE APLAUSOS Nº 310/2025 – HEBER DO JUNTOZ - </t>
    </r>
    <r>
      <rPr>
        <sz val="11"/>
        <color theme="1"/>
        <rFont val="Arial"/>
        <family val="2"/>
      </rPr>
      <t>Ao Sindicato dos Bancários de São Paulo, Osasco e Região, pelos 102 anos de atuação em defesa da categoria bancária e pela relevante contribuição à luta dos trabalhadores em Osasco.</t>
    </r>
  </si>
  <si>
    <r>
      <t xml:space="preserve">MOÇÃO DE APLAUSOS Nº 311/2025 – ALEXANDRE CAPRIOTTI - </t>
    </r>
    <r>
      <rPr>
        <sz val="11"/>
        <color theme="1"/>
        <rFont val="Arial"/>
        <family val="2"/>
      </rPr>
      <t>Ao empresário Marcio Henrique de Freitas por sua trajetória profissional de competência e dignidade em nossa Cidade.</t>
    </r>
  </si>
  <si>
    <r>
      <t xml:space="preserve">MOÇÃO DE APLAUSOS Nº 313/2025 – EMERSON OSASCO - </t>
    </r>
    <r>
      <rPr>
        <sz val="11"/>
        <color theme="1"/>
        <rFont val="Arial"/>
        <family val="2"/>
      </rPr>
      <t>Ao Sr. João Batista da Costa, sindicalista há mais de 11 anos, representando a classe pela Semana do Sindicalista em Osasco.</t>
    </r>
  </si>
  <si>
    <r>
      <t xml:space="preserve">MOÇÃO DE APLAUSOS Nº 314/2025 – ALEXANDRE CAPRIOTTI - </t>
    </r>
    <r>
      <rPr>
        <sz val="11"/>
        <color theme="1"/>
        <rFont val="Arial"/>
        <family val="2"/>
      </rPr>
      <t>À primeira equipe feminina de policiais civis do Brasil pela participação no “Swat Dubai Challenge”, evento considerado a Copa do Mundo das Polícias.</t>
    </r>
  </si>
  <si>
    <r>
      <t xml:space="preserve">MOÇÃO DE APLAUSOS Nº 315/2025 – CANTOR GOLEIRO - </t>
    </r>
    <r>
      <rPr>
        <sz val="11"/>
        <color theme="1"/>
        <rFont val="Arial"/>
        <family val="2"/>
      </rPr>
      <t>À Conceição Rodrigues Barbosa, em reconhecimento à sua notável trajetória de dedicação ao serviço público, à gestão comunitária e ao compromisso permanente com o bem-estar social.</t>
    </r>
  </si>
  <si>
    <r>
      <t xml:space="preserve">MOÇÃO DE RECONHECIMENTO Nº 316/2025 – LAÉRCIO MENDONÇA - </t>
    </r>
    <r>
      <rPr>
        <sz val="11"/>
        <color theme="1"/>
        <rFont val="Arial"/>
        <family val="2"/>
      </rPr>
      <t>Ao Sr. Luiz Lourenço de Oliveira, cidadão exemplar que, ao longo de sua trajetória, tem prestado relevantes serviços à comunidade do bairro Olaria do Nino.</t>
    </r>
  </si>
  <si>
    <r>
      <t xml:space="preserve">MOÇÃO DE APLAUSOS Nº 317/2025 – LAÉRCIO MENDONÇA - </t>
    </r>
    <r>
      <rPr>
        <sz val="11"/>
        <color theme="1"/>
        <rFont val="Arial"/>
        <family val="2"/>
      </rPr>
      <t>Ao espetáculo “Alice no País das Diferenças - Um Mundo de Maravilhas”, um espetáculo teatral que busca promover a inclusão de pessoas com deficiência e celebrar a diversidade.</t>
    </r>
  </si>
  <si>
    <r>
      <t xml:space="preserve">MOÇÃO DE APLAUSOS Nº 319/2025 – PEDRINHO CANTAGESSI - </t>
    </r>
    <r>
      <rPr>
        <sz val="11"/>
        <color theme="1"/>
        <rFont val="Arial"/>
        <family val="2"/>
      </rPr>
      <t>À Gabriela Medeiros de Sena por sua luta pela conscientização sobre o vitiligo.</t>
    </r>
  </si>
  <si>
    <r>
      <t xml:space="preserve">MOÇÃO DE APLAUSOS Nº 320/2025 – ANDREZINHO - </t>
    </r>
    <r>
      <rPr>
        <sz val="11"/>
        <color theme="1"/>
        <rFont val="Arial"/>
        <family val="2"/>
      </rPr>
      <t>À Roseli Aparecida Fellippe de Freitas por sua atuação profissional voltada a área da Saúde do Município de Osasco.</t>
    </r>
  </si>
  <si>
    <r>
      <t xml:space="preserve">MOÇÃO DE APLAUSOS Nº 321/2025 – BATISTA COMUNIDADE - </t>
    </r>
    <r>
      <rPr>
        <sz val="11"/>
        <color theme="1"/>
        <rFont val="Arial"/>
        <family val="2"/>
      </rPr>
      <t>À Senhora Michele Cassemiro Aroni, em reconhecimento à sua trajetória de vida, dedicação e compromisso com o serviço público e exemplo de superação e fé.</t>
    </r>
  </si>
  <si>
    <r>
      <t xml:space="preserve">MOÇÃO DE APOIO Nº 322/2025 – PEDRINHO CANTAGESSI - </t>
    </r>
    <r>
      <rPr>
        <sz val="11"/>
        <color theme="1"/>
        <rFont val="Arial"/>
        <family val="2"/>
      </rPr>
      <t>À Semana de Conscientização sobre o Vitiligo, celebrada anualmente na semana do dia 25 de junho.</t>
    </r>
  </si>
  <si>
    <r>
      <t>MOÇÃO DE APLAUSOS Nº 323/2025 – GABRIEL SAÚDE -</t>
    </r>
    <r>
      <rPr>
        <sz val="11"/>
        <color theme="1"/>
        <rFont val="Arial"/>
        <family val="2"/>
      </rPr>
      <t xml:space="preserve"> Ao Sr. Fabio Grossi, Presidente da Companhia Municipal de Transportes de Osasco (CMTO), pelo sucesso do Primeiro Passeio Ciclístico da Juventude, realizado em 18 de maio de 2025.</t>
    </r>
  </si>
  <si>
    <r>
      <t xml:space="preserve">MOÇÃO DE APLAUSOS Nº 324/2025 – BATISTA COMUNIDADE - </t>
    </r>
    <r>
      <rPr>
        <sz val="11"/>
        <color theme="1"/>
        <rFont val="Arial"/>
        <family val="2"/>
      </rPr>
      <t>À senhora Mônica Rocha de Sousa, em reconhecimento aos seus relevantes serviços prestados à nossa cidade.</t>
    </r>
  </si>
  <si>
    <r>
      <t xml:space="preserve">PROJETO DE LEI Nº 38/2024 – BATISTA COMUNIDADE – </t>
    </r>
    <r>
      <rPr>
        <sz val="14"/>
        <color theme="1"/>
        <rFont val="Arial"/>
        <family val="2"/>
      </rPr>
      <t>Institui o Dia Municipal do Opala.</t>
    </r>
  </si>
  <si>
    <r>
      <t xml:space="preserve">PROJETO DE LEI Nº 17/2025 – HEBER DO JUNTOZ - </t>
    </r>
    <r>
      <rPr>
        <sz val="14"/>
        <color theme="1"/>
        <rFont val="Arial"/>
        <family val="2"/>
      </rPr>
      <t>Altera a Lei nº 4.019, de 23 de março de 2006, que dispõe sobre o Programa de Agricultura Urbana - PRAURB, no Município de Osasco e dá outras providências.</t>
    </r>
  </si>
  <si>
    <r>
      <t xml:space="preserve">PROJETO DE LEI Nº 23/2025 – HEBER DO JUNTOZ - </t>
    </r>
    <r>
      <rPr>
        <sz val="14"/>
        <color theme="1"/>
        <rFont val="Arial"/>
        <family val="2"/>
      </rPr>
      <t>Dispõe da criação, no município de Osasco-SP, de cursos extensivos preparatórios para o ingresso no ensino superior e em escolas técnicas.</t>
    </r>
  </si>
  <si>
    <r>
      <t xml:space="preserve">PROJETO DE LEI Nº 53/2025 – STEPHANE ROSSI - </t>
    </r>
    <r>
      <rPr>
        <sz val="14"/>
        <color theme="1"/>
        <rFont val="Arial"/>
        <family val="2"/>
      </rPr>
      <t>Institui a Semana Municipal de Incentivo à Adoção de Crianças e Adolescentes.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</si>
</sst>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K23" sqref="K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108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109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99</v>
      </c>
      <c r="B6" s="89">
        <v>1</v>
      </c>
      <c r="C6" s="62" t="s">
        <v>55</v>
      </c>
      <c r="D6" s="63"/>
      <c r="E6" s="103"/>
      <c r="F6" s="89">
        <v>1</v>
      </c>
      <c r="G6" s="62" t="s">
        <v>55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58</v>
      </c>
      <c r="B8" s="89">
        <v>2</v>
      </c>
      <c r="C8" s="103" t="s">
        <v>56</v>
      </c>
      <c r="D8" s="63"/>
      <c r="E8" s="62"/>
      <c r="F8" s="89">
        <v>2</v>
      </c>
      <c r="G8" s="103" t="s">
        <v>56</v>
      </c>
      <c r="H8" s="63"/>
      <c r="I8" s="62"/>
      <c r="J8" s="63">
        <v>2</v>
      </c>
      <c r="K8" s="103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9">
        <v>2</v>
      </c>
      <c r="C9" s="103" t="s">
        <v>56</v>
      </c>
      <c r="D9" s="63"/>
      <c r="E9" s="62"/>
      <c r="F9" s="89">
        <v>1</v>
      </c>
      <c r="G9" s="62" t="s">
        <v>55</v>
      </c>
      <c r="H9" s="63"/>
      <c r="I9" s="62"/>
      <c r="J9" s="63">
        <v>1</v>
      </c>
      <c r="K9" s="62" t="s">
        <v>55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59</v>
      </c>
      <c r="B10" s="89">
        <v>1</v>
      </c>
      <c r="C10" s="62" t="s">
        <v>55</v>
      </c>
      <c r="D10" s="63"/>
      <c r="E10" s="62"/>
      <c r="F10" s="89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2</v>
      </c>
      <c r="C11" s="103" t="s">
        <v>56</v>
      </c>
      <c r="D11" s="63"/>
      <c r="E11" s="62"/>
      <c r="F11" s="89">
        <v>2</v>
      </c>
      <c r="G11" s="103" t="s">
        <v>56</v>
      </c>
      <c r="H11" s="63"/>
      <c r="I11" s="62"/>
      <c r="J11" s="63">
        <v>2</v>
      </c>
      <c r="K11" s="103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1</v>
      </c>
      <c r="C12" s="62" t="s">
        <v>55</v>
      </c>
      <c r="D12" s="63"/>
      <c r="E12" s="103"/>
      <c r="F12" s="89">
        <v>1</v>
      </c>
      <c r="G12" s="62" t="s">
        <v>55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56</v>
      </c>
      <c r="D13" s="63"/>
      <c r="E13" s="62"/>
      <c r="F13" s="89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60</v>
      </c>
      <c r="B14" s="89">
        <v>1</v>
      </c>
      <c r="C14" s="62" t="s">
        <v>55</v>
      </c>
      <c r="D14" s="63"/>
      <c r="E14" s="62"/>
      <c r="F14" s="89">
        <v>1</v>
      </c>
      <c r="G14" s="62" t="s">
        <v>55</v>
      </c>
      <c r="H14" s="63"/>
      <c r="I14" s="62"/>
      <c r="J14" s="63">
        <v>1</v>
      </c>
      <c r="K14" s="62" t="s">
        <v>55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61</v>
      </c>
      <c r="B15" s="89">
        <v>2</v>
      </c>
      <c r="C15" s="103" t="s">
        <v>56</v>
      </c>
      <c r="D15" s="63"/>
      <c r="E15" s="62"/>
      <c r="F15" s="89">
        <v>1</v>
      </c>
      <c r="G15" s="62" t="s">
        <v>55</v>
      </c>
      <c r="H15" s="63"/>
      <c r="I15" s="62"/>
      <c r="J15" s="63">
        <v>1</v>
      </c>
      <c r="K15" s="62" t="s">
        <v>55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9">
        <v>1</v>
      </c>
      <c r="C17" s="62" t="s">
        <v>55</v>
      </c>
      <c r="D17" s="63"/>
      <c r="E17" s="62"/>
      <c r="F17" s="89">
        <v>1</v>
      </c>
      <c r="G17" s="62" t="s">
        <v>55</v>
      </c>
      <c r="H17" s="63"/>
      <c r="I17" s="68"/>
      <c r="J17" s="63">
        <v>2</v>
      </c>
      <c r="K17" s="103" t="s">
        <v>56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8" ht="17.25" customHeight="1">
      <c r="A18" s="46" t="s">
        <v>63</v>
      </c>
      <c r="B18" s="89">
        <v>1</v>
      </c>
      <c r="C18" s="62" t="s">
        <v>55</v>
      </c>
      <c r="D18" s="63"/>
      <c r="E18" s="62"/>
      <c r="F18" s="89">
        <v>1</v>
      </c>
      <c r="G18" s="62" t="s">
        <v>55</v>
      </c>
      <c r="H18" s="63"/>
      <c r="I18" s="62"/>
      <c r="J18" s="63">
        <v>2</v>
      </c>
      <c r="K18" s="103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8" ht="18" customHeight="1">
      <c r="A19" s="46" t="s">
        <v>100</v>
      </c>
      <c r="B19" s="89">
        <v>2</v>
      </c>
      <c r="C19" s="103" t="s">
        <v>56</v>
      </c>
      <c r="D19" s="63"/>
      <c r="E19" s="103"/>
      <c r="F19" s="89">
        <v>1</v>
      </c>
      <c r="G19" s="62" t="s">
        <v>55</v>
      </c>
      <c r="H19" s="63"/>
      <c r="I19" s="62"/>
      <c r="J19" s="63">
        <v>2</v>
      </c>
      <c r="K19" s="103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9">
        <v>2</v>
      </c>
      <c r="C20" s="103" t="s">
        <v>56</v>
      </c>
      <c r="D20" s="63"/>
      <c r="E20" s="62"/>
      <c r="F20" s="89">
        <v>2</v>
      </c>
      <c r="G20" s="103" t="s">
        <v>56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8" ht="18.75" customHeight="1">
      <c r="A21" s="46" t="s">
        <v>64</v>
      </c>
      <c r="B21" s="89">
        <v>2</v>
      </c>
      <c r="C21" s="103" t="s">
        <v>56</v>
      </c>
      <c r="D21" s="63"/>
      <c r="E21" s="62"/>
      <c r="F21" s="89">
        <v>1</v>
      </c>
      <c r="G21" s="62" t="s">
        <v>55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8" ht="18" customHeight="1">
      <c r="A22" s="46" t="s">
        <v>97</v>
      </c>
      <c r="B22" s="89">
        <v>2</v>
      </c>
      <c r="C22" s="103" t="s">
        <v>56</v>
      </c>
      <c r="D22" s="63"/>
      <c r="E22" s="103"/>
      <c r="F22" s="89">
        <v>1</v>
      </c>
      <c r="G22" s="62" t="s">
        <v>55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8" ht="18" customHeight="1">
      <c r="A23" s="46" t="s">
        <v>52</v>
      </c>
      <c r="B23" s="89">
        <v>2</v>
      </c>
      <c r="C23" s="103" t="s">
        <v>56</v>
      </c>
      <c r="D23" s="63"/>
      <c r="E23" s="62"/>
      <c r="F23" s="89">
        <v>1</v>
      </c>
      <c r="G23" s="62" t="s">
        <v>55</v>
      </c>
      <c r="H23" s="63"/>
      <c r="I23" s="62"/>
      <c r="J23" s="63">
        <v>2</v>
      </c>
      <c r="K23" s="103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1</v>
      </c>
      <c r="G24" s="62" t="s">
        <v>55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9">
        <v>10</v>
      </c>
      <c r="C26" s="97" t="s">
        <v>49</v>
      </c>
      <c r="D26" s="99"/>
      <c r="E26" s="97"/>
      <c r="F26" s="99">
        <v>18</v>
      </c>
      <c r="G26" s="97" t="s">
        <v>49</v>
      </c>
      <c r="H26" s="101"/>
      <c r="I26" s="102"/>
      <c r="J26" s="99">
        <v>14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11</v>
      </c>
      <c r="C27" s="97" t="s">
        <v>50</v>
      </c>
      <c r="D27" s="99"/>
      <c r="E27" s="97"/>
      <c r="F27" s="99">
        <v>3</v>
      </c>
      <c r="G27" s="97" t="s">
        <v>50</v>
      </c>
      <c r="H27" s="101"/>
      <c r="I27" s="97"/>
      <c r="J27" s="99">
        <v>7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98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28</v>
      </c>
      <c r="V32" s="12"/>
      <c r="W32" s="12"/>
    </row>
    <row r="33" spans="1:23" ht="18">
      <c r="A33" s="34" t="s">
        <v>24</v>
      </c>
      <c r="V33" s="12"/>
      <c r="W33" s="12"/>
    </row>
    <row r="34" spans="1:23" ht="18">
      <c r="A34" s="34" t="s">
        <v>61</v>
      </c>
      <c r="V34" s="12"/>
      <c r="W34" s="12"/>
    </row>
    <row r="35" spans="1:23" ht="18">
      <c r="A35" s="34" t="s">
        <v>100</v>
      </c>
      <c r="V35" s="12"/>
      <c r="W35" s="12"/>
    </row>
    <row r="36" spans="1:23" ht="18">
      <c r="A36" s="34" t="s">
        <v>64</v>
      </c>
      <c r="V36" s="32"/>
      <c r="W36" s="12"/>
    </row>
    <row r="37" spans="1:23" ht="18">
      <c r="A37" s="34" t="s">
        <v>97</v>
      </c>
      <c r="V37" s="12"/>
      <c r="W37" s="12"/>
    </row>
    <row r="38" spans="1:23" ht="18">
      <c r="A38" s="34" t="s">
        <v>52</v>
      </c>
      <c r="V38" s="12"/>
      <c r="W38" s="12"/>
    </row>
    <row r="39" spans="1:23" ht="18">
      <c r="A39" s="34" t="s">
        <v>65</v>
      </c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26</v>
      </c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25</v>
      </c>
    </row>
    <row r="53" spans="1:23" ht="18">
      <c r="A53" s="34" t="s">
        <v>63</v>
      </c>
    </row>
    <row r="54" spans="1:23" ht="18">
      <c r="A54" s="34" t="s">
        <v>100</v>
      </c>
    </row>
    <row r="55" spans="1:23" ht="18">
      <c r="A55" s="34" t="s">
        <v>52</v>
      </c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M39"/>
  <sheetViews>
    <sheetView workbookViewId="0">
      <pane xSplit="1" topLeftCell="B1" activePane="topRight" state="frozen"/>
      <selection pane="topRight" activeCell="AO6" sqref="AO6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39" width="22.7109375" style="22" customWidth="1"/>
    <col min="40" max="16384" width="9.140625" style="22"/>
  </cols>
  <sheetData>
    <row r="1" spans="1:39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9" ht="15">
      <c r="A2" s="77" t="s">
        <v>108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39" ht="17.25" customHeight="1">
      <c r="A3" s="77" t="s">
        <v>110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39" ht="63" customHeight="1">
      <c r="A4" s="51" t="str">
        <f>'[1]MOÇÃO E REQUERIMENTO'!B7</f>
        <v>EXPEDIENTE</v>
      </c>
      <c r="B4" s="50" t="s">
        <v>48</v>
      </c>
      <c r="C4" s="118" t="s">
        <v>111</v>
      </c>
      <c r="D4" s="118" t="s">
        <v>112</v>
      </c>
      <c r="E4" s="118" t="s">
        <v>113</v>
      </c>
      <c r="F4" s="118" t="s">
        <v>114</v>
      </c>
      <c r="G4" s="118" t="s">
        <v>115</v>
      </c>
      <c r="H4" s="118" t="s">
        <v>116</v>
      </c>
      <c r="I4" s="118" t="s">
        <v>117</v>
      </c>
      <c r="J4" s="118" t="s">
        <v>118</v>
      </c>
      <c r="K4" s="118" t="s">
        <v>119</v>
      </c>
      <c r="L4" s="118" t="s">
        <v>120</v>
      </c>
      <c r="M4" s="118" t="s">
        <v>121</v>
      </c>
      <c r="N4" s="118" t="s">
        <v>122</v>
      </c>
      <c r="O4" s="118" t="s">
        <v>123</v>
      </c>
      <c r="P4" s="118" t="s">
        <v>124</v>
      </c>
      <c r="Q4" s="113" t="s">
        <v>34</v>
      </c>
      <c r="R4" s="125"/>
      <c r="S4" s="50" t="s">
        <v>27</v>
      </c>
      <c r="T4" s="85" t="s">
        <v>101</v>
      </c>
      <c r="U4" s="85" t="s">
        <v>102</v>
      </c>
      <c r="V4" s="85" t="s">
        <v>103</v>
      </c>
      <c r="W4" s="85" t="s">
        <v>104</v>
      </c>
      <c r="X4" s="85" t="s">
        <v>105</v>
      </c>
      <c r="Y4" s="69" t="s">
        <v>125</v>
      </c>
      <c r="Z4" s="69" t="s">
        <v>126</v>
      </c>
      <c r="AA4" s="69" t="s">
        <v>127</v>
      </c>
      <c r="AB4" s="69" t="s">
        <v>128</v>
      </c>
      <c r="AC4" s="69" t="s">
        <v>129</v>
      </c>
      <c r="AD4" s="69" t="s">
        <v>130</v>
      </c>
      <c r="AE4" s="69" t="s">
        <v>131</v>
      </c>
      <c r="AF4" s="69" t="s">
        <v>132</v>
      </c>
      <c r="AG4" s="69" t="s">
        <v>133</v>
      </c>
      <c r="AH4" s="69" t="s">
        <v>134</v>
      </c>
      <c r="AI4" s="69" t="s">
        <v>135</v>
      </c>
      <c r="AJ4" s="69" t="s">
        <v>136</v>
      </c>
      <c r="AK4" s="69" t="s">
        <v>137</v>
      </c>
      <c r="AL4" s="69" t="s">
        <v>138</v>
      </c>
      <c r="AM4" s="69" t="s">
        <v>139</v>
      </c>
    </row>
    <row r="5" spans="1:39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4"/>
      <c r="T5" s="114" t="s">
        <v>92</v>
      </c>
      <c r="U5" s="114" t="s">
        <v>92</v>
      </c>
      <c r="V5" s="119" t="s">
        <v>93</v>
      </c>
      <c r="W5" s="114" t="s">
        <v>92</v>
      </c>
      <c r="X5" s="114" t="s">
        <v>92</v>
      </c>
      <c r="Y5" s="114" t="s">
        <v>92</v>
      </c>
      <c r="Z5" s="119" t="s">
        <v>93</v>
      </c>
      <c r="AA5" s="114" t="s">
        <v>92</v>
      </c>
      <c r="AB5" s="114" t="s">
        <v>92</v>
      </c>
      <c r="AC5" s="114" t="s">
        <v>92</v>
      </c>
      <c r="AD5" s="119" t="s">
        <v>93</v>
      </c>
      <c r="AE5" s="114" t="s">
        <v>92</v>
      </c>
      <c r="AF5" s="114" t="s">
        <v>92</v>
      </c>
      <c r="AG5" s="114" t="s">
        <v>92</v>
      </c>
      <c r="AH5" s="114" t="s">
        <v>92</v>
      </c>
      <c r="AI5" s="119" t="s">
        <v>93</v>
      </c>
      <c r="AJ5" s="119" t="s">
        <v>93</v>
      </c>
      <c r="AK5" s="119" t="s">
        <v>93</v>
      </c>
      <c r="AL5" s="119" t="s">
        <v>93</v>
      </c>
      <c r="AM5" s="119" t="s">
        <v>93</v>
      </c>
    </row>
    <row r="6" spans="1:39" ht="15.75">
      <c r="A6" s="128" t="s">
        <v>54</v>
      </c>
      <c r="S6" s="23"/>
    </row>
    <row r="7" spans="1:39" ht="15.75">
      <c r="A7" s="128" t="s">
        <v>99</v>
      </c>
      <c r="S7" s="23"/>
    </row>
    <row r="8" spans="1:39" ht="15.75">
      <c r="A8" s="128" t="s">
        <v>57</v>
      </c>
      <c r="S8" s="23"/>
    </row>
    <row r="9" spans="1:39" ht="15.75">
      <c r="A9" s="129" t="s">
        <v>58</v>
      </c>
      <c r="S9" s="23"/>
    </row>
    <row r="10" spans="1:39" ht="15.75">
      <c r="A10" s="128" t="s">
        <v>28</v>
      </c>
      <c r="S10" s="23"/>
    </row>
    <row r="11" spans="1:39" ht="15.75">
      <c r="A11" s="128" t="s">
        <v>59</v>
      </c>
      <c r="S11" s="23"/>
    </row>
    <row r="12" spans="1:39" ht="15.75">
      <c r="A12" s="128" t="s">
        <v>22</v>
      </c>
      <c r="S12" s="23"/>
    </row>
    <row r="13" spans="1:39" ht="15.75">
      <c r="A13" s="128" t="s">
        <v>23</v>
      </c>
      <c r="S13" s="23"/>
    </row>
    <row r="14" spans="1:39" ht="15.75">
      <c r="A14" s="128" t="s">
        <v>24</v>
      </c>
      <c r="S14" s="23"/>
    </row>
    <row r="15" spans="1:39" ht="15.75">
      <c r="A15" s="128" t="s">
        <v>60</v>
      </c>
      <c r="S15" s="23"/>
    </row>
    <row r="16" spans="1:39" ht="15.75">
      <c r="A16" s="128" t="s">
        <v>61</v>
      </c>
      <c r="S16" s="23"/>
    </row>
    <row r="17" spans="1:19" ht="15.75">
      <c r="A17" s="128" t="s">
        <v>62</v>
      </c>
      <c r="S17" s="23"/>
    </row>
    <row r="18" spans="1:19" ht="15.75">
      <c r="A18" s="128" t="s">
        <v>25</v>
      </c>
      <c r="S18" s="23"/>
    </row>
    <row r="19" spans="1:19" ht="15.75">
      <c r="A19" s="128" t="s">
        <v>63</v>
      </c>
      <c r="S19" s="23"/>
    </row>
    <row r="20" spans="1:19" ht="15.75">
      <c r="A20" s="128" t="s">
        <v>100</v>
      </c>
      <c r="S20" s="23"/>
    </row>
    <row r="21" spans="1:19" ht="15.75">
      <c r="A21" s="128" t="s">
        <v>26</v>
      </c>
      <c r="S21" s="23"/>
    </row>
    <row r="22" spans="1:19" ht="15.75">
      <c r="A22" s="128" t="s">
        <v>64</v>
      </c>
      <c r="S22" s="23"/>
    </row>
    <row r="23" spans="1:19" ht="15.75">
      <c r="A23" s="128" t="s">
        <v>97</v>
      </c>
      <c r="S23" s="23"/>
    </row>
    <row r="24" spans="1:19" ht="15.75">
      <c r="A24" s="128" t="s">
        <v>52</v>
      </c>
      <c r="S24" s="23"/>
    </row>
    <row r="25" spans="1:19" ht="15.75">
      <c r="A25" s="128" t="s">
        <v>65</v>
      </c>
      <c r="S25" s="23"/>
    </row>
    <row r="26" spans="1:19" ht="15.75">
      <c r="A26" s="128" t="s">
        <v>66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D37"/>
  <sheetViews>
    <sheetView tabSelected="1" zoomScale="80" zoomScaleNormal="80" workbookViewId="0">
      <pane xSplit="1" topLeftCell="D1" activePane="topRight" state="frozen"/>
      <selection activeCell="A4" sqref="A4"/>
      <selection pane="topRight" activeCell="H17" sqref="H1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9" width="36.7109375" customWidth="1"/>
  </cols>
  <sheetData>
    <row r="1" spans="1:49" ht="18" customHeight="1">
      <c r="A1" s="77" t="s">
        <v>8</v>
      </c>
      <c r="B1" s="49"/>
      <c r="C1" s="75"/>
    </row>
    <row r="2" spans="1:49" ht="18" customHeight="1">
      <c r="A2" s="77" t="s">
        <v>108</v>
      </c>
      <c r="B2" s="49"/>
      <c r="C2" s="75"/>
    </row>
    <row r="3" spans="1:49" ht="17.25" customHeight="1">
      <c r="A3" s="77" t="s">
        <v>110</v>
      </c>
      <c r="B3" s="49"/>
      <c r="C3" s="75"/>
      <c r="E3" s="117"/>
      <c r="F3" s="117"/>
      <c r="G3" s="117"/>
      <c r="H3" s="117"/>
      <c r="I3" s="117"/>
    </row>
    <row r="4" spans="1:49" ht="90.75" customHeight="1" thickBot="1">
      <c r="A4" s="52" t="s">
        <v>5</v>
      </c>
      <c r="B4" s="109" t="s">
        <v>31</v>
      </c>
      <c r="C4" s="140"/>
      <c r="D4" s="110" t="s">
        <v>6</v>
      </c>
      <c r="E4" s="143" t="s">
        <v>106</v>
      </c>
      <c r="F4" s="143" t="s">
        <v>140</v>
      </c>
      <c r="G4" s="143" t="s">
        <v>141</v>
      </c>
      <c r="H4" s="143" t="s">
        <v>142</v>
      </c>
      <c r="I4" s="143" t="s">
        <v>143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3"/>
      <c r="AW4" s="3"/>
    </row>
    <row r="5" spans="1:49" s="82" customFormat="1" ht="48" customHeight="1">
      <c r="A5" s="100" t="s">
        <v>37</v>
      </c>
      <c r="B5" s="79"/>
      <c r="C5" s="114"/>
      <c r="D5" s="80"/>
      <c r="E5" s="114" t="s">
        <v>96</v>
      </c>
      <c r="F5" s="114" t="s">
        <v>96</v>
      </c>
      <c r="G5" s="114" t="s">
        <v>94</v>
      </c>
      <c r="H5" s="114" t="s">
        <v>94</v>
      </c>
      <c r="I5" s="114" t="s">
        <v>96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</row>
    <row r="6" spans="1:49" ht="20.25">
      <c r="A6" s="46" t="s">
        <v>54</v>
      </c>
      <c r="C6" s="108"/>
      <c r="E6" s="108"/>
      <c r="F6" s="108"/>
      <c r="G6" s="108" t="s">
        <v>95</v>
      </c>
      <c r="H6" s="108" t="s">
        <v>95</v>
      </c>
      <c r="I6" s="108"/>
    </row>
    <row r="7" spans="1:49" ht="20.25">
      <c r="A7" s="46" t="s">
        <v>99</v>
      </c>
      <c r="C7" s="108"/>
      <c r="E7" s="115"/>
      <c r="F7" s="115"/>
      <c r="G7" s="108" t="s">
        <v>95</v>
      </c>
      <c r="H7" s="108" t="s">
        <v>95</v>
      </c>
      <c r="I7" s="115"/>
    </row>
    <row r="8" spans="1:49" ht="20.25">
      <c r="A8" s="46" t="s">
        <v>57</v>
      </c>
      <c r="C8" s="108"/>
      <c r="E8" s="108"/>
      <c r="F8" s="108"/>
      <c r="G8" s="108" t="s">
        <v>95</v>
      </c>
      <c r="H8" s="108" t="s">
        <v>95</v>
      </c>
      <c r="I8" s="108"/>
    </row>
    <row r="9" spans="1:49" ht="20.25">
      <c r="A9" s="83" t="s">
        <v>58</v>
      </c>
      <c r="C9" s="115"/>
      <c r="E9" s="108"/>
      <c r="F9" s="108"/>
      <c r="G9" s="115" t="s">
        <v>56</v>
      </c>
      <c r="H9" s="115" t="s">
        <v>56</v>
      </c>
      <c r="I9" s="108"/>
    </row>
    <row r="10" spans="1:49" ht="20.25">
      <c r="A10" s="46" t="s">
        <v>28</v>
      </c>
      <c r="C10" s="108"/>
      <c r="E10" s="108"/>
      <c r="F10" s="108"/>
      <c r="G10" s="108" t="s">
        <v>95</v>
      </c>
      <c r="H10" s="108" t="s">
        <v>95</v>
      </c>
      <c r="I10" s="108"/>
    </row>
    <row r="11" spans="1:49" ht="20.25">
      <c r="A11" s="46" t="s">
        <v>59</v>
      </c>
      <c r="C11" s="115"/>
      <c r="E11" s="108"/>
      <c r="F11" s="108"/>
      <c r="G11" s="115" t="s">
        <v>107</v>
      </c>
      <c r="H11" s="115" t="s">
        <v>107</v>
      </c>
      <c r="I11" s="108"/>
    </row>
    <row r="12" spans="1:49" ht="20.25">
      <c r="A12" s="46" t="s">
        <v>22</v>
      </c>
      <c r="C12" s="108"/>
      <c r="E12" s="108"/>
      <c r="F12" s="108"/>
      <c r="G12" s="115" t="s">
        <v>56</v>
      </c>
      <c r="H12" s="115" t="s">
        <v>56</v>
      </c>
      <c r="I12" s="108"/>
    </row>
    <row r="13" spans="1:49" ht="20.25">
      <c r="A13" s="46" t="s">
        <v>23</v>
      </c>
      <c r="C13" s="115"/>
      <c r="E13" s="115"/>
      <c r="F13" s="115"/>
      <c r="G13" s="108" t="s">
        <v>95</v>
      </c>
      <c r="H13" s="108" t="s">
        <v>95</v>
      </c>
      <c r="I13" s="115"/>
    </row>
    <row r="14" spans="1:49" ht="20.25">
      <c r="A14" s="46" t="s">
        <v>24</v>
      </c>
      <c r="C14" s="108"/>
      <c r="E14" s="108"/>
      <c r="F14" s="108"/>
      <c r="G14" s="108" t="s">
        <v>95</v>
      </c>
      <c r="H14" s="108" t="s">
        <v>95</v>
      </c>
      <c r="I14" s="108"/>
    </row>
    <row r="15" spans="1:49" ht="20.25">
      <c r="A15" s="46" t="s">
        <v>60</v>
      </c>
      <c r="C15" s="108"/>
      <c r="E15" s="115"/>
      <c r="F15" s="115"/>
      <c r="G15" s="108" t="s">
        <v>95</v>
      </c>
      <c r="H15" s="108" t="s">
        <v>95</v>
      </c>
      <c r="I15" s="115"/>
    </row>
    <row r="16" spans="1:49" ht="20.25">
      <c r="A16" s="46" t="s">
        <v>61</v>
      </c>
      <c r="C16" s="108"/>
      <c r="E16" s="108"/>
      <c r="F16" s="108"/>
      <c r="G16" s="108" t="s">
        <v>95</v>
      </c>
      <c r="H16" s="108" t="s">
        <v>95</v>
      </c>
      <c r="I16" s="108"/>
    </row>
    <row r="17" spans="1:134" ht="20.25">
      <c r="A17" s="46" t="s">
        <v>62</v>
      </c>
      <c r="C17" s="108"/>
      <c r="E17" s="115"/>
      <c r="F17" s="115"/>
      <c r="G17" s="108" t="s">
        <v>95</v>
      </c>
      <c r="H17" s="108" t="s">
        <v>95</v>
      </c>
      <c r="I17" s="115"/>
    </row>
    <row r="18" spans="1:134" ht="20.25">
      <c r="A18" s="46" t="s">
        <v>25</v>
      </c>
      <c r="C18" s="108"/>
      <c r="E18" s="108"/>
      <c r="F18" s="108"/>
      <c r="G18" s="108" t="s">
        <v>95</v>
      </c>
      <c r="H18" s="108" t="s">
        <v>95</v>
      </c>
      <c r="I18" s="108"/>
    </row>
    <row r="19" spans="1:134" ht="20.25">
      <c r="A19" s="46" t="s">
        <v>63</v>
      </c>
      <c r="C19" s="108"/>
      <c r="E19" s="108"/>
      <c r="F19" s="108"/>
      <c r="G19" s="108" t="s">
        <v>95</v>
      </c>
      <c r="H19" s="108" t="s">
        <v>95</v>
      </c>
      <c r="I19" s="108"/>
    </row>
    <row r="20" spans="1:134" ht="20.25">
      <c r="A20" s="46" t="s">
        <v>100</v>
      </c>
      <c r="C20" s="108"/>
      <c r="E20" s="108"/>
      <c r="F20" s="108"/>
      <c r="G20" s="115" t="s">
        <v>56</v>
      </c>
      <c r="H20" s="108" t="s">
        <v>95</v>
      </c>
      <c r="I20" s="108"/>
    </row>
    <row r="21" spans="1:134" ht="20.25">
      <c r="A21" s="46" t="s">
        <v>26</v>
      </c>
      <c r="C21" s="115"/>
      <c r="E21" s="108"/>
      <c r="F21" s="108"/>
      <c r="G21" s="108" t="s">
        <v>95</v>
      </c>
      <c r="H21" s="108" t="s">
        <v>95</v>
      </c>
      <c r="I21" s="108"/>
    </row>
    <row r="22" spans="1:134" ht="20.25">
      <c r="A22" s="46" t="s">
        <v>64</v>
      </c>
      <c r="C22" s="108"/>
      <c r="E22" s="108"/>
      <c r="F22" s="108"/>
      <c r="G22" s="108" t="s">
        <v>95</v>
      </c>
      <c r="H22" s="108" t="s">
        <v>95</v>
      </c>
      <c r="I22" s="108"/>
    </row>
    <row r="23" spans="1:134" ht="20.25">
      <c r="A23" s="46" t="s">
        <v>97</v>
      </c>
      <c r="C23" s="108"/>
      <c r="E23" s="108"/>
      <c r="F23" s="108"/>
      <c r="G23" s="108" t="s">
        <v>95</v>
      </c>
      <c r="H23" s="108" t="s">
        <v>95</v>
      </c>
      <c r="I23" s="108"/>
    </row>
    <row r="24" spans="1:134" ht="20.25">
      <c r="A24" s="46" t="s">
        <v>52</v>
      </c>
      <c r="C24" s="108"/>
      <c r="E24" s="108"/>
      <c r="F24" s="108"/>
      <c r="G24" s="108" t="s">
        <v>95</v>
      </c>
      <c r="H24" s="108" t="s">
        <v>95</v>
      </c>
      <c r="I24" s="108"/>
    </row>
    <row r="25" spans="1:134" ht="20.25">
      <c r="A25" s="46" t="s">
        <v>65</v>
      </c>
      <c r="C25" s="108"/>
      <c r="E25" s="115"/>
      <c r="F25" s="115"/>
      <c r="G25" s="108" t="s">
        <v>95</v>
      </c>
      <c r="H25" s="108" t="s">
        <v>95</v>
      </c>
      <c r="I25" s="115"/>
    </row>
    <row r="26" spans="1:134" ht="20.25">
      <c r="A26" s="46" t="s">
        <v>66</v>
      </c>
      <c r="C26" s="115"/>
      <c r="E26" s="108"/>
      <c r="F26" s="108"/>
      <c r="G26" s="108" t="s">
        <v>95</v>
      </c>
      <c r="H26" s="108" t="s">
        <v>95</v>
      </c>
      <c r="I26" s="108"/>
    </row>
    <row r="27" spans="1:134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:H27" si="0">COUNTIF(E6:E26,"sim")</f>
        <v>0</v>
      </c>
      <c r="F27" s="104">
        <f t="shared" si="0"/>
        <v>0</v>
      </c>
      <c r="G27" s="104">
        <f t="shared" si="0"/>
        <v>17</v>
      </c>
      <c r="H27" s="104">
        <f t="shared" si="0"/>
        <v>18</v>
      </c>
      <c r="I27" s="104">
        <f t="shared" ref="I27" si="1">COUNTIF(I6:I26,"sim")</f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</row>
    <row r="28" spans="1:134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:H28" si="2">COUNTIF(E6:E26,"não")</f>
        <v>0</v>
      </c>
      <c r="F28" s="105">
        <f t="shared" si="2"/>
        <v>0</v>
      </c>
      <c r="G28" s="105">
        <f t="shared" si="2"/>
        <v>0</v>
      </c>
      <c r="H28" s="105">
        <f t="shared" si="2"/>
        <v>0</v>
      </c>
      <c r="I28" s="105">
        <f t="shared" ref="I28" si="3">COUNTIF(I6:I26,"não")</f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</row>
    <row r="29" spans="1:134" ht="15.75">
      <c r="A29" s="14" t="s">
        <v>11</v>
      </c>
      <c r="C29" s="40">
        <f>COUNTIF(C6:C26,"ausente")</f>
        <v>0</v>
      </c>
      <c r="E29" s="40">
        <f t="shared" ref="E29:H29" si="4">COUNTIF(E6:E26,"ausente")</f>
        <v>0</v>
      </c>
      <c r="F29" s="40">
        <f t="shared" si="4"/>
        <v>0</v>
      </c>
      <c r="G29" s="40">
        <f t="shared" si="4"/>
        <v>3</v>
      </c>
      <c r="H29" s="40">
        <f t="shared" si="4"/>
        <v>2</v>
      </c>
      <c r="I29" s="40">
        <f t="shared" ref="I29" si="5">COUNTIF(I6:I26,"ausente")</f>
        <v>0</v>
      </c>
    </row>
    <row r="30" spans="1:134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:H30" si="6">COUNTIF(E6:E26,"abstenção")</f>
        <v>0</v>
      </c>
      <c r="F30" s="106">
        <f t="shared" si="6"/>
        <v>0</v>
      </c>
      <c r="G30" s="106">
        <f t="shared" si="6"/>
        <v>0</v>
      </c>
      <c r="H30" s="106">
        <f t="shared" si="6"/>
        <v>0</v>
      </c>
      <c r="I30" s="106">
        <f t="shared" ref="I30" si="7">COUNTIF(I6:I26,"abstenção")</f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</row>
    <row r="31" spans="1:134" s="20" customFormat="1" ht="15.75">
      <c r="A31" s="19"/>
      <c r="B31"/>
      <c r="C31" s="106"/>
      <c r="D31"/>
      <c r="E31" s="106"/>
      <c r="F31" s="106"/>
      <c r="G31" s="106"/>
      <c r="H31" s="106"/>
      <c r="I31" s="106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14" sqref="F1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54</v>
      </c>
      <c r="C6" s="108"/>
      <c r="U6" s="7"/>
      <c r="V6" s="7"/>
    </row>
    <row r="7" spans="1:29" ht="18">
      <c r="A7" s="130" t="s">
        <v>99</v>
      </c>
      <c r="C7" s="108"/>
      <c r="U7" s="7"/>
      <c r="V7" s="7"/>
    </row>
    <row r="8" spans="1:29" ht="18">
      <c r="A8" s="130" t="s">
        <v>57</v>
      </c>
      <c r="C8" s="108"/>
      <c r="U8" s="7"/>
      <c r="V8" s="7"/>
    </row>
    <row r="9" spans="1:29" ht="18">
      <c r="A9" s="131" t="s">
        <v>58</v>
      </c>
      <c r="C9" s="115"/>
      <c r="U9" s="7"/>
      <c r="V9" s="7"/>
    </row>
    <row r="10" spans="1:29" ht="18">
      <c r="A10" s="130" t="s">
        <v>28</v>
      </c>
      <c r="C10" s="108"/>
      <c r="U10" s="7"/>
      <c r="V10" s="7"/>
    </row>
    <row r="11" spans="1:29" ht="18">
      <c r="A11" s="130" t="s">
        <v>59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60</v>
      </c>
      <c r="C15" s="108"/>
      <c r="U15" s="7"/>
      <c r="V15" s="7"/>
    </row>
    <row r="16" spans="1:29" ht="18">
      <c r="A16" s="130" t="s">
        <v>61</v>
      </c>
      <c r="C16" s="108"/>
      <c r="U16" s="7"/>
      <c r="V16" s="7"/>
    </row>
    <row r="17" spans="1:123" ht="15" customHeight="1">
      <c r="A17" s="130" t="s">
        <v>62</v>
      </c>
      <c r="C17" s="108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63</v>
      </c>
      <c r="C19" s="108"/>
      <c r="U19" s="7"/>
      <c r="V19" s="7"/>
    </row>
    <row r="20" spans="1:123" ht="18">
      <c r="A20" s="130" t="s">
        <v>100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64</v>
      </c>
      <c r="C22" s="108"/>
      <c r="U22" s="7"/>
      <c r="V22" s="7"/>
    </row>
    <row r="23" spans="1:123" ht="18">
      <c r="A23" s="130" t="s">
        <v>97</v>
      </c>
      <c r="C23" s="108"/>
      <c r="U23" s="7"/>
      <c r="V23" s="7"/>
    </row>
    <row r="24" spans="1:123" ht="18">
      <c r="A24" s="130" t="s">
        <v>52</v>
      </c>
      <c r="C24" s="108"/>
      <c r="U24" s="7"/>
      <c r="V24" s="7"/>
    </row>
    <row r="25" spans="1:123" ht="18">
      <c r="A25" s="130" t="s">
        <v>65</v>
      </c>
      <c r="C25" s="108"/>
      <c r="U25" s="7"/>
      <c r="V25" s="7"/>
    </row>
    <row r="26" spans="1:123" ht="18">
      <c r="A26" s="130" t="s">
        <v>66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J9" sqref="J9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108</v>
      </c>
      <c r="B2" s="2"/>
    </row>
    <row r="3" spans="1:3" ht="15.75" thickBot="1">
      <c r="A3" s="122" t="s">
        <v>110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54</v>
      </c>
      <c r="C6" s="108"/>
    </row>
    <row r="7" spans="1:3" ht="15.75">
      <c r="A7" s="128" t="s">
        <v>99</v>
      </c>
      <c r="C7" s="108"/>
    </row>
    <row r="8" spans="1:3" ht="15.75">
      <c r="A8" s="128" t="s">
        <v>57</v>
      </c>
      <c r="C8" s="108"/>
    </row>
    <row r="9" spans="1:3" ht="15.75">
      <c r="A9" s="129" t="s">
        <v>58</v>
      </c>
      <c r="C9" s="108"/>
    </row>
    <row r="10" spans="1:3" ht="15.75">
      <c r="A10" s="128" t="s">
        <v>28</v>
      </c>
      <c r="C10" s="108"/>
    </row>
    <row r="11" spans="1:3" ht="15.75">
      <c r="A11" s="128" t="s">
        <v>59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08"/>
    </row>
    <row r="14" spans="1:3" ht="15.75">
      <c r="A14" s="128" t="s">
        <v>24</v>
      </c>
      <c r="C14" s="108"/>
    </row>
    <row r="15" spans="1:3" ht="15.75">
      <c r="A15" s="128" t="s">
        <v>60</v>
      </c>
      <c r="C15" s="108"/>
    </row>
    <row r="16" spans="1:3" ht="15.75">
      <c r="A16" s="128" t="s">
        <v>61</v>
      </c>
      <c r="C16" s="108"/>
    </row>
    <row r="17" spans="1:3" ht="15.75">
      <c r="A17" s="128" t="s">
        <v>62</v>
      </c>
      <c r="C17" s="115"/>
    </row>
    <row r="18" spans="1:3" ht="15.75">
      <c r="A18" s="128" t="s">
        <v>25</v>
      </c>
      <c r="C18" s="108"/>
    </row>
    <row r="19" spans="1:3" ht="15.75">
      <c r="A19" s="128" t="s">
        <v>63</v>
      </c>
      <c r="C19" s="108"/>
    </row>
    <row r="20" spans="1:3" ht="15.75">
      <c r="A20" s="128" t="s">
        <v>100</v>
      </c>
      <c r="C20" s="108"/>
    </row>
    <row r="21" spans="1:3" ht="15.75">
      <c r="A21" s="128" t="s">
        <v>26</v>
      </c>
      <c r="C21" s="108"/>
    </row>
    <row r="22" spans="1:3" ht="15.75">
      <c r="A22" s="128" t="s">
        <v>64</v>
      </c>
      <c r="C22" s="108"/>
    </row>
    <row r="23" spans="1:3" ht="15.75">
      <c r="A23" s="128" t="s">
        <v>97</v>
      </c>
      <c r="C23" s="108"/>
    </row>
    <row r="24" spans="1:3" ht="15.75">
      <c r="A24" s="128" t="s">
        <v>52</v>
      </c>
      <c r="C24" s="108"/>
    </row>
    <row r="25" spans="1:3" ht="15.75">
      <c r="A25" s="128" t="s">
        <v>65</v>
      </c>
      <c r="C25" s="108"/>
    </row>
    <row r="26" spans="1:3" ht="15.75">
      <c r="A26" s="128" t="s">
        <v>66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108</v>
      </c>
      <c r="B2" s="2"/>
      <c r="C2" s="54"/>
      <c r="D2" s="54"/>
      <c r="E2" s="54"/>
    </row>
    <row r="3" spans="1:9" ht="15.75" thickBot="1">
      <c r="A3" s="122" t="s">
        <v>110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99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100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97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B7" sqref="B7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108</v>
      </c>
      <c r="B2" s="2"/>
    </row>
    <row r="3" spans="1:25">
      <c r="A3" s="77" t="s">
        <v>110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99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100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97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2025-06-26T23:58:01Z</dcterms:modified>
</cp:coreProperties>
</file>