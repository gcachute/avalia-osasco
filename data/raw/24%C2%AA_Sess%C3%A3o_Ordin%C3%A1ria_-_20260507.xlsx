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84D1A53C-638A-4E39-8509-3D5BCCADD0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8" i="10" l="1"/>
  <c r="F28" i="10"/>
  <c r="E29" i="10"/>
  <c r="F29" i="10"/>
  <c r="E30" i="10"/>
  <c r="F30" i="10"/>
  <c r="E31" i="10"/>
  <c r="F31" i="10"/>
  <c r="G28" i="10"/>
  <c r="C27" i="3"/>
  <c r="C28" i="3"/>
  <c r="C29" i="3"/>
  <c r="C30" i="3"/>
  <c r="C28" i="10"/>
  <c r="D28" i="10"/>
  <c r="C29" i="10"/>
  <c r="D29" i="10"/>
  <c r="C30" i="10"/>
  <c r="D30" i="10"/>
  <c r="C31" i="10"/>
  <c r="D31" i="10"/>
  <c r="G29" i="10"/>
  <c r="G30" i="10"/>
  <c r="G31" i="10"/>
  <c r="E27" i="2"/>
  <c r="E28" i="2"/>
  <c r="E29" i="2"/>
  <c r="E30" i="2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<sst xmlns="http://schemas.openxmlformats.org/spreadsheetml/2006/main" count="497" uniqueCount="130">
  <si>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</si>
  <si>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</si>
  <si>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</si>
  <si>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</si>
  <si>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</si>
  <si>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</si>
  <si>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</si>
  <si>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</si>
  <si>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</si>
  <si>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</si>
  <si>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</si>
  <si>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</si>
  <si>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</si>
  <si>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</si>
  <si>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</si>
  <si>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</si>
  <si>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</si>
  <si>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</si>
  <si>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</si>
  <si>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</si>
  <si>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</si>
  <si>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</si>
  <si>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</si>
  <si>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</si>
  <si>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</si>
  <si>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</si>
  <si>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</si>
  <si>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</si>
  <si>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</si>
  <si>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</si>
  <si>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</si>
  <si>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</si>
  <si>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</si>
  <si>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</si>
  <si>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</si>
  <si>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</si>
  <si>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</si>
  <si>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</si>
  <si>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</si>
  <si>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</si>
  <si>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</si>
  <si>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</si>
  <si>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</si>
  <si>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</si>
  <si>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</si>
  <si>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</si>
  <si>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</si>
  <si>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</si>
  <si>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</si>
  <si>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</si>
  <si>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</si>
  <si>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</si>
  <si>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</si>
  <si>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</si>
  <si>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</si>
  <si>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</si>
  <si>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</si>
  <si>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</si>
  <si>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</si>
  <si>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</si>
  <si>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</si>
  <si>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</si>
  <si>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</si>
  <si>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</si>
  <si>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</si>
  <si>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</si>
  <si>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</si>
  <si>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</si>
  <si>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</si>
  <si>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</si>
  <si>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</si>
  <si>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</si>
  <si>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</si>
  <si>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</si>
  <si>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</si>
  <si>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</si>
  <si>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</si>
  <si>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</si>
  <si>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</si>
  <si>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</si>
  <si>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</si>
  <si>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</si>
  <si>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</si>
  <si>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</si>
  <si>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</si>
  <si>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</si>
  <si>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</si>
  <si>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</si>
  <si>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</si>
  <si>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</si>
  <si>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</si>
  <si>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Lúcia da Saúde</t>
  </si>
  <si>
    <t>APROVADA</t>
  </si>
  <si>
    <t>pela ausência do autor, será pautada na próxima sessão.</t>
  </si>
  <si>
    <t xml:space="preserve"> 2ª chamada abertura da sessão </t>
  </si>
  <si>
    <r>
      <t xml:space="preserve">PROJETO DE LEI Nº 220/2025 – PAULO JÚNIOR - </t>
    </r>
    <r>
      <rPr>
        <sz val="11"/>
        <color theme="1"/>
        <rFont val="Arial"/>
        <family val="2"/>
      </rPr>
      <t xml:space="preserve">Dispõe sobre a obrigatoriedade de exposição, em hospitais públicos e privados do Município de Osasco, da legislação que garante o direito à visita religiosa, regulamenta os horários dessas visitas e dá outras providências. </t>
    </r>
  </si>
  <si>
    <t>pela ausência do autor, será pautado na próxima sessão.</t>
  </si>
  <si>
    <t>VERIFICAÇÃO DE QUORUM</t>
  </si>
  <si>
    <t>pela ausência da autora, será pautada na próxima sessão.</t>
  </si>
  <si>
    <t>APROVADO</t>
  </si>
  <si>
    <t>sim</t>
  </si>
  <si>
    <t>Ivanildo Eventos</t>
  </si>
  <si>
    <t>Julião</t>
  </si>
  <si>
    <t>24ª SESSÃO ORDINÁRIA</t>
  </si>
  <si>
    <t>DIA 7 DE MAIO DE 2026 - QUINTA-FEIRA</t>
  </si>
  <si>
    <t>Ato da Presidência nº 3/2026.</t>
  </si>
  <si>
    <t>OFÍCIO PROLEGIS nº 202603113577 - PREFEITO DO MUNICÍPIO DE OSASCO – Requer o arquivamento do Projeto de Lei nº 79/2026 que dispõe sobre o Sistema Municipal de Estacionamento Rotativo Pago em vias e logradouros públicos do Município de Osasco/SP; designa a INOVA OZ - Agência de Inovação e Desenvolvimento Tecnológico de Osasco S.A. como entidade gestora delegada para a gestão administrativa, tecnológica e contratual do Sistema e dá outras providências.</t>
  </si>
  <si>
    <t>OFÍCIO PROLEGIS nº 202603113772 - PREFEITO DO MUNICÍPIO DE OSASCO – Informa a sanção da lei nº 5.466, de 8 de abril de 2026, referente ao Projeto de Lei nº 67/2026 de autoria do Prefeito do Município de Osasco que autoriza o Município de Osasco a celebrar convênio com o Governo do Estado de São Paulo, por intermédio da Secretaria de Estado da Cultura e Economia Criativa.</t>
  </si>
  <si>
    <t>PROJETO DE LEI Nº 111/2026 – PREFEITO DO MUNICÍPIO DE OSASCO - Dispõe sobre a abertura de crédito adicional especial ao orçamento vigente e dá outras providências.</t>
  </si>
  <si>
    <t xml:space="preserve">OFÍCIO PROLEGIS nº 202603090555 - PREFEITO DO MUNICÍPIO DE OSASCO – Informa a sanção da lei nº 5.464, de 1º de abril de 2026, referente ao Projeto de Lei nº 63/2026, de autoria do Prefeito do Município de Osasco que altera a Lei nº 5.157, de 15 de dezembro de 2021, que dispõe sobre o Programa Nosso Futuro, e dá outras providências. </t>
  </si>
  <si>
    <t>DECRETO Nº 15.090, DE 17 DE ABRIL DE 2026 – PREFEITO DO MUNICÍPIO DE OSASCO - Altera o Decreto nº 14.880, de 24 de outubro de 2025, que dispõe sobre procedimentos e prazos para a operacionalização de ações governamentais com recursos oriundos de emendas parlamentares municipais impositivas.</t>
  </si>
  <si>
    <t>DECRETOS Nº 15.091, 15.092 e 15.093 DE ABRIL DE 2026 – PREFEITO DO MUNICÍPIO DE OSASCO - Dispõem sobre a abertura de crédito adicional suplementar ao orçamento vigente e dão outras providências.</t>
  </si>
  <si>
    <t>DECRETO Nº 15.094 DE 23 DE ABRIL DE 2026 - PREFEITO DO MUNICÍPIO DE OSASCO - Dispõe sobre a abertura de crédito adicional especial ao orçamento vigente e dá outras providências.</t>
  </si>
  <si>
    <t>DECRETOS Nº 15.095 a 15.105 DE ABRIL DE 2026 – PREFEITO DO MUNICÍPIO DE OSASCO - Dispõem sobre a abertura de crédito adicional suplementar ao orçamento vigente e dão outras providências.</t>
  </si>
  <si>
    <t>PROJETO DE LEI Nº 42/2026 – SÉRGIO FONTELLAS – Dispõe sobre a denominação da viela Santos Luiz Silva.</t>
  </si>
  <si>
    <r>
      <t xml:space="preserve">MOÇÃO DE AGRADECIMENTO Nº 108/2026 – LÚCIA DA SAÚDE - </t>
    </r>
    <r>
      <rPr>
        <sz val="11"/>
        <color theme="1"/>
        <rFont val="Arial"/>
        <family val="2"/>
      </rPr>
      <t>Ao 2º Batalhão de Polícia do Exército e à Secretaria de Educação do Município de Osasco pela realização do programa de visitação educativa destinado aos alunos da rede municipal de ensino.</t>
    </r>
  </si>
  <si>
    <r>
      <t xml:space="preserve">MOÇÃO DE APLAUSO Nº 109/2026 – JOSIAS DA JUCO - </t>
    </r>
    <r>
      <rPr>
        <sz val="11"/>
        <color theme="1"/>
        <rFont val="Arial"/>
        <family val="2"/>
      </rPr>
      <t>À equipe de Basquete 3x3 de Osasco pela conquista do 3º lugar no Campeonato Paulista – Série Ouro.</t>
    </r>
  </si>
  <si>
    <r>
      <t xml:space="preserve">MOÇÃO DE RECONHECIMENTO Nº 110/2026 – LAÉRCIO MENDONÇA – </t>
    </r>
    <r>
      <rPr>
        <sz val="11"/>
        <color theme="1"/>
        <rFont val="Arial"/>
        <family val="2"/>
      </rPr>
      <t>À Erika Sant Anna Gomes, por sua relevante contribuição à cultura, esporte e a qualidade de vida da terceira idade no município de Osasco.</t>
    </r>
  </si>
  <si>
    <r>
      <t xml:space="preserve">MOÇÃO DE APLAUSO Nº 112/2026 – ALEXANDRE CAPRIOTTI - </t>
    </r>
    <r>
      <rPr>
        <sz val="11"/>
        <color theme="1"/>
        <rFont val="Arial"/>
        <family val="2"/>
      </rPr>
      <t>À Orquestra Infantil de Cordas do CEU José Saramago, por abrilhantar a Cerimônia de posse das Autoridades Mirins 2026.</t>
    </r>
  </si>
  <si>
    <r>
      <t>MOÇÃO DE APLAUSO Nº 113/2026 – JOSIAS DA JUCO -</t>
    </r>
    <r>
      <rPr>
        <sz val="11"/>
        <color theme="1"/>
        <rFont val="Arial"/>
        <family val="2"/>
      </rPr>
      <t xml:space="preserve"> À Secretaria Municipal de Educação e a todos que se dedicaram à organização e realização da 3ª edição do Programa Autoridades Mirins.</t>
    </r>
  </si>
  <si>
    <r>
      <t>MOÇÃO DE APLAUSO Nº 115/2026 – PAULO JÚNIOR -</t>
    </r>
    <r>
      <rPr>
        <sz val="11"/>
        <color theme="1"/>
        <rFont val="Arial"/>
        <family val="2"/>
      </rPr>
      <t xml:space="preserve"> À Sra. Andréa Tomé da Silva Vieira, em reconhecimento à sua força e superação ao vencer o câncer.</t>
    </r>
  </si>
  <si>
    <r>
      <t xml:space="preserve">MOÇÃO DE APLAUSO Nº 116/2026 – PAULO JÚNIOR – </t>
    </r>
    <r>
      <rPr>
        <sz val="11"/>
        <color theme="1"/>
        <rFont val="Arial"/>
        <family val="2"/>
      </rPr>
      <t>À Igreja Evangélica do Jardim D’abril por sua fundação.</t>
    </r>
  </si>
  <si>
    <r>
      <t xml:space="preserve">MOÇÃO DE APLAUSO Nº 117/2026 – CANTOR GOLEIRO – </t>
    </r>
    <r>
      <rPr>
        <sz val="11"/>
        <color theme="1"/>
        <rFont val="Arial"/>
        <family val="2"/>
      </rPr>
      <t>À Sra. Emiliana Herculano da Silva, conhecida carinhosamente como Dona Mocinha, por sua trajetória de vida marcada pela superação, trabalho digno e relevante contribuição à comunidade.</t>
    </r>
  </si>
  <si>
    <r>
      <t xml:space="preserve">MOÇÃO DE APLAUSO Nº 118/2026 – BATISTA COMUNIDADE – </t>
    </r>
    <r>
      <rPr>
        <sz val="11"/>
        <color theme="1"/>
        <rFont val="Arial"/>
        <family val="2"/>
      </rPr>
      <t>À Pastora Kezia Raquel Camarotti Leal, por sua dedicação à obra de Deus.</t>
    </r>
  </si>
  <si>
    <r>
      <t>MOÇÃO DE PESAR Nº 119/2026 – LÚCIA DA SAÚDE –</t>
    </r>
    <r>
      <rPr>
        <sz val="11"/>
        <color theme="1"/>
        <rFont val="Arial"/>
        <family val="2"/>
      </rPr>
      <t xml:space="preserve"> Pelo falecimento do senhor Amadeu Munhoz Leite, no dia 5 de maio.</t>
    </r>
  </si>
  <si>
    <r>
      <t xml:space="preserve">PROJETO DE DECRETO LEGISLATIVO Nº 004/2026 - GUILHERME PRADO – </t>
    </r>
    <r>
      <rPr>
        <sz val="11"/>
        <color theme="1"/>
        <rFont val="Arial"/>
        <family val="2"/>
      </rPr>
      <t>Dispõe sobre a concessão de Cartão de Prata para o Senhor Claudio Monteiro Júnior.</t>
    </r>
  </si>
  <si>
    <r>
      <t xml:space="preserve">PROJETO DE DECRETO LEGISLATIVO Nº 098/2025 - ALEXANDRE CAPRIOTTI – </t>
    </r>
    <r>
      <rPr>
        <sz val="11"/>
        <color theme="1"/>
        <rFont val="Arial"/>
        <family val="2"/>
      </rPr>
      <t>Dispõe sobre a concessão da Medalha Antônio Raposo Tavares e Diploma Cidade de Osasco ao senhor Amarildo Rodrigues.</t>
    </r>
  </si>
  <si>
    <r>
      <t xml:space="preserve">PROJETO DE DECRETO LEGISLATIVO Nº 101/2025 - RALFI – </t>
    </r>
    <r>
      <rPr>
        <sz val="11"/>
        <color theme="1"/>
        <rFont val="Arial"/>
        <family val="2"/>
      </rPr>
      <t>Dispõe sobre a Concessão de Cartão de Prata à DGT Administradora.</t>
    </r>
  </si>
  <si>
    <r>
      <t xml:space="preserve">PROJETO DE DECRETO LEGISLATIVO Nº 105/2025 - STEPHANE ROSSI – </t>
    </r>
    <r>
      <rPr>
        <sz val="11"/>
        <color theme="1"/>
        <rFont val="Arial"/>
        <family val="2"/>
      </rPr>
      <t>Dispõe sobre a concessão de Placa Comemorativa à Impercap Saunas.</t>
    </r>
  </si>
  <si>
    <r>
      <t xml:space="preserve">PROJETO DE DECRETO LEGISLATIVO Nº 088/2025 - HEBER DO JUNTOZ – </t>
    </r>
    <r>
      <rPr>
        <sz val="11"/>
        <color theme="1"/>
        <rFont val="Arial"/>
        <family val="2"/>
      </rPr>
      <t>Dispõe sobre a concessão de Título de cidadão Osasquense ao Deputado Federal Kiko Celeguim.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</si>
</sst>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tabSelected="1" zoomScale="70" zoomScaleNormal="70" workbookViewId="0">
      <selection activeCell="F53" sqref="F53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6" t="s">
        <v>28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70"/>
      <c r="O1" s="70"/>
      <c r="P1" s="70"/>
      <c r="Q1" s="40">
        <v>1</v>
      </c>
      <c r="R1" s="36" t="s">
        <v>10</v>
      </c>
      <c r="T1" s="150"/>
      <c r="U1" s="150"/>
      <c r="V1" s="150"/>
      <c r="W1" s="150"/>
      <c r="X1" s="150"/>
      <c r="Y1" s="150"/>
      <c r="Z1" s="7" t="s">
        <v>16</v>
      </c>
    </row>
    <row r="2" spans="1:28" ht="19.5" customHeight="1">
      <c r="A2" s="83" t="s">
        <v>103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70"/>
      <c r="O2" s="70"/>
      <c r="P2" s="70"/>
      <c r="Q2" s="35">
        <v>2</v>
      </c>
      <c r="R2" s="36" t="s">
        <v>11</v>
      </c>
      <c r="T2" s="150"/>
      <c r="U2" s="150"/>
      <c r="V2" s="150"/>
      <c r="W2" s="150"/>
      <c r="X2" s="150"/>
      <c r="Y2" s="150"/>
      <c r="Z2" s="7" t="s">
        <v>17</v>
      </c>
    </row>
    <row r="3" spans="1:28" ht="19.5" customHeight="1" thickBot="1">
      <c r="A3" s="83" t="s">
        <v>104</v>
      </c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70"/>
      <c r="O3" s="70"/>
      <c r="P3" s="70"/>
      <c r="Q3" s="41">
        <v>3</v>
      </c>
      <c r="R3" s="37" t="s">
        <v>12</v>
      </c>
      <c r="T3" s="150"/>
      <c r="U3" s="150"/>
      <c r="V3" s="150"/>
      <c r="W3" s="150"/>
      <c r="X3" s="150"/>
      <c r="Y3" s="150"/>
    </row>
    <row r="4" spans="1:28" ht="46.5" thickBot="1">
      <c r="A4" s="47"/>
      <c r="B4" s="87"/>
      <c r="C4" s="92" t="s">
        <v>61</v>
      </c>
      <c r="D4" s="92"/>
      <c r="E4" s="92" t="s">
        <v>94</v>
      </c>
      <c r="F4" s="44"/>
      <c r="G4" s="43" t="s">
        <v>47</v>
      </c>
      <c r="H4" s="43"/>
      <c r="I4" s="69" t="s">
        <v>46</v>
      </c>
      <c r="J4" s="45"/>
      <c r="K4" s="43" t="s">
        <v>29</v>
      </c>
      <c r="L4" s="45"/>
      <c r="M4" s="43" t="s">
        <v>29</v>
      </c>
      <c r="N4" s="45"/>
      <c r="O4" s="43" t="s">
        <v>97</v>
      </c>
      <c r="P4" s="45"/>
      <c r="Q4" s="42"/>
      <c r="R4" s="61" t="s">
        <v>9</v>
      </c>
      <c r="S4" s="93"/>
      <c r="T4" s="150"/>
      <c r="U4" s="150"/>
      <c r="V4" s="150"/>
      <c r="W4" s="150"/>
      <c r="X4" s="150"/>
      <c r="Y4" s="150"/>
    </row>
    <row r="5" spans="1:28" ht="18" customHeight="1">
      <c r="A5" s="46" t="s">
        <v>48</v>
      </c>
      <c r="B5" s="88">
        <v>2</v>
      </c>
      <c r="C5" s="102" t="s">
        <v>50</v>
      </c>
      <c r="D5" s="63"/>
      <c r="E5" s="102"/>
      <c r="F5" s="88">
        <v>2</v>
      </c>
      <c r="G5" s="102" t="s">
        <v>50</v>
      </c>
      <c r="H5" s="63"/>
      <c r="I5" s="62"/>
      <c r="J5" s="63">
        <v>2</v>
      </c>
      <c r="K5" s="102" t="s">
        <v>50</v>
      </c>
      <c r="L5" s="125"/>
      <c r="M5" s="126"/>
      <c r="N5" s="63"/>
      <c r="O5" s="102"/>
      <c r="P5" s="63"/>
      <c r="Q5" s="63"/>
      <c r="R5" s="102"/>
      <c r="S5" s="115"/>
      <c r="T5" s="150"/>
      <c r="U5" s="150"/>
      <c r="V5" s="150"/>
      <c r="W5" s="150"/>
      <c r="X5" s="150"/>
      <c r="Y5" s="150"/>
    </row>
    <row r="6" spans="1:28" ht="18" customHeight="1">
      <c r="A6" s="46" t="s">
        <v>63</v>
      </c>
      <c r="B6" s="88">
        <v>1</v>
      </c>
      <c r="C6" s="62" t="s">
        <v>49</v>
      </c>
      <c r="D6" s="63"/>
      <c r="E6" s="62"/>
      <c r="F6" s="88">
        <v>1</v>
      </c>
      <c r="G6" s="62" t="s">
        <v>49</v>
      </c>
      <c r="H6" s="63"/>
      <c r="I6" s="62"/>
      <c r="J6" s="63">
        <v>2</v>
      </c>
      <c r="K6" s="102" t="s">
        <v>50</v>
      </c>
      <c r="L6" s="67"/>
      <c r="M6" s="65"/>
      <c r="N6" s="63"/>
      <c r="O6" s="102"/>
      <c r="P6" s="63"/>
      <c r="Q6" s="63"/>
      <c r="R6" s="102"/>
      <c r="S6" s="89"/>
      <c r="T6" s="150"/>
      <c r="U6" s="150"/>
      <c r="V6" s="150"/>
      <c r="W6" s="150"/>
      <c r="X6" s="150"/>
      <c r="Y6" s="150"/>
    </row>
    <row r="7" spans="1:28" ht="18" customHeight="1">
      <c r="A7" s="46" t="s">
        <v>51</v>
      </c>
      <c r="B7" s="88">
        <v>1</v>
      </c>
      <c r="C7" s="62" t="s">
        <v>49</v>
      </c>
      <c r="D7" s="63"/>
      <c r="E7" s="62"/>
      <c r="F7" s="88">
        <v>1</v>
      </c>
      <c r="G7" s="62" t="s">
        <v>49</v>
      </c>
      <c r="H7" s="63"/>
      <c r="I7" s="62"/>
      <c r="J7" s="63">
        <v>1</v>
      </c>
      <c r="K7" s="62" t="s">
        <v>49</v>
      </c>
      <c r="L7" s="67"/>
      <c r="M7" s="65"/>
      <c r="N7" s="63"/>
      <c r="O7" s="102"/>
      <c r="P7" s="63"/>
      <c r="Q7" s="63"/>
      <c r="R7" s="102"/>
      <c r="S7" s="89"/>
      <c r="T7" s="150"/>
      <c r="U7" s="150"/>
      <c r="V7" s="150"/>
      <c r="W7" s="150"/>
      <c r="X7" s="150"/>
      <c r="Y7" s="150"/>
    </row>
    <row r="8" spans="1:28" ht="18" customHeight="1">
      <c r="A8" s="82" t="s">
        <v>52</v>
      </c>
      <c r="B8" s="88">
        <v>1</v>
      </c>
      <c r="C8" s="62" t="s">
        <v>49</v>
      </c>
      <c r="D8" s="63"/>
      <c r="E8" s="102"/>
      <c r="F8" s="88">
        <v>1</v>
      </c>
      <c r="G8" s="62" t="s">
        <v>49</v>
      </c>
      <c r="H8" s="63"/>
      <c r="I8" s="62"/>
      <c r="J8" s="63">
        <v>1</v>
      </c>
      <c r="K8" s="62" t="s">
        <v>49</v>
      </c>
      <c r="L8" s="67"/>
      <c r="M8" s="65"/>
      <c r="N8" s="63"/>
      <c r="O8" s="102"/>
      <c r="P8" s="63"/>
      <c r="Q8" s="63"/>
      <c r="R8" s="62"/>
      <c r="S8" s="89"/>
      <c r="T8" s="150"/>
      <c r="U8" s="150"/>
      <c r="V8" s="150"/>
      <c r="W8" s="150"/>
      <c r="X8" s="150"/>
      <c r="Y8" s="150"/>
    </row>
    <row r="9" spans="1:28" ht="18" customHeight="1">
      <c r="A9" s="46" t="s">
        <v>27</v>
      </c>
      <c r="B9" s="88">
        <v>1</v>
      </c>
      <c r="C9" s="62" t="s">
        <v>49</v>
      </c>
      <c r="D9" s="63"/>
      <c r="E9" s="62"/>
      <c r="F9" s="88">
        <v>1</v>
      </c>
      <c r="G9" s="62" t="s">
        <v>49</v>
      </c>
      <c r="H9" s="63"/>
      <c r="I9" s="62"/>
      <c r="J9" s="63">
        <v>1</v>
      </c>
      <c r="K9" s="62" t="s">
        <v>49</v>
      </c>
      <c r="L9" s="67"/>
      <c r="M9" s="65"/>
      <c r="N9" s="63"/>
      <c r="O9" s="102"/>
      <c r="P9" s="63"/>
      <c r="Q9" s="63"/>
      <c r="R9" s="102"/>
      <c r="S9" s="89"/>
      <c r="T9" s="150"/>
      <c r="U9" s="150"/>
      <c r="V9" s="150"/>
      <c r="W9" s="150"/>
      <c r="X9" s="150"/>
      <c r="Y9" s="150"/>
    </row>
    <row r="10" spans="1:28" ht="18" customHeight="1">
      <c r="A10" s="46" t="s">
        <v>53</v>
      </c>
      <c r="B10" s="88">
        <v>1</v>
      </c>
      <c r="C10" s="62" t="s">
        <v>49</v>
      </c>
      <c r="D10" s="63"/>
      <c r="E10" s="62"/>
      <c r="F10" s="88">
        <v>1</v>
      </c>
      <c r="G10" s="62" t="s">
        <v>49</v>
      </c>
      <c r="H10" s="63"/>
      <c r="I10" s="62"/>
      <c r="J10" s="63">
        <v>1</v>
      </c>
      <c r="K10" s="62" t="s">
        <v>49</v>
      </c>
      <c r="L10" s="67"/>
      <c r="M10" s="65"/>
      <c r="N10" s="63"/>
      <c r="O10" s="62"/>
      <c r="P10" s="63"/>
      <c r="Q10" s="63"/>
      <c r="R10" s="62"/>
      <c r="S10" s="89"/>
      <c r="T10" s="150"/>
      <c r="U10" s="150"/>
      <c r="V10" s="150"/>
      <c r="W10" s="150"/>
      <c r="X10" s="150"/>
      <c r="Y10" s="150"/>
    </row>
    <row r="11" spans="1:28" ht="20.25">
      <c r="A11" s="46" t="s">
        <v>22</v>
      </c>
      <c r="B11" s="88">
        <v>1</v>
      </c>
      <c r="C11" s="62" t="s">
        <v>49</v>
      </c>
      <c r="D11" s="63"/>
      <c r="E11" s="62"/>
      <c r="F11" s="88">
        <v>1</v>
      </c>
      <c r="G11" s="62" t="s">
        <v>49</v>
      </c>
      <c r="H11" s="63"/>
      <c r="I11" s="62"/>
      <c r="J11" s="63">
        <v>1</v>
      </c>
      <c r="K11" s="62" t="s">
        <v>49</v>
      </c>
      <c r="L11" s="67"/>
      <c r="M11" s="65"/>
      <c r="N11" s="63"/>
      <c r="O11" s="62"/>
      <c r="P11" s="63"/>
      <c r="Q11" s="63"/>
      <c r="R11" s="62"/>
      <c r="S11" s="90"/>
      <c r="T11" s="150"/>
      <c r="U11" s="150"/>
      <c r="V11" s="150"/>
      <c r="W11" s="150"/>
      <c r="X11" s="150"/>
      <c r="Y11" s="150"/>
    </row>
    <row r="12" spans="1:28" ht="18" customHeight="1">
      <c r="A12" s="46" t="s">
        <v>23</v>
      </c>
      <c r="B12" s="88">
        <v>1</v>
      </c>
      <c r="C12" s="62" t="s">
        <v>49</v>
      </c>
      <c r="D12" s="63"/>
      <c r="E12" s="102"/>
      <c r="F12" s="88">
        <v>1</v>
      </c>
      <c r="G12" s="62" t="s">
        <v>49</v>
      </c>
      <c r="H12" s="63"/>
      <c r="I12" s="68"/>
      <c r="J12" s="63">
        <v>2</v>
      </c>
      <c r="K12" s="102" t="s">
        <v>50</v>
      </c>
      <c r="L12" s="67"/>
      <c r="M12" s="65"/>
      <c r="N12" s="63"/>
      <c r="O12" s="102"/>
      <c r="P12" s="63"/>
      <c r="Q12" s="63"/>
      <c r="R12" s="102"/>
      <c r="S12" s="91"/>
      <c r="T12" s="150"/>
      <c r="U12" s="150"/>
      <c r="V12" s="150"/>
      <c r="W12" s="150"/>
      <c r="X12" s="150"/>
      <c r="Y12" s="150"/>
      <c r="AB12" s="12"/>
    </row>
    <row r="13" spans="1:28" ht="18" customHeight="1">
      <c r="A13" s="46" t="s">
        <v>54</v>
      </c>
      <c r="B13" s="88">
        <v>1</v>
      </c>
      <c r="C13" s="62" t="s">
        <v>49</v>
      </c>
      <c r="D13" s="63"/>
      <c r="E13" s="62"/>
      <c r="F13" s="88">
        <v>1</v>
      </c>
      <c r="G13" s="62" t="s">
        <v>49</v>
      </c>
      <c r="H13" s="63"/>
      <c r="I13" s="62"/>
      <c r="J13" s="63">
        <v>1</v>
      </c>
      <c r="K13" s="62" t="s">
        <v>49</v>
      </c>
      <c r="L13" s="67"/>
      <c r="M13" s="65"/>
      <c r="N13" s="63"/>
      <c r="O13" s="102"/>
      <c r="P13" s="63"/>
      <c r="Q13" s="63"/>
      <c r="R13" s="102"/>
      <c r="S13" s="91"/>
      <c r="T13" s="150"/>
      <c r="U13" s="150"/>
      <c r="V13" s="150"/>
      <c r="W13" s="150"/>
      <c r="X13" s="150"/>
      <c r="Y13" s="150"/>
    </row>
    <row r="14" spans="1:28" ht="18" customHeight="1">
      <c r="A14" s="46" t="s">
        <v>55</v>
      </c>
      <c r="B14" s="88">
        <v>2</v>
      </c>
      <c r="C14" s="102" t="s">
        <v>50</v>
      </c>
      <c r="D14" s="63"/>
      <c r="E14" s="62"/>
      <c r="F14" s="88">
        <v>1</v>
      </c>
      <c r="G14" s="62" t="s">
        <v>49</v>
      </c>
      <c r="H14" s="63"/>
      <c r="I14" s="62"/>
      <c r="J14" s="63">
        <v>1</v>
      </c>
      <c r="K14" s="62" t="s">
        <v>49</v>
      </c>
      <c r="L14" s="67"/>
      <c r="M14" s="65"/>
      <c r="N14" s="63"/>
      <c r="O14" s="102"/>
      <c r="P14" s="63"/>
      <c r="Q14" s="63"/>
      <c r="R14" s="102"/>
      <c r="S14" s="91"/>
      <c r="T14" s="150"/>
      <c r="U14" s="150"/>
      <c r="V14" s="150"/>
      <c r="W14" s="150"/>
      <c r="X14" s="150"/>
      <c r="Y14" s="150"/>
    </row>
    <row r="15" spans="1:28" ht="18" customHeight="1">
      <c r="A15" s="46" t="s">
        <v>56</v>
      </c>
      <c r="B15" s="88">
        <v>2</v>
      </c>
      <c r="C15" s="102" t="s">
        <v>50</v>
      </c>
      <c r="D15" s="63"/>
      <c r="E15" s="102"/>
      <c r="F15" s="88">
        <v>1</v>
      </c>
      <c r="G15" s="62" t="s">
        <v>49</v>
      </c>
      <c r="H15" s="63"/>
      <c r="I15" s="62"/>
      <c r="J15" s="63">
        <v>1</v>
      </c>
      <c r="K15" s="62" t="s">
        <v>49</v>
      </c>
      <c r="L15" s="67"/>
      <c r="M15" s="65"/>
      <c r="N15" s="63"/>
      <c r="O15" s="102"/>
      <c r="P15" s="63"/>
      <c r="Q15" s="63"/>
      <c r="R15" s="102"/>
      <c r="S15" s="91"/>
      <c r="T15" s="150"/>
      <c r="U15" s="150"/>
      <c r="V15" s="150"/>
      <c r="W15" s="150"/>
      <c r="X15" s="150"/>
      <c r="Y15" s="150"/>
    </row>
    <row r="16" spans="1:28" ht="18.75" customHeight="1">
      <c r="A16" s="46" t="s">
        <v>101</v>
      </c>
      <c r="B16" s="88"/>
      <c r="C16" s="102"/>
      <c r="D16" s="63"/>
      <c r="E16" s="62"/>
      <c r="F16" s="88">
        <v>1</v>
      </c>
      <c r="G16" s="62" t="s">
        <v>49</v>
      </c>
      <c r="H16" s="63"/>
      <c r="I16" s="68"/>
      <c r="J16" s="63">
        <v>1</v>
      </c>
      <c r="K16" s="62" t="s">
        <v>49</v>
      </c>
      <c r="L16" s="67"/>
      <c r="M16" s="65"/>
      <c r="N16" s="63"/>
      <c r="O16" s="62"/>
      <c r="P16" s="63"/>
      <c r="Q16" s="63"/>
      <c r="R16" s="102"/>
      <c r="S16" s="91"/>
      <c r="T16" s="150"/>
      <c r="U16" s="150"/>
      <c r="V16" s="150"/>
      <c r="W16" s="150"/>
      <c r="X16" s="150"/>
      <c r="Y16" s="150"/>
    </row>
    <row r="17" spans="1:28" ht="18.75" customHeight="1">
      <c r="A17" s="46" t="s">
        <v>24</v>
      </c>
      <c r="B17" s="88">
        <v>1</v>
      </c>
      <c r="C17" s="62" t="s">
        <v>49</v>
      </c>
      <c r="D17" s="63"/>
      <c r="E17" s="62"/>
      <c r="F17" s="88">
        <v>1</v>
      </c>
      <c r="G17" s="62" t="s">
        <v>49</v>
      </c>
      <c r="H17" s="63"/>
      <c r="I17" s="68"/>
      <c r="J17" s="63">
        <v>1</v>
      </c>
      <c r="K17" s="62" t="s">
        <v>49</v>
      </c>
      <c r="L17" s="67"/>
      <c r="M17" s="65"/>
      <c r="N17" s="63"/>
      <c r="O17" s="62"/>
      <c r="P17" s="63"/>
      <c r="Q17" s="63"/>
      <c r="R17" s="102"/>
      <c r="S17" s="91"/>
      <c r="T17" s="150"/>
      <c r="U17" s="150"/>
      <c r="V17" s="150"/>
      <c r="W17" s="150"/>
      <c r="X17" s="150"/>
      <c r="Y17" s="150"/>
    </row>
    <row r="18" spans="1:28" ht="17.25" customHeight="1">
      <c r="A18" s="46" t="s">
        <v>57</v>
      </c>
      <c r="B18" s="88">
        <v>2</v>
      </c>
      <c r="C18" s="102" t="s">
        <v>50</v>
      </c>
      <c r="D18" s="63"/>
      <c r="E18" s="102"/>
      <c r="F18" s="88">
        <v>1</v>
      </c>
      <c r="G18" s="62" t="s">
        <v>49</v>
      </c>
      <c r="H18" s="63"/>
      <c r="I18" s="62"/>
      <c r="J18" s="63">
        <v>1</v>
      </c>
      <c r="K18" s="62" t="s">
        <v>49</v>
      </c>
      <c r="L18" s="67"/>
      <c r="M18" s="65"/>
      <c r="N18" s="63"/>
      <c r="O18" s="102"/>
      <c r="P18" s="63"/>
      <c r="Q18" s="63"/>
      <c r="R18" s="102"/>
      <c r="S18" s="91"/>
      <c r="T18" s="150"/>
      <c r="U18" s="150"/>
      <c r="V18" s="150"/>
      <c r="W18" s="150"/>
      <c r="X18" s="150"/>
      <c r="Y18" s="150"/>
    </row>
    <row r="19" spans="1:28" ht="18" customHeight="1">
      <c r="A19" s="46" t="s">
        <v>102</v>
      </c>
      <c r="B19" s="88"/>
      <c r="C19" s="102"/>
      <c r="D19" s="63"/>
      <c r="E19" s="102"/>
      <c r="F19" s="88">
        <v>1</v>
      </c>
      <c r="G19" s="62" t="s">
        <v>49</v>
      </c>
      <c r="H19" s="63"/>
      <c r="I19" s="62"/>
      <c r="J19" s="63">
        <v>1</v>
      </c>
      <c r="K19" s="62" t="s">
        <v>49</v>
      </c>
      <c r="L19" s="67"/>
      <c r="M19" s="65"/>
      <c r="N19" s="63"/>
      <c r="O19" s="102"/>
      <c r="P19" s="63"/>
      <c r="Q19" s="63"/>
      <c r="R19" s="102"/>
      <c r="S19" s="91"/>
      <c r="T19" s="150"/>
      <c r="U19" s="150"/>
      <c r="V19" s="150"/>
      <c r="W19" s="150"/>
      <c r="X19" s="150"/>
      <c r="Y19" s="150"/>
    </row>
    <row r="20" spans="1:28" ht="18" customHeight="1">
      <c r="A20" s="46" t="s">
        <v>91</v>
      </c>
      <c r="B20" s="88">
        <v>2</v>
      </c>
      <c r="C20" s="102" t="s">
        <v>50</v>
      </c>
      <c r="D20" s="63"/>
      <c r="E20" s="102"/>
      <c r="F20" s="88">
        <v>2</v>
      </c>
      <c r="G20" s="102" t="s">
        <v>50</v>
      </c>
      <c r="H20" s="63"/>
      <c r="I20" s="62"/>
      <c r="J20" s="63">
        <v>2</v>
      </c>
      <c r="K20" s="102" t="s">
        <v>50</v>
      </c>
      <c r="L20" s="67"/>
      <c r="M20" s="65"/>
      <c r="N20" s="63"/>
      <c r="O20" s="102"/>
      <c r="P20" s="63"/>
      <c r="Q20" s="63"/>
      <c r="R20" s="102"/>
      <c r="S20" s="91"/>
      <c r="T20" s="150"/>
      <c r="U20" s="150"/>
      <c r="V20" s="150"/>
      <c r="W20" s="150"/>
      <c r="X20" s="150"/>
      <c r="Y20" s="150"/>
    </row>
    <row r="21" spans="1:28" ht="18" customHeight="1">
      <c r="A21" s="46" t="s">
        <v>25</v>
      </c>
      <c r="B21" s="88">
        <v>2</v>
      </c>
      <c r="C21" s="102" t="s">
        <v>50</v>
      </c>
      <c r="D21" s="63"/>
      <c r="E21" s="102"/>
      <c r="F21" s="88">
        <v>2</v>
      </c>
      <c r="G21" s="102" t="s">
        <v>50</v>
      </c>
      <c r="H21" s="63"/>
      <c r="I21" s="68"/>
      <c r="J21" s="63">
        <v>2</v>
      </c>
      <c r="K21" s="102" t="s">
        <v>50</v>
      </c>
      <c r="L21" s="67"/>
      <c r="M21" s="65"/>
      <c r="N21" s="63"/>
      <c r="O21" s="102"/>
      <c r="P21" s="63"/>
      <c r="Q21" s="63"/>
      <c r="R21" s="102"/>
      <c r="S21" s="91"/>
      <c r="T21" s="150"/>
      <c r="U21" s="150"/>
      <c r="V21" s="150"/>
      <c r="W21" s="150"/>
      <c r="X21" s="150"/>
      <c r="Y21" s="150"/>
    </row>
    <row r="22" spans="1:28" ht="18.75" customHeight="1">
      <c r="A22" s="46" t="s">
        <v>58</v>
      </c>
      <c r="B22" s="88">
        <v>1</v>
      </c>
      <c r="C22" s="62" t="s">
        <v>49</v>
      </c>
      <c r="D22" s="63"/>
      <c r="E22" s="62"/>
      <c r="F22" s="88">
        <v>1</v>
      </c>
      <c r="G22" s="62" t="s">
        <v>49</v>
      </c>
      <c r="H22" s="63"/>
      <c r="I22" s="62"/>
      <c r="J22" s="63">
        <v>1</v>
      </c>
      <c r="K22" s="62" t="s">
        <v>49</v>
      </c>
      <c r="L22" s="64"/>
      <c r="M22" s="64"/>
      <c r="N22" s="63"/>
      <c r="O22" s="102"/>
      <c r="P22" s="63"/>
      <c r="Q22" s="63"/>
      <c r="R22" s="62"/>
      <c r="S22" s="91"/>
      <c r="T22" s="150"/>
      <c r="U22" s="150"/>
      <c r="V22" s="150"/>
      <c r="W22" s="150"/>
      <c r="X22" s="150"/>
      <c r="Y22" s="150"/>
    </row>
    <row r="23" spans="1:28" ht="18" customHeight="1">
      <c r="A23" s="46" t="s">
        <v>64</v>
      </c>
      <c r="B23" s="88">
        <v>1</v>
      </c>
      <c r="C23" s="62" t="s">
        <v>49</v>
      </c>
      <c r="D23" s="63"/>
      <c r="E23" s="102"/>
      <c r="F23" s="88">
        <v>1</v>
      </c>
      <c r="G23" s="62" t="s">
        <v>49</v>
      </c>
      <c r="H23" s="63"/>
      <c r="I23" s="68"/>
      <c r="J23" s="63">
        <v>1</v>
      </c>
      <c r="K23" s="62" t="s">
        <v>49</v>
      </c>
      <c r="L23" s="67"/>
      <c r="M23" s="65"/>
      <c r="N23" s="63"/>
      <c r="O23" s="102"/>
      <c r="P23" s="63"/>
      <c r="Q23" s="63"/>
      <c r="R23" s="102"/>
      <c r="S23" s="91"/>
      <c r="T23" s="150"/>
      <c r="U23" s="150"/>
      <c r="V23" s="150"/>
      <c r="W23" s="150"/>
      <c r="X23" s="150"/>
      <c r="Y23" s="150"/>
    </row>
    <row r="24" spans="1:28" ht="20.25">
      <c r="A24" s="46" t="s">
        <v>85</v>
      </c>
      <c r="B24" s="88">
        <v>1</v>
      </c>
      <c r="C24" s="62" t="s">
        <v>49</v>
      </c>
      <c r="D24" s="63"/>
      <c r="E24" s="102"/>
      <c r="F24" s="88">
        <v>1</v>
      </c>
      <c r="G24" s="62" t="s">
        <v>49</v>
      </c>
      <c r="H24" s="63"/>
      <c r="I24" s="62"/>
      <c r="J24" s="63">
        <v>1</v>
      </c>
      <c r="K24" s="62" t="s">
        <v>49</v>
      </c>
      <c r="L24" s="67"/>
      <c r="M24" s="65"/>
      <c r="N24" s="63"/>
      <c r="O24" s="62"/>
      <c r="P24" s="63"/>
      <c r="Q24" s="63"/>
      <c r="R24" s="102"/>
      <c r="S24" s="91"/>
      <c r="T24" s="150"/>
      <c r="U24" s="150"/>
      <c r="V24" s="150"/>
      <c r="W24" s="150"/>
      <c r="X24" s="150"/>
      <c r="Y24" s="150"/>
    </row>
    <row r="25" spans="1:28" ht="18" customHeight="1" thickBot="1">
      <c r="A25" s="46" t="s">
        <v>59</v>
      </c>
      <c r="B25" s="88">
        <v>1</v>
      </c>
      <c r="C25" s="62" t="s">
        <v>49</v>
      </c>
      <c r="D25" s="63"/>
      <c r="E25" s="62"/>
      <c r="F25" s="88">
        <v>1</v>
      </c>
      <c r="G25" s="62" t="s">
        <v>49</v>
      </c>
      <c r="H25" s="63"/>
      <c r="I25" s="68"/>
      <c r="J25" s="63">
        <v>1</v>
      </c>
      <c r="K25" s="62" t="s">
        <v>49</v>
      </c>
      <c r="L25" s="67"/>
      <c r="M25" s="65"/>
      <c r="N25" s="63"/>
      <c r="O25" s="62"/>
      <c r="P25" s="63"/>
      <c r="Q25" s="66"/>
      <c r="R25" s="102"/>
      <c r="S25" s="91"/>
      <c r="T25" s="150"/>
      <c r="U25" s="150"/>
      <c r="V25" s="150"/>
      <c r="W25" s="150"/>
      <c r="X25" s="150"/>
      <c r="Y25" s="150"/>
    </row>
    <row r="26" spans="1:28" ht="16.5" thickBot="1">
      <c r="A26" s="38" t="s">
        <v>13</v>
      </c>
      <c r="B26" s="98">
        <v>13</v>
      </c>
      <c r="C26" s="96" t="s">
        <v>44</v>
      </c>
      <c r="D26" s="98"/>
      <c r="E26" s="96" t="s">
        <v>44</v>
      </c>
      <c r="F26" s="98">
        <v>18</v>
      </c>
      <c r="G26" s="96" t="s">
        <v>44</v>
      </c>
      <c r="H26" s="100"/>
      <c r="I26" s="101"/>
      <c r="J26" s="98">
        <v>16</v>
      </c>
      <c r="K26" s="95" t="s">
        <v>44</v>
      </c>
      <c r="L26" s="85"/>
      <c r="M26" s="94"/>
      <c r="N26" s="98"/>
      <c r="O26" s="96" t="s">
        <v>44</v>
      </c>
      <c r="P26" s="98"/>
      <c r="Q26" s="98"/>
      <c r="R26" s="97" t="s">
        <v>44</v>
      </c>
      <c r="S26" s="86"/>
      <c r="V26" s="12"/>
      <c r="W26" s="12"/>
    </row>
    <row r="27" spans="1:28" ht="16.5" thickBot="1">
      <c r="A27" s="39" t="s">
        <v>14</v>
      </c>
      <c r="B27" s="98">
        <v>6</v>
      </c>
      <c r="C27" s="96" t="s">
        <v>45</v>
      </c>
      <c r="D27" s="98"/>
      <c r="E27" s="96" t="s">
        <v>45</v>
      </c>
      <c r="F27" s="98">
        <v>3</v>
      </c>
      <c r="G27" s="96" t="s">
        <v>45</v>
      </c>
      <c r="H27" s="100"/>
      <c r="I27" s="96"/>
      <c r="J27" s="98">
        <v>5</v>
      </c>
      <c r="K27" s="95" t="s">
        <v>45</v>
      </c>
      <c r="L27" s="85"/>
      <c r="M27" s="94"/>
      <c r="N27" s="98"/>
      <c r="O27" s="96" t="s">
        <v>45</v>
      </c>
      <c r="P27" s="98"/>
      <c r="Q27" s="98"/>
      <c r="R27" s="95" t="s">
        <v>45</v>
      </c>
      <c r="S27" s="86"/>
      <c r="V27" s="12"/>
      <c r="W27" s="12"/>
      <c r="AB27" s="5" t="s">
        <v>62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35</v>
      </c>
      <c r="V31" s="12"/>
      <c r="W31" s="12"/>
    </row>
    <row r="32" spans="1:28" ht="18">
      <c r="A32" s="34" t="s">
        <v>56</v>
      </c>
      <c r="V32" s="12"/>
      <c r="W32" s="12"/>
    </row>
    <row r="33" spans="1:23" ht="18">
      <c r="A33" s="34" t="s">
        <v>102</v>
      </c>
      <c r="V33" s="12"/>
      <c r="W33" s="12"/>
    </row>
    <row r="34" spans="1:23" ht="18">
      <c r="A34" s="34" t="s">
        <v>55</v>
      </c>
      <c r="V34" s="12"/>
      <c r="W34" s="12"/>
    </row>
    <row r="35" spans="1:23" ht="18">
      <c r="A35" s="34" t="s">
        <v>57</v>
      </c>
      <c r="V35" s="12"/>
      <c r="W35" s="12"/>
    </row>
    <row r="36" spans="1:23" ht="18">
      <c r="A36" s="34" t="s">
        <v>101</v>
      </c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60</v>
      </c>
      <c r="V43" s="12"/>
      <c r="W43" s="12"/>
    </row>
    <row r="44" spans="1:23" ht="18">
      <c r="A44" s="34" t="s">
        <v>91</v>
      </c>
      <c r="V44" s="12"/>
      <c r="W44" s="12"/>
    </row>
    <row r="45" spans="1:23" ht="18">
      <c r="A45" s="34" t="s">
        <v>48</v>
      </c>
      <c r="V45" s="12"/>
      <c r="W45" s="12"/>
    </row>
    <row r="46" spans="1:23" ht="18">
      <c r="A46" s="34"/>
      <c r="V46" s="12"/>
      <c r="W46" s="12"/>
    </row>
    <row r="47" spans="1:23" ht="18">
      <c r="A47" s="34"/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34</v>
      </c>
      <c r="M54"/>
      <c r="W54" s="12"/>
    </row>
    <row r="55" spans="1:23" ht="18">
      <c r="A55" s="34" t="s">
        <v>63</v>
      </c>
    </row>
    <row r="56" spans="1:23" ht="18">
      <c r="A56" s="34" t="s">
        <v>91</v>
      </c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Y39"/>
  <sheetViews>
    <sheetView workbookViewId="0">
      <pane xSplit="1" topLeftCell="B1" activePane="topRight" state="frozen"/>
      <selection pane="topRight" activeCell="E12" sqref="E12"/>
    </sheetView>
  </sheetViews>
  <sheetFormatPr defaultColWidth="9.140625" defaultRowHeight="12.75"/>
  <cols>
    <col min="1" max="1" width="47.7109375" style="22" customWidth="1"/>
    <col min="2" max="12" width="23.7109375" style="22" customWidth="1"/>
    <col min="13" max="13" width="19" style="22" customWidth="1"/>
    <col min="14" max="14" width="26.28515625" style="22" customWidth="1"/>
    <col min="15" max="15" width="22.140625" style="22" customWidth="1"/>
    <col min="16" max="25" width="22.7109375" style="22" customWidth="1"/>
    <col min="26" max="16384" width="9.140625" style="22"/>
  </cols>
  <sheetData>
    <row r="1" spans="1:25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25" ht="15">
      <c r="A2" s="76" t="s">
        <v>103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25" ht="17.25" customHeight="1">
      <c r="A3" s="76" t="s">
        <v>104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25" ht="63" customHeight="1">
      <c r="A4" s="51" t="str">
        <f>'[1]MOÇÃO E REQUERIMENTO'!B7</f>
        <v>EXPEDIENTE</v>
      </c>
      <c r="B4" s="50" t="s">
        <v>43</v>
      </c>
      <c r="C4" s="117" t="s">
        <v>105</v>
      </c>
      <c r="D4" s="117" t="s">
        <v>106</v>
      </c>
      <c r="E4" s="117" t="s">
        <v>107</v>
      </c>
      <c r="F4" s="117" t="s">
        <v>108</v>
      </c>
      <c r="G4" s="117" t="s">
        <v>109</v>
      </c>
      <c r="H4" s="117" t="s">
        <v>110</v>
      </c>
      <c r="I4" s="117" t="s">
        <v>111</v>
      </c>
      <c r="J4" s="117" t="s">
        <v>112</v>
      </c>
      <c r="K4" s="117" t="s">
        <v>113</v>
      </c>
      <c r="L4" s="117" t="s">
        <v>114</v>
      </c>
      <c r="M4" s="112" t="s">
        <v>33</v>
      </c>
      <c r="N4" s="124"/>
      <c r="O4" s="50" t="s">
        <v>26</v>
      </c>
      <c r="P4" s="84" t="s">
        <v>115</v>
      </c>
      <c r="Q4" s="84" t="s">
        <v>116</v>
      </c>
      <c r="R4" s="84" t="s">
        <v>117</v>
      </c>
      <c r="S4" s="84" t="s">
        <v>118</v>
      </c>
      <c r="T4" s="84" t="s">
        <v>119</v>
      </c>
      <c r="U4" s="84" t="s">
        <v>120</v>
      </c>
      <c r="V4" s="84" t="s">
        <v>121</v>
      </c>
      <c r="W4" s="84" t="s">
        <v>122</v>
      </c>
      <c r="X4" s="84" t="s">
        <v>123</v>
      </c>
      <c r="Y4" s="84" t="s">
        <v>124</v>
      </c>
    </row>
    <row r="5" spans="1:25" s="59" customFormat="1" ht="48" customHeight="1">
      <c r="A5" s="57" t="s">
        <v>41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113"/>
      <c r="P5" s="118" t="s">
        <v>98</v>
      </c>
      <c r="Q5" s="118" t="s">
        <v>93</v>
      </c>
      <c r="R5" s="113" t="s">
        <v>92</v>
      </c>
      <c r="S5" s="118" t="s">
        <v>93</v>
      </c>
      <c r="T5" s="118" t="s">
        <v>93</v>
      </c>
      <c r="U5" s="118" t="s">
        <v>93</v>
      </c>
      <c r="V5" s="118" t="s">
        <v>93</v>
      </c>
      <c r="W5" s="118" t="s">
        <v>93</v>
      </c>
      <c r="X5" s="118" t="s">
        <v>93</v>
      </c>
      <c r="Y5" s="113" t="s">
        <v>92</v>
      </c>
    </row>
    <row r="6" spans="1:25" ht="15.75">
      <c r="A6" s="127" t="s">
        <v>48</v>
      </c>
      <c r="O6" s="23"/>
    </row>
    <row r="7" spans="1:25" ht="15.75">
      <c r="A7" s="127" t="s">
        <v>63</v>
      </c>
      <c r="O7" s="23"/>
    </row>
    <row r="8" spans="1:25" ht="15.75">
      <c r="A8" s="127" t="s">
        <v>51</v>
      </c>
      <c r="O8" s="23"/>
    </row>
    <row r="9" spans="1:25" ht="15.75">
      <c r="A9" s="127" t="s">
        <v>52</v>
      </c>
      <c r="O9" s="23"/>
    </row>
    <row r="10" spans="1:25" ht="15.75">
      <c r="A10" s="127" t="s">
        <v>27</v>
      </c>
      <c r="O10" s="23"/>
    </row>
    <row r="11" spans="1:25" ht="15.75">
      <c r="A11" s="128" t="s">
        <v>53</v>
      </c>
      <c r="O11" s="23"/>
    </row>
    <row r="12" spans="1:25" ht="15.75">
      <c r="A12" s="127" t="s">
        <v>22</v>
      </c>
      <c r="O12" s="23"/>
    </row>
    <row r="13" spans="1:25" ht="15.75">
      <c r="A13" s="127" t="s">
        <v>23</v>
      </c>
      <c r="O13" s="23"/>
    </row>
    <row r="14" spans="1:25" ht="15.75">
      <c r="A14" s="127" t="s">
        <v>54</v>
      </c>
      <c r="O14" s="23"/>
    </row>
    <row r="15" spans="1:25" ht="15.75">
      <c r="A15" s="127" t="s">
        <v>55</v>
      </c>
      <c r="O15" s="23"/>
    </row>
    <row r="16" spans="1:25" ht="15.75">
      <c r="A16" s="127" t="s">
        <v>56</v>
      </c>
      <c r="O16" s="23"/>
    </row>
    <row r="17" spans="1:15" ht="15.75">
      <c r="A17" s="127" t="s">
        <v>101</v>
      </c>
      <c r="O17" s="23"/>
    </row>
    <row r="18" spans="1:15" ht="15.75">
      <c r="A18" s="127" t="s">
        <v>24</v>
      </c>
      <c r="O18" s="23"/>
    </row>
    <row r="19" spans="1:15" ht="15.75">
      <c r="A19" s="127" t="s">
        <v>57</v>
      </c>
      <c r="O19" s="23"/>
    </row>
    <row r="20" spans="1:15" ht="15.75">
      <c r="A20" s="127" t="s">
        <v>102</v>
      </c>
      <c r="O20" s="23"/>
    </row>
    <row r="21" spans="1:15" ht="15.75">
      <c r="A21" s="127" t="s">
        <v>91</v>
      </c>
      <c r="O21" s="23"/>
    </row>
    <row r="22" spans="1:15" ht="15.75">
      <c r="A22" s="127" t="s">
        <v>25</v>
      </c>
      <c r="O22" s="23"/>
    </row>
    <row r="23" spans="1:15" ht="15.75">
      <c r="A23" s="127" t="s">
        <v>58</v>
      </c>
      <c r="O23" s="23"/>
    </row>
    <row r="24" spans="1:15" ht="15.75">
      <c r="A24" s="127" t="s">
        <v>64</v>
      </c>
      <c r="O24" s="23"/>
    </row>
    <row r="25" spans="1:15" ht="15.75">
      <c r="A25" s="127" t="s">
        <v>85</v>
      </c>
      <c r="O25" s="23"/>
    </row>
    <row r="26" spans="1:15" ht="15.75">
      <c r="A26" s="127" t="s">
        <v>59</v>
      </c>
      <c r="O26" s="23"/>
    </row>
    <row r="27" spans="1:15" s="25" customFormat="1">
      <c r="A27" s="24" t="s">
        <v>18</v>
      </c>
    </row>
    <row r="28" spans="1:15" s="27" customFormat="1">
      <c r="A28" s="26" t="s">
        <v>19</v>
      </c>
    </row>
    <row r="29" spans="1:15">
      <c r="A29" s="28" t="s">
        <v>11</v>
      </c>
    </row>
    <row r="30" spans="1:15" s="30" customFormat="1">
      <c r="A30" s="29" t="s">
        <v>20</v>
      </c>
    </row>
    <row r="32" spans="1:15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5" sqref="E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103</v>
      </c>
      <c r="B2" s="49"/>
      <c r="C2" s="74"/>
    </row>
    <row r="3" spans="1:45" ht="17.25" customHeight="1">
      <c r="A3" s="76" t="s">
        <v>104</v>
      </c>
      <c r="B3" s="49"/>
      <c r="C3" s="74"/>
      <c r="E3" s="116"/>
    </row>
    <row r="4" spans="1:45" ht="90.75" customHeight="1" thickBot="1">
      <c r="A4" s="52" t="s">
        <v>5</v>
      </c>
      <c r="B4" s="108" t="s">
        <v>30</v>
      </c>
      <c r="C4" s="141"/>
      <c r="D4" s="109" t="s">
        <v>6</v>
      </c>
      <c r="E4" s="14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36</v>
      </c>
      <c r="B5" s="78"/>
      <c r="C5" s="145"/>
      <c r="D5" s="79"/>
      <c r="E5" s="113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48</v>
      </c>
      <c r="C6" s="107"/>
      <c r="E6" s="107"/>
      <c r="F6" s="143"/>
    </row>
    <row r="7" spans="1:45" ht="20.25">
      <c r="A7" s="46" t="s">
        <v>63</v>
      </c>
      <c r="C7" s="107"/>
      <c r="E7" s="114"/>
    </row>
    <row r="8" spans="1:45" ht="20.25">
      <c r="A8" s="46" t="s">
        <v>51</v>
      </c>
      <c r="C8" s="144"/>
      <c r="E8" s="107"/>
    </row>
    <row r="9" spans="1:45" ht="20.25">
      <c r="A9" s="82" t="s">
        <v>52</v>
      </c>
      <c r="C9" s="144"/>
      <c r="E9" s="107"/>
    </row>
    <row r="10" spans="1:45" ht="20.25">
      <c r="A10" s="46" t="s">
        <v>27</v>
      </c>
      <c r="C10" s="114"/>
      <c r="E10" s="114"/>
    </row>
    <row r="11" spans="1:45" ht="20.25">
      <c r="A11" s="46" t="s">
        <v>53</v>
      </c>
      <c r="C11" s="114"/>
      <c r="E11" s="114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07"/>
      <c r="E13" s="107"/>
    </row>
    <row r="14" spans="1:45" ht="20.25">
      <c r="A14" s="46" t="s">
        <v>54</v>
      </c>
      <c r="C14" s="107"/>
      <c r="E14" s="107"/>
    </row>
    <row r="15" spans="1:45" ht="20.25">
      <c r="A15" s="46" t="s">
        <v>55</v>
      </c>
      <c r="C15" s="114"/>
      <c r="E15" s="107"/>
    </row>
    <row r="16" spans="1:45" ht="20.25">
      <c r="A16" s="46" t="s">
        <v>56</v>
      </c>
      <c r="C16" s="144"/>
      <c r="E16" s="114"/>
    </row>
    <row r="17" spans="1:130" ht="20.25">
      <c r="A17" s="46" t="s">
        <v>101</v>
      </c>
      <c r="C17" s="144"/>
      <c r="E17" s="107"/>
    </row>
    <row r="18" spans="1:130" ht="20.25">
      <c r="A18" s="46" t="s">
        <v>24</v>
      </c>
      <c r="C18" s="114"/>
      <c r="E18" s="107"/>
    </row>
    <row r="19" spans="1:130" ht="20.25">
      <c r="A19" s="46" t="s">
        <v>57</v>
      </c>
      <c r="C19" s="114"/>
      <c r="E19" s="107"/>
    </row>
    <row r="20" spans="1:130" ht="20.25">
      <c r="A20" s="46" t="s">
        <v>102</v>
      </c>
      <c r="C20" s="107"/>
      <c r="E20" s="107"/>
    </row>
    <row r="21" spans="1:130" ht="20.25">
      <c r="A21" s="46" t="s">
        <v>91</v>
      </c>
      <c r="C21" s="114"/>
      <c r="E21" s="107"/>
    </row>
    <row r="22" spans="1:130" ht="20.25">
      <c r="A22" s="46" t="s">
        <v>25</v>
      </c>
      <c r="C22" s="114"/>
      <c r="E22" s="114"/>
    </row>
    <row r="23" spans="1:130" ht="20.25">
      <c r="A23" s="46" t="s">
        <v>58</v>
      </c>
      <c r="C23" s="144"/>
      <c r="E23" s="107"/>
    </row>
    <row r="24" spans="1:130" ht="20.25">
      <c r="A24" s="46" t="s">
        <v>64</v>
      </c>
      <c r="C24" s="114"/>
      <c r="E24" s="107"/>
    </row>
    <row r="25" spans="1:130" ht="20.25">
      <c r="A25" s="46" t="s">
        <v>85</v>
      </c>
      <c r="C25" s="114"/>
      <c r="E25" s="107"/>
    </row>
    <row r="26" spans="1:130" ht="20.25">
      <c r="A26" s="46" t="s">
        <v>59</v>
      </c>
      <c r="C26" s="107"/>
      <c r="E26" s="107"/>
    </row>
    <row r="27" spans="1:130" s="16" customFormat="1" ht="15.75">
      <c r="A27" s="15" t="s">
        <v>18</v>
      </c>
      <c r="B27"/>
      <c r="C27" s="103">
        <f>COUNTIF(C6:C26,"sim")</f>
        <v>0</v>
      </c>
      <c r="D27"/>
      <c r="E27" s="103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>COUNTIF(C6:C26,"não")</f>
        <v>0</v>
      </c>
      <c r="D28"/>
      <c r="E28" s="104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0</v>
      </c>
    </row>
    <row r="30" spans="1:130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" si="0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C5" sqref="C5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0" t="s">
        <v>5</v>
      </c>
      <c r="B4" s="119" t="s">
        <v>7</v>
      </c>
      <c r="C4" s="139" t="s">
        <v>95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18" t="s">
        <v>96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9" t="s">
        <v>48</v>
      </c>
      <c r="C6" s="107"/>
      <c r="U6" s="7"/>
      <c r="V6" s="7"/>
    </row>
    <row r="7" spans="1:29" ht="18">
      <c r="A7" s="129" t="s">
        <v>63</v>
      </c>
      <c r="C7" s="114"/>
      <c r="U7" s="7"/>
      <c r="V7" s="7"/>
    </row>
    <row r="8" spans="1:29" ht="18">
      <c r="A8" s="129" t="s">
        <v>51</v>
      </c>
      <c r="C8" s="107"/>
      <c r="U8" s="7"/>
      <c r="V8" s="7"/>
    </row>
    <row r="9" spans="1:29" ht="18">
      <c r="A9" s="130" t="s">
        <v>52</v>
      </c>
      <c r="C9" s="114"/>
      <c r="U9" s="7"/>
      <c r="V9" s="7"/>
    </row>
    <row r="10" spans="1:29" ht="18">
      <c r="A10" s="129" t="s">
        <v>27</v>
      </c>
      <c r="C10" s="107"/>
      <c r="U10" s="7"/>
      <c r="V10" s="7"/>
    </row>
    <row r="11" spans="1:29" ht="18">
      <c r="A11" s="129" t="s">
        <v>53</v>
      </c>
      <c r="C11" s="107"/>
      <c r="U11" s="7"/>
      <c r="V11" s="7"/>
    </row>
    <row r="12" spans="1:29" ht="18">
      <c r="A12" s="129" t="s">
        <v>22</v>
      </c>
      <c r="C12" s="107"/>
      <c r="U12" s="7"/>
      <c r="V12" s="7"/>
    </row>
    <row r="13" spans="1:29" ht="18">
      <c r="A13" s="129" t="s">
        <v>23</v>
      </c>
      <c r="C13" s="107"/>
      <c r="U13" s="7"/>
      <c r="V13" s="7"/>
    </row>
    <row r="14" spans="1:29" ht="18">
      <c r="A14" s="129" t="s">
        <v>54</v>
      </c>
      <c r="C14" s="107"/>
      <c r="U14" s="7"/>
      <c r="V14" s="7"/>
    </row>
    <row r="15" spans="1:29" ht="18">
      <c r="A15" s="129" t="s">
        <v>55</v>
      </c>
      <c r="C15" s="107"/>
      <c r="U15" s="7"/>
      <c r="V15" s="7"/>
    </row>
    <row r="16" spans="1:29" ht="18">
      <c r="A16" s="129" t="s">
        <v>56</v>
      </c>
      <c r="C16" s="114"/>
      <c r="U16" s="7"/>
      <c r="V16" s="7"/>
    </row>
    <row r="17" spans="1:123" ht="18">
      <c r="A17" s="129" t="s">
        <v>101</v>
      </c>
      <c r="C17" s="107"/>
      <c r="U17" s="7"/>
      <c r="V17" s="7"/>
    </row>
    <row r="18" spans="1:123" ht="15" customHeight="1">
      <c r="A18" s="129" t="s">
        <v>24</v>
      </c>
      <c r="C18" s="107"/>
      <c r="T18" s="8"/>
      <c r="U18" s="7"/>
      <c r="V18" s="7"/>
    </row>
    <row r="19" spans="1:123" ht="18">
      <c r="A19" s="129" t="s">
        <v>57</v>
      </c>
      <c r="C19" s="107"/>
      <c r="U19" s="7"/>
      <c r="V19" s="7"/>
    </row>
    <row r="20" spans="1:123" ht="18">
      <c r="A20" s="129" t="s">
        <v>102</v>
      </c>
      <c r="C20" s="107"/>
      <c r="U20" s="7"/>
      <c r="V20" s="7"/>
    </row>
    <row r="21" spans="1:123" ht="18">
      <c r="A21" s="129" t="s">
        <v>91</v>
      </c>
      <c r="C21" s="107"/>
      <c r="U21" s="7"/>
      <c r="V21" s="7"/>
    </row>
    <row r="22" spans="1:123" ht="18">
      <c r="A22" s="129" t="s">
        <v>25</v>
      </c>
      <c r="C22" s="114"/>
      <c r="U22" s="7"/>
      <c r="V22" s="7"/>
    </row>
    <row r="23" spans="1:123" ht="18">
      <c r="A23" s="129" t="s">
        <v>58</v>
      </c>
      <c r="C23" s="107"/>
      <c r="U23" s="7"/>
      <c r="V23" s="7"/>
    </row>
    <row r="24" spans="1:123" ht="18">
      <c r="A24" s="129" t="s">
        <v>64</v>
      </c>
      <c r="C24" s="107"/>
      <c r="U24" s="7"/>
      <c r="V24" s="7"/>
    </row>
    <row r="25" spans="1:123" ht="18">
      <c r="A25" s="129" t="s">
        <v>85</v>
      </c>
      <c r="C25" s="107"/>
      <c r="U25" s="7"/>
      <c r="V25" s="7"/>
    </row>
    <row r="26" spans="1:123" ht="18">
      <c r="A26" s="129" t="s">
        <v>59</v>
      </c>
      <c r="C26" s="107"/>
      <c r="U26" s="7"/>
      <c r="V26" s="7"/>
    </row>
    <row r="27" spans="1:123" s="16" customFormat="1" ht="15.75">
      <c r="A27" s="15" t="s">
        <v>18</v>
      </c>
      <c r="B27" s="16">
        <f>COUNTIF(B6:B26,"sim")</f>
        <v>0</v>
      </c>
      <c r="C27" s="103">
        <f>COUNTIF(C6:C26,"sim")</f>
        <v>0</v>
      </c>
      <c r="J27" s="16">
        <f t="shared" ref="J27:AO27" si="0">COUNTIF(J6:J26,"sim")</f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  <c r="X27" s="16">
        <f t="shared" si="0"/>
        <v>0</v>
      </c>
      <c r="Y27" s="16">
        <f t="shared" si="0"/>
        <v>0</v>
      </c>
      <c r="Z27" s="16">
        <f t="shared" si="0"/>
        <v>0</v>
      </c>
      <c r="AA27" s="16">
        <f t="shared" si="0"/>
        <v>0</v>
      </c>
      <c r="AB27" s="16">
        <f t="shared" si="0"/>
        <v>0</v>
      </c>
      <c r="AC27" s="16">
        <f t="shared" si="0"/>
        <v>0</v>
      </c>
      <c r="AD27" s="16">
        <f t="shared" si="0"/>
        <v>0</v>
      </c>
      <c r="AE27" s="16">
        <f t="shared" si="0"/>
        <v>0</v>
      </c>
      <c r="AF27" s="16">
        <f t="shared" si="0"/>
        <v>0</v>
      </c>
      <c r="AG27" s="16">
        <f t="shared" si="0"/>
        <v>0</v>
      </c>
      <c r="AH27" s="16">
        <f t="shared" si="0"/>
        <v>0</v>
      </c>
      <c r="AI27" s="16">
        <f t="shared" si="0"/>
        <v>0</v>
      </c>
      <c r="AJ27" s="16">
        <f t="shared" si="0"/>
        <v>0</v>
      </c>
      <c r="AK27" s="16">
        <f t="shared" si="0"/>
        <v>0</v>
      </c>
      <c r="AL27" s="16">
        <f t="shared" si="0"/>
        <v>0</v>
      </c>
      <c r="AM27" s="16">
        <f t="shared" si="0"/>
        <v>0</v>
      </c>
      <c r="AN27" s="16">
        <f t="shared" si="0"/>
        <v>0</v>
      </c>
      <c r="AO27" s="16">
        <f t="shared" si="0"/>
        <v>0</v>
      </c>
      <c r="AP27" s="16">
        <f t="shared" ref="AP27:BU27" si="1">COUNTIF(AP6:AP26,"sim")</f>
        <v>0</v>
      </c>
      <c r="AQ27" s="16">
        <f t="shared" si="1"/>
        <v>0</v>
      </c>
      <c r="AR27" s="16">
        <f t="shared" si="1"/>
        <v>0</v>
      </c>
      <c r="AS27" s="16">
        <f t="shared" si="1"/>
        <v>0</v>
      </c>
      <c r="AT27" s="16">
        <f t="shared" si="1"/>
        <v>0</v>
      </c>
      <c r="AU27" s="16">
        <f t="shared" si="1"/>
        <v>0</v>
      </c>
      <c r="AV27" s="16">
        <f t="shared" si="1"/>
        <v>0</v>
      </c>
      <c r="AW27" s="16">
        <f t="shared" si="1"/>
        <v>0</v>
      </c>
      <c r="AX27" s="16">
        <f t="shared" si="1"/>
        <v>0</v>
      </c>
      <c r="AY27" s="16">
        <f t="shared" si="1"/>
        <v>0</v>
      </c>
      <c r="AZ27" s="16">
        <f t="shared" si="1"/>
        <v>0</v>
      </c>
      <c r="BA27" s="16">
        <f t="shared" si="1"/>
        <v>0</v>
      </c>
      <c r="BB27" s="16">
        <f t="shared" si="1"/>
        <v>0</v>
      </c>
      <c r="BC27" s="16">
        <f t="shared" si="1"/>
        <v>0</v>
      </c>
      <c r="BD27" s="16">
        <f t="shared" si="1"/>
        <v>0</v>
      </c>
      <c r="BE27" s="16">
        <f t="shared" si="1"/>
        <v>0</v>
      </c>
      <c r="BF27" s="16">
        <f t="shared" si="1"/>
        <v>0</v>
      </c>
      <c r="BG27" s="16">
        <f t="shared" si="1"/>
        <v>0</v>
      </c>
      <c r="BH27" s="16">
        <f t="shared" si="1"/>
        <v>0</v>
      </c>
      <c r="BI27" s="16">
        <f t="shared" si="1"/>
        <v>0</v>
      </c>
      <c r="BJ27" s="16">
        <f t="shared" si="1"/>
        <v>0</v>
      </c>
      <c r="BK27" s="16">
        <f t="shared" si="1"/>
        <v>0</v>
      </c>
      <c r="BL27" s="16">
        <f t="shared" si="1"/>
        <v>0</v>
      </c>
      <c r="BM27" s="16">
        <f t="shared" si="1"/>
        <v>0</v>
      </c>
      <c r="BN27" s="16">
        <f t="shared" si="1"/>
        <v>0</v>
      </c>
      <c r="BO27" s="16">
        <f t="shared" si="1"/>
        <v>0</v>
      </c>
      <c r="BP27" s="16">
        <f t="shared" si="1"/>
        <v>0</v>
      </c>
      <c r="BQ27" s="16">
        <f t="shared" si="1"/>
        <v>0</v>
      </c>
      <c r="BR27" s="16">
        <f t="shared" si="1"/>
        <v>0</v>
      </c>
      <c r="BS27" s="16">
        <f t="shared" si="1"/>
        <v>0</v>
      </c>
      <c r="BT27" s="16">
        <f t="shared" si="1"/>
        <v>0</v>
      </c>
      <c r="BU27" s="16">
        <f t="shared" si="1"/>
        <v>0</v>
      </c>
      <c r="BV27" s="16">
        <f t="shared" ref="BV27:DA27" si="2">COUNTIF(BV6:BV26,"sim")</f>
        <v>0</v>
      </c>
      <c r="BW27" s="16">
        <f t="shared" si="2"/>
        <v>0</v>
      </c>
      <c r="BX27" s="16">
        <f t="shared" si="2"/>
        <v>0</v>
      </c>
      <c r="BY27" s="16">
        <f t="shared" si="2"/>
        <v>0</v>
      </c>
      <c r="BZ27" s="16">
        <f t="shared" si="2"/>
        <v>0</v>
      </c>
      <c r="CA27" s="16">
        <f t="shared" si="2"/>
        <v>0</v>
      </c>
      <c r="CB27" s="16">
        <f t="shared" si="2"/>
        <v>0</v>
      </c>
      <c r="CC27" s="16">
        <f t="shared" si="2"/>
        <v>0</v>
      </c>
      <c r="CD27" s="16">
        <f t="shared" si="2"/>
        <v>0</v>
      </c>
      <c r="CE27" s="16">
        <f t="shared" si="2"/>
        <v>0</v>
      </c>
      <c r="CF27" s="16">
        <f t="shared" si="2"/>
        <v>0</v>
      </c>
      <c r="CG27" s="16">
        <f t="shared" si="2"/>
        <v>0</v>
      </c>
      <c r="CH27" s="16">
        <f t="shared" si="2"/>
        <v>0</v>
      </c>
      <c r="CI27" s="16">
        <f t="shared" si="2"/>
        <v>0</v>
      </c>
      <c r="CJ27" s="16">
        <f t="shared" si="2"/>
        <v>0</v>
      </c>
      <c r="CK27" s="16">
        <f t="shared" si="2"/>
        <v>0</v>
      </c>
      <c r="CL27" s="16">
        <f t="shared" si="2"/>
        <v>0</v>
      </c>
      <c r="CM27" s="16">
        <f t="shared" si="2"/>
        <v>0</v>
      </c>
      <c r="CN27" s="16">
        <f t="shared" si="2"/>
        <v>0</v>
      </c>
      <c r="CO27" s="16">
        <f t="shared" si="2"/>
        <v>0</v>
      </c>
      <c r="CP27" s="16">
        <f t="shared" si="2"/>
        <v>0</v>
      </c>
      <c r="CQ27" s="16">
        <f t="shared" si="2"/>
        <v>0</v>
      </c>
      <c r="CR27" s="16">
        <f t="shared" si="2"/>
        <v>0</v>
      </c>
      <c r="CS27" s="16">
        <f t="shared" si="2"/>
        <v>0</v>
      </c>
      <c r="CT27" s="16">
        <f t="shared" si="2"/>
        <v>0</v>
      </c>
      <c r="CU27" s="16">
        <f t="shared" si="2"/>
        <v>0</v>
      </c>
      <c r="CV27" s="16">
        <f t="shared" si="2"/>
        <v>0</v>
      </c>
      <c r="CW27" s="16">
        <f t="shared" si="2"/>
        <v>0</v>
      </c>
      <c r="CX27" s="16">
        <f t="shared" si="2"/>
        <v>0</v>
      </c>
      <c r="CY27" s="16">
        <f t="shared" si="2"/>
        <v>0</v>
      </c>
      <c r="CZ27" s="16">
        <f t="shared" si="2"/>
        <v>0</v>
      </c>
      <c r="DA27" s="16">
        <f t="shared" si="2"/>
        <v>0</v>
      </c>
      <c r="DB27" s="16">
        <f t="shared" ref="DB27:EG27" si="3">COUNTIF(DB6:DB26,"sim")</f>
        <v>0</v>
      </c>
      <c r="DC27" s="16">
        <f t="shared" si="3"/>
        <v>0</v>
      </c>
      <c r="DD27" s="16">
        <f t="shared" si="3"/>
        <v>0</v>
      </c>
      <c r="DE27" s="16">
        <f t="shared" si="3"/>
        <v>0</v>
      </c>
      <c r="DF27" s="16">
        <f t="shared" si="3"/>
        <v>0</v>
      </c>
      <c r="DG27" s="16">
        <f t="shared" si="3"/>
        <v>0</v>
      </c>
      <c r="DH27" s="16">
        <f t="shared" si="3"/>
        <v>0</v>
      </c>
      <c r="DI27" s="16">
        <f t="shared" si="3"/>
        <v>0</v>
      </c>
      <c r="DJ27" s="16">
        <f t="shared" si="3"/>
        <v>0</v>
      </c>
      <c r="DK27" s="16">
        <f t="shared" si="3"/>
        <v>0</v>
      </c>
      <c r="DL27" s="16">
        <f t="shared" si="3"/>
        <v>0</v>
      </c>
      <c r="DM27" s="16">
        <f t="shared" si="3"/>
        <v>0</v>
      </c>
      <c r="DN27" s="16">
        <f t="shared" si="3"/>
        <v>0</v>
      </c>
      <c r="DO27" s="16">
        <f t="shared" si="3"/>
        <v>0</v>
      </c>
      <c r="DP27" s="16">
        <f t="shared" si="3"/>
        <v>0</v>
      </c>
      <c r="DQ27" s="16">
        <f t="shared" si="3"/>
        <v>0</v>
      </c>
      <c r="DR27" s="16">
        <f t="shared" si="3"/>
        <v>0</v>
      </c>
      <c r="DS27" s="16">
        <f t="shared" si="3"/>
        <v>0</v>
      </c>
    </row>
    <row r="28" spans="1:123" s="18" customFormat="1" ht="15.75">
      <c r="A28" s="17" t="s">
        <v>19</v>
      </c>
      <c r="B28" s="18">
        <f>COUNTIF(B6:B26,"não")</f>
        <v>0</v>
      </c>
      <c r="C28" s="104">
        <f>COUNTIF(C6:C26,"não")</f>
        <v>0</v>
      </c>
      <c r="J28" s="18">
        <f t="shared" ref="J28:AO28" si="4">COUNTIF(J6:J27,"não")</f>
        <v>0</v>
      </c>
      <c r="K28" s="18">
        <f t="shared" si="4"/>
        <v>0</v>
      </c>
      <c r="L28" s="18">
        <f t="shared" si="4"/>
        <v>0</v>
      </c>
      <c r="M28" s="18">
        <f t="shared" si="4"/>
        <v>0</v>
      </c>
      <c r="N28" s="18">
        <f t="shared" si="4"/>
        <v>0</v>
      </c>
      <c r="O28" s="18">
        <f t="shared" si="4"/>
        <v>0</v>
      </c>
      <c r="P28" s="18">
        <f t="shared" si="4"/>
        <v>0</v>
      </c>
      <c r="Q28" s="18">
        <f t="shared" si="4"/>
        <v>0</v>
      </c>
      <c r="R28" s="18">
        <f t="shared" si="4"/>
        <v>0</v>
      </c>
      <c r="S28" s="18">
        <f t="shared" si="4"/>
        <v>0</v>
      </c>
      <c r="T28" s="18">
        <f t="shared" si="4"/>
        <v>0</v>
      </c>
      <c r="U28" s="18">
        <f t="shared" si="4"/>
        <v>0</v>
      </c>
      <c r="V28" s="18">
        <f t="shared" si="4"/>
        <v>0</v>
      </c>
      <c r="W28" s="18">
        <f t="shared" si="4"/>
        <v>0</v>
      </c>
      <c r="X28" s="18">
        <f t="shared" si="4"/>
        <v>0</v>
      </c>
      <c r="Y28" s="18">
        <f t="shared" si="4"/>
        <v>0</v>
      </c>
      <c r="Z28" s="18">
        <f t="shared" si="4"/>
        <v>0</v>
      </c>
      <c r="AA28" s="18">
        <f t="shared" si="4"/>
        <v>0</v>
      </c>
      <c r="AB28" s="18">
        <f t="shared" si="4"/>
        <v>0</v>
      </c>
      <c r="AC28" s="18">
        <f t="shared" si="4"/>
        <v>0</v>
      </c>
      <c r="AD28" s="18">
        <f t="shared" si="4"/>
        <v>0</v>
      </c>
      <c r="AE28" s="18">
        <f t="shared" si="4"/>
        <v>0</v>
      </c>
      <c r="AF28" s="18">
        <f t="shared" si="4"/>
        <v>0</v>
      </c>
      <c r="AG28" s="18">
        <f t="shared" si="4"/>
        <v>0</v>
      </c>
      <c r="AH28" s="18">
        <f t="shared" si="4"/>
        <v>0</v>
      </c>
      <c r="AI28" s="18">
        <f t="shared" si="4"/>
        <v>0</v>
      </c>
      <c r="AJ28" s="18">
        <f t="shared" si="4"/>
        <v>0</v>
      </c>
      <c r="AK28" s="18">
        <f t="shared" si="4"/>
        <v>0</v>
      </c>
      <c r="AL28" s="18">
        <f t="shared" si="4"/>
        <v>0</v>
      </c>
      <c r="AM28" s="18">
        <f t="shared" si="4"/>
        <v>0</v>
      </c>
      <c r="AN28" s="18">
        <f t="shared" si="4"/>
        <v>0</v>
      </c>
      <c r="AO28" s="18">
        <f t="shared" si="4"/>
        <v>0</v>
      </c>
      <c r="AP28" s="18">
        <f t="shared" ref="AP28:BU28" si="5">COUNTIF(AP6:AP27,"não")</f>
        <v>0</v>
      </c>
      <c r="AQ28" s="18">
        <f t="shared" si="5"/>
        <v>0</v>
      </c>
      <c r="AR28" s="18">
        <f t="shared" si="5"/>
        <v>0</v>
      </c>
      <c r="AS28" s="18">
        <f t="shared" si="5"/>
        <v>0</v>
      </c>
      <c r="AT28" s="18">
        <f t="shared" si="5"/>
        <v>0</v>
      </c>
      <c r="AU28" s="18">
        <f t="shared" si="5"/>
        <v>0</v>
      </c>
      <c r="AV28" s="18">
        <f t="shared" si="5"/>
        <v>0</v>
      </c>
      <c r="AW28" s="18">
        <f t="shared" si="5"/>
        <v>0</v>
      </c>
      <c r="AX28" s="18">
        <f t="shared" si="5"/>
        <v>0</v>
      </c>
      <c r="AY28" s="18">
        <f t="shared" si="5"/>
        <v>0</v>
      </c>
      <c r="AZ28" s="18">
        <f t="shared" si="5"/>
        <v>0</v>
      </c>
      <c r="BA28" s="18">
        <f t="shared" si="5"/>
        <v>0</v>
      </c>
      <c r="BB28" s="18">
        <f t="shared" si="5"/>
        <v>0</v>
      </c>
      <c r="BC28" s="18">
        <f t="shared" si="5"/>
        <v>0</v>
      </c>
      <c r="BD28" s="18">
        <f t="shared" si="5"/>
        <v>0</v>
      </c>
      <c r="BE28" s="18">
        <f t="shared" si="5"/>
        <v>0</v>
      </c>
      <c r="BF28" s="18">
        <f t="shared" si="5"/>
        <v>0</v>
      </c>
      <c r="BG28" s="18">
        <f t="shared" si="5"/>
        <v>0</v>
      </c>
      <c r="BH28" s="18">
        <f t="shared" si="5"/>
        <v>0</v>
      </c>
      <c r="BI28" s="18">
        <f t="shared" si="5"/>
        <v>0</v>
      </c>
      <c r="BJ28" s="18">
        <f t="shared" si="5"/>
        <v>0</v>
      </c>
      <c r="BK28" s="18">
        <f t="shared" si="5"/>
        <v>0</v>
      </c>
      <c r="BL28" s="18">
        <f t="shared" si="5"/>
        <v>0</v>
      </c>
      <c r="BM28" s="18">
        <f t="shared" si="5"/>
        <v>0</v>
      </c>
      <c r="BN28" s="18">
        <f t="shared" si="5"/>
        <v>0</v>
      </c>
      <c r="BO28" s="18">
        <f t="shared" si="5"/>
        <v>0</v>
      </c>
      <c r="BP28" s="18">
        <f t="shared" si="5"/>
        <v>0</v>
      </c>
      <c r="BQ28" s="18">
        <f t="shared" si="5"/>
        <v>0</v>
      </c>
      <c r="BR28" s="18">
        <f t="shared" si="5"/>
        <v>0</v>
      </c>
      <c r="BS28" s="18">
        <f t="shared" si="5"/>
        <v>0</v>
      </c>
      <c r="BT28" s="18">
        <f t="shared" si="5"/>
        <v>0</v>
      </c>
      <c r="BU28" s="18">
        <f t="shared" si="5"/>
        <v>0</v>
      </c>
      <c r="BV28" s="18">
        <f t="shared" ref="BV28:DA28" si="6">COUNTIF(BV6:BV27,"não")</f>
        <v>0</v>
      </c>
      <c r="BW28" s="18">
        <f t="shared" si="6"/>
        <v>0</v>
      </c>
      <c r="BX28" s="18">
        <f t="shared" si="6"/>
        <v>0</v>
      </c>
      <c r="BY28" s="18">
        <f t="shared" si="6"/>
        <v>0</v>
      </c>
      <c r="BZ28" s="18">
        <f t="shared" si="6"/>
        <v>0</v>
      </c>
      <c r="CA28" s="18">
        <f t="shared" si="6"/>
        <v>0</v>
      </c>
      <c r="CB28" s="18">
        <f t="shared" si="6"/>
        <v>0</v>
      </c>
      <c r="CC28" s="18">
        <f t="shared" si="6"/>
        <v>0</v>
      </c>
      <c r="CD28" s="18">
        <f t="shared" si="6"/>
        <v>0</v>
      </c>
      <c r="CE28" s="18">
        <f t="shared" si="6"/>
        <v>0</v>
      </c>
      <c r="CF28" s="18">
        <f t="shared" si="6"/>
        <v>0</v>
      </c>
      <c r="CG28" s="18">
        <f t="shared" si="6"/>
        <v>0</v>
      </c>
      <c r="CH28" s="18">
        <f t="shared" si="6"/>
        <v>0</v>
      </c>
      <c r="CI28" s="18">
        <f t="shared" si="6"/>
        <v>0</v>
      </c>
      <c r="CJ28" s="18">
        <f t="shared" si="6"/>
        <v>0</v>
      </c>
      <c r="CK28" s="18">
        <f t="shared" si="6"/>
        <v>0</v>
      </c>
      <c r="CL28" s="18">
        <f t="shared" si="6"/>
        <v>0</v>
      </c>
      <c r="CM28" s="18">
        <f t="shared" si="6"/>
        <v>0</v>
      </c>
      <c r="CN28" s="18">
        <f t="shared" si="6"/>
        <v>0</v>
      </c>
      <c r="CO28" s="18">
        <f t="shared" si="6"/>
        <v>0</v>
      </c>
      <c r="CP28" s="18">
        <f t="shared" si="6"/>
        <v>0</v>
      </c>
      <c r="CQ28" s="18">
        <f t="shared" si="6"/>
        <v>0</v>
      </c>
      <c r="CR28" s="18">
        <f t="shared" si="6"/>
        <v>0</v>
      </c>
      <c r="CS28" s="18">
        <f t="shared" si="6"/>
        <v>0</v>
      </c>
      <c r="CT28" s="18">
        <f t="shared" si="6"/>
        <v>0</v>
      </c>
      <c r="CU28" s="18">
        <f t="shared" si="6"/>
        <v>0</v>
      </c>
      <c r="CV28" s="18">
        <f t="shared" si="6"/>
        <v>0</v>
      </c>
      <c r="CW28" s="18">
        <f t="shared" si="6"/>
        <v>0</v>
      </c>
      <c r="CX28" s="18">
        <f t="shared" si="6"/>
        <v>0</v>
      </c>
      <c r="CY28" s="18">
        <f t="shared" si="6"/>
        <v>0</v>
      </c>
      <c r="CZ28" s="18">
        <f t="shared" si="6"/>
        <v>0</v>
      </c>
      <c r="DA28" s="18">
        <f t="shared" si="6"/>
        <v>0</v>
      </c>
      <c r="DB28" s="18">
        <f t="shared" ref="DB28:EG28" si="7">COUNTIF(DB6:DB27,"não")</f>
        <v>0</v>
      </c>
      <c r="DC28" s="18">
        <f t="shared" si="7"/>
        <v>0</v>
      </c>
      <c r="DD28" s="18">
        <f t="shared" si="7"/>
        <v>0</v>
      </c>
      <c r="DE28" s="18">
        <f t="shared" si="7"/>
        <v>0</v>
      </c>
      <c r="DF28" s="18">
        <f t="shared" si="7"/>
        <v>0</v>
      </c>
      <c r="DG28" s="18">
        <f t="shared" si="7"/>
        <v>0</v>
      </c>
      <c r="DH28" s="18">
        <f t="shared" si="7"/>
        <v>0</v>
      </c>
      <c r="DI28" s="18">
        <f t="shared" si="7"/>
        <v>0</v>
      </c>
      <c r="DJ28" s="18">
        <f t="shared" si="7"/>
        <v>0</v>
      </c>
      <c r="DK28" s="18">
        <f t="shared" si="7"/>
        <v>0</v>
      </c>
      <c r="DL28" s="18">
        <f t="shared" si="7"/>
        <v>0</v>
      </c>
      <c r="DM28" s="18">
        <f t="shared" si="7"/>
        <v>0</v>
      </c>
      <c r="DN28" s="18">
        <f t="shared" si="7"/>
        <v>0</v>
      </c>
      <c r="DO28" s="18">
        <f t="shared" si="7"/>
        <v>0</v>
      </c>
      <c r="DP28" s="18">
        <f t="shared" si="7"/>
        <v>0</v>
      </c>
      <c r="DQ28" s="18">
        <f t="shared" si="7"/>
        <v>0</v>
      </c>
      <c r="DR28" s="18">
        <f t="shared" si="7"/>
        <v>0</v>
      </c>
      <c r="DS28" s="18">
        <f t="shared" si="7"/>
        <v>0</v>
      </c>
    </row>
    <row r="29" spans="1:123" ht="15.75">
      <c r="A29" s="14" t="s">
        <v>11</v>
      </c>
      <c r="B29">
        <f>COUNTIF(B6:B26,"ausente")</f>
        <v>0</v>
      </c>
      <c r="C29" s="40">
        <f>COUNTIF(C6:C26,"ausente")</f>
        <v>0</v>
      </c>
      <c r="J29">
        <f t="shared" ref="J29:AO29" si="8">COUNTIF(J6:J28,"ausente")</f>
        <v>0</v>
      </c>
      <c r="K29">
        <f t="shared" si="8"/>
        <v>0</v>
      </c>
      <c r="L29">
        <f t="shared" si="8"/>
        <v>0</v>
      </c>
      <c r="M29">
        <f t="shared" si="8"/>
        <v>0</v>
      </c>
      <c r="N29">
        <f t="shared" si="8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 t="shared" si="8"/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0</v>
      </c>
      <c r="AB29">
        <f t="shared" si="8"/>
        <v>0</v>
      </c>
      <c r="AC29">
        <f t="shared" si="8"/>
        <v>0</v>
      </c>
      <c r="AD29">
        <f t="shared" si="8"/>
        <v>0</v>
      </c>
      <c r="AE29">
        <f t="shared" si="8"/>
        <v>0</v>
      </c>
      <c r="AF29">
        <f t="shared" si="8"/>
        <v>0</v>
      </c>
      <c r="AG29">
        <f t="shared" si="8"/>
        <v>0</v>
      </c>
      <c r="AH29">
        <f t="shared" si="8"/>
        <v>0</v>
      </c>
      <c r="AI29">
        <f t="shared" si="8"/>
        <v>0</v>
      </c>
      <c r="AJ29">
        <f t="shared" si="8"/>
        <v>0</v>
      </c>
      <c r="AK29">
        <f t="shared" si="8"/>
        <v>0</v>
      </c>
      <c r="AL29">
        <f t="shared" si="8"/>
        <v>0</v>
      </c>
      <c r="AM29">
        <f t="shared" si="8"/>
        <v>0</v>
      </c>
      <c r="AN29">
        <f t="shared" si="8"/>
        <v>0</v>
      </c>
      <c r="AO29">
        <f t="shared" si="8"/>
        <v>0</v>
      </c>
      <c r="AP29">
        <f t="shared" ref="AP29:BU29" si="9">COUNTIF(AP6:AP28,"ausente")</f>
        <v>0</v>
      </c>
      <c r="AQ29">
        <f t="shared" si="9"/>
        <v>0</v>
      </c>
      <c r="AR29">
        <f t="shared" si="9"/>
        <v>0</v>
      </c>
      <c r="AS29">
        <f t="shared" si="9"/>
        <v>0</v>
      </c>
      <c r="AT29">
        <f t="shared" si="9"/>
        <v>0</v>
      </c>
      <c r="AU29">
        <f t="shared" si="9"/>
        <v>0</v>
      </c>
      <c r="AV29">
        <f t="shared" si="9"/>
        <v>0</v>
      </c>
      <c r="AW29">
        <f t="shared" si="9"/>
        <v>0</v>
      </c>
      <c r="AX29">
        <f t="shared" si="9"/>
        <v>0</v>
      </c>
      <c r="AY29">
        <f t="shared" si="9"/>
        <v>0</v>
      </c>
      <c r="AZ29">
        <f t="shared" si="9"/>
        <v>0</v>
      </c>
      <c r="BA29">
        <f t="shared" si="9"/>
        <v>0</v>
      </c>
      <c r="BB29">
        <f t="shared" si="9"/>
        <v>0</v>
      </c>
      <c r="BC29">
        <f t="shared" si="9"/>
        <v>0</v>
      </c>
      <c r="BD29">
        <f t="shared" si="9"/>
        <v>0</v>
      </c>
      <c r="BE29">
        <f t="shared" si="9"/>
        <v>0</v>
      </c>
      <c r="BF29">
        <f t="shared" si="9"/>
        <v>0</v>
      </c>
      <c r="BG29">
        <f t="shared" si="9"/>
        <v>0</v>
      </c>
      <c r="BH29">
        <f t="shared" si="9"/>
        <v>0</v>
      </c>
      <c r="BI29">
        <f t="shared" si="9"/>
        <v>0</v>
      </c>
      <c r="BJ29">
        <f t="shared" si="9"/>
        <v>0</v>
      </c>
      <c r="BK29">
        <f t="shared" si="9"/>
        <v>0</v>
      </c>
      <c r="BL29">
        <f t="shared" si="9"/>
        <v>0</v>
      </c>
      <c r="BM29">
        <f t="shared" si="9"/>
        <v>0</v>
      </c>
      <c r="BN29">
        <f t="shared" si="9"/>
        <v>0</v>
      </c>
      <c r="BO29">
        <f t="shared" si="9"/>
        <v>0</v>
      </c>
      <c r="BP29">
        <f t="shared" si="9"/>
        <v>0</v>
      </c>
      <c r="BQ29">
        <f t="shared" si="9"/>
        <v>0</v>
      </c>
      <c r="BR29">
        <f t="shared" si="9"/>
        <v>0</v>
      </c>
      <c r="BS29">
        <f t="shared" si="9"/>
        <v>0</v>
      </c>
      <c r="BT29">
        <f t="shared" si="9"/>
        <v>0</v>
      </c>
      <c r="BU29">
        <f t="shared" si="9"/>
        <v>0</v>
      </c>
      <c r="BV29">
        <f t="shared" ref="BV29:DA29" si="10">COUNTIF(BV6:BV28,"ausente")</f>
        <v>0</v>
      </c>
      <c r="BW29">
        <f t="shared" si="10"/>
        <v>0</v>
      </c>
      <c r="BX29">
        <f t="shared" si="10"/>
        <v>0</v>
      </c>
      <c r="BY29">
        <f t="shared" si="10"/>
        <v>0</v>
      </c>
      <c r="BZ29">
        <f t="shared" si="10"/>
        <v>0</v>
      </c>
      <c r="CA29">
        <f t="shared" si="10"/>
        <v>0</v>
      </c>
      <c r="CB29">
        <f t="shared" si="10"/>
        <v>0</v>
      </c>
      <c r="CC29">
        <f t="shared" si="10"/>
        <v>0</v>
      </c>
      <c r="CD29">
        <f t="shared" si="10"/>
        <v>0</v>
      </c>
      <c r="CE29">
        <f t="shared" si="10"/>
        <v>0</v>
      </c>
      <c r="CF29">
        <f t="shared" si="10"/>
        <v>0</v>
      </c>
      <c r="CG29">
        <f t="shared" si="10"/>
        <v>0</v>
      </c>
      <c r="CH29">
        <f t="shared" si="10"/>
        <v>0</v>
      </c>
      <c r="CI29">
        <f t="shared" si="10"/>
        <v>0</v>
      </c>
      <c r="CJ29">
        <f t="shared" si="10"/>
        <v>0</v>
      </c>
      <c r="CK29">
        <f t="shared" si="10"/>
        <v>0</v>
      </c>
      <c r="CL29">
        <f t="shared" si="10"/>
        <v>0</v>
      </c>
      <c r="CM29">
        <f t="shared" si="10"/>
        <v>0</v>
      </c>
      <c r="CN29">
        <f t="shared" si="10"/>
        <v>0</v>
      </c>
      <c r="CO29">
        <f t="shared" si="10"/>
        <v>0</v>
      </c>
      <c r="CP29">
        <f t="shared" si="10"/>
        <v>0</v>
      </c>
      <c r="CQ29">
        <f t="shared" si="10"/>
        <v>0</v>
      </c>
      <c r="CR29">
        <f t="shared" si="10"/>
        <v>0</v>
      </c>
      <c r="CS29">
        <f t="shared" si="10"/>
        <v>0</v>
      </c>
      <c r="CT29">
        <f t="shared" si="10"/>
        <v>0</v>
      </c>
      <c r="CU29">
        <f t="shared" si="10"/>
        <v>0</v>
      </c>
      <c r="CV29">
        <f t="shared" si="10"/>
        <v>0</v>
      </c>
      <c r="CW29">
        <f t="shared" si="10"/>
        <v>0</v>
      </c>
      <c r="CX29">
        <f t="shared" si="10"/>
        <v>0</v>
      </c>
      <c r="CY29">
        <f t="shared" si="10"/>
        <v>0</v>
      </c>
      <c r="CZ29">
        <f t="shared" si="10"/>
        <v>0</v>
      </c>
      <c r="DA29">
        <f t="shared" si="10"/>
        <v>0</v>
      </c>
      <c r="DB29">
        <f t="shared" ref="DB29:EG29" si="11">COUNTIF(DB6:DB28,"ausente")</f>
        <v>0</v>
      </c>
      <c r="DC29">
        <f t="shared" si="11"/>
        <v>0</v>
      </c>
      <c r="DD29">
        <f t="shared" si="11"/>
        <v>0</v>
      </c>
      <c r="DE29">
        <f t="shared" si="11"/>
        <v>0</v>
      </c>
      <c r="DF29">
        <f t="shared" si="11"/>
        <v>0</v>
      </c>
      <c r="DG29">
        <f t="shared" si="11"/>
        <v>0</v>
      </c>
      <c r="DH29">
        <f t="shared" si="11"/>
        <v>0</v>
      </c>
      <c r="DI29">
        <f t="shared" si="11"/>
        <v>0</v>
      </c>
      <c r="DJ29">
        <f t="shared" si="11"/>
        <v>0</v>
      </c>
      <c r="DK29">
        <f t="shared" si="11"/>
        <v>0</v>
      </c>
      <c r="DL29">
        <f t="shared" si="11"/>
        <v>0</v>
      </c>
      <c r="DM29">
        <f t="shared" si="11"/>
        <v>0</v>
      </c>
      <c r="DN29">
        <f t="shared" si="11"/>
        <v>0</v>
      </c>
      <c r="DO29">
        <f t="shared" si="11"/>
        <v>0</v>
      </c>
      <c r="DP29">
        <f t="shared" si="11"/>
        <v>0</v>
      </c>
      <c r="DQ29">
        <f t="shared" si="11"/>
        <v>0</v>
      </c>
      <c r="DR29">
        <f t="shared" si="11"/>
        <v>0</v>
      </c>
      <c r="DS29">
        <f t="shared" si="11"/>
        <v>0</v>
      </c>
    </row>
    <row r="30" spans="1:123" s="20" customFormat="1" ht="15.75">
      <c r="A30" s="19" t="s">
        <v>20</v>
      </c>
      <c r="B30" s="20">
        <f>COUNTIF(B6:B26,"abstenção")</f>
        <v>0</v>
      </c>
      <c r="C30" s="105">
        <f>COUNTIF(C6:C26,"abstenção")</f>
        <v>0</v>
      </c>
      <c r="J30" s="20">
        <f t="shared" ref="J30:AO30" si="12">COUNTIF(J10:J29,"abstenção")</f>
        <v>0</v>
      </c>
      <c r="K30" s="20">
        <f t="shared" si="12"/>
        <v>0</v>
      </c>
      <c r="L30" s="20">
        <f t="shared" si="12"/>
        <v>0</v>
      </c>
      <c r="M30" s="20">
        <f t="shared" si="12"/>
        <v>0</v>
      </c>
      <c r="N30" s="20">
        <f t="shared" si="12"/>
        <v>0</v>
      </c>
      <c r="O30" s="20">
        <f t="shared" si="12"/>
        <v>0</v>
      </c>
      <c r="P30" s="20">
        <f t="shared" si="12"/>
        <v>0</v>
      </c>
      <c r="Q30" s="20">
        <f t="shared" si="12"/>
        <v>0</v>
      </c>
      <c r="R30" s="20">
        <f t="shared" si="12"/>
        <v>0</v>
      </c>
      <c r="S30" s="20">
        <f t="shared" si="12"/>
        <v>0</v>
      </c>
      <c r="T30" s="20">
        <f t="shared" si="12"/>
        <v>0</v>
      </c>
      <c r="U30" s="20">
        <f t="shared" si="12"/>
        <v>0</v>
      </c>
      <c r="V30" s="20">
        <f t="shared" si="12"/>
        <v>0</v>
      </c>
      <c r="W30" s="20">
        <f t="shared" si="12"/>
        <v>0</v>
      </c>
      <c r="X30" s="20">
        <f t="shared" si="12"/>
        <v>0</v>
      </c>
      <c r="Y30" s="20">
        <f t="shared" si="12"/>
        <v>0</v>
      </c>
      <c r="Z30" s="20">
        <f t="shared" si="12"/>
        <v>0</v>
      </c>
      <c r="AA30" s="20">
        <f t="shared" si="12"/>
        <v>0</v>
      </c>
      <c r="AB30" s="20">
        <f t="shared" si="12"/>
        <v>0</v>
      </c>
      <c r="AC30" s="20">
        <f t="shared" si="12"/>
        <v>0</v>
      </c>
      <c r="AD30" s="20">
        <f t="shared" si="12"/>
        <v>0</v>
      </c>
      <c r="AE30" s="20">
        <f t="shared" si="12"/>
        <v>0</v>
      </c>
      <c r="AF30" s="20">
        <f t="shared" si="12"/>
        <v>0</v>
      </c>
      <c r="AG30" s="20">
        <f t="shared" si="12"/>
        <v>0</v>
      </c>
      <c r="AH30" s="20">
        <f t="shared" si="12"/>
        <v>0</v>
      </c>
      <c r="AI30" s="20">
        <f t="shared" si="12"/>
        <v>0</v>
      </c>
      <c r="AJ30" s="20">
        <f t="shared" si="12"/>
        <v>0</v>
      </c>
      <c r="AK30" s="20">
        <f t="shared" si="12"/>
        <v>0</v>
      </c>
      <c r="AL30" s="20">
        <f t="shared" si="12"/>
        <v>0</v>
      </c>
      <c r="AM30" s="20">
        <f t="shared" si="12"/>
        <v>0</v>
      </c>
      <c r="AN30" s="20">
        <f t="shared" si="12"/>
        <v>0</v>
      </c>
      <c r="AO30" s="20">
        <f t="shared" si="12"/>
        <v>0</v>
      </c>
      <c r="AP30" s="20">
        <f t="shared" ref="AP30:BU30" si="13">COUNTIF(AP10:AP29,"abstenção")</f>
        <v>0</v>
      </c>
      <c r="AQ30" s="20">
        <f t="shared" si="13"/>
        <v>0</v>
      </c>
      <c r="AR30" s="20">
        <f t="shared" si="13"/>
        <v>0</v>
      </c>
      <c r="AS30" s="20">
        <f t="shared" si="13"/>
        <v>0</v>
      </c>
      <c r="AT30" s="20">
        <f t="shared" si="13"/>
        <v>0</v>
      </c>
      <c r="AU30" s="20">
        <f t="shared" si="13"/>
        <v>0</v>
      </c>
      <c r="AV30" s="20">
        <f t="shared" si="13"/>
        <v>0</v>
      </c>
      <c r="AW30" s="20">
        <f t="shared" si="13"/>
        <v>0</v>
      </c>
      <c r="AX30" s="20">
        <f t="shared" si="13"/>
        <v>0</v>
      </c>
      <c r="AY30" s="20">
        <f t="shared" si="13"/>
        <v>0</v>
      </c>
      <c r="AZ30" s="20">
        <f t="shared" si="13"/>
        <v>0</v>
      </c>
      <c r="BA30" s="20">
        <f t="shared" si="13"/>
        <v>0</v>
      </c>
      <c r="BB30" s="20">
        <f t="shared" si="13"/>
        <v>0</v>
      </c>
      <c r="BC30" s="20">
        <f t="shared" si="13"/>
        <v>0</v>
      </c>
      <c r="BD30" s="20">
        <f t="shared" si="13"/>
        <v>0</v>
      </c>
      <c r="BE30" s="20">
        <f t="shared" si="13"/>
        <v>0</v>
      </c>
      <c r="BF30" s="20">
        <f t="shared" si="13"/>
        <v>0</v>
      </c>
      <c r="BG30" s="20">
        <f t="shared" si="13"/>
        <v>0</v>
      </c>
      <c r="BH30" s="20">
        <f t="shared" si="13"/>
        <v>0</v>
      </c>
      <c r="BI30" s="20">
        <f t="shared" si="13"/>
        <v>0</v>
      </c>
      <c r="BJ30" s="20">
        <f t="shared" si="13"/>
        <v>0</v>
      </c>
      <c r="BK30" s="20">
        <f t="shared" si="13"/>
        <v>0</v>
      </c>
      <c r="BL30" s="20">
        <f t="shared" si="13"/>
        <v>0</v>
      </c>
      <c r="BM30" s="20">
        <f t="shared" si="13"/>
        <v>0</v>
      </c>
      <c r="BN30" s="20">
        <f t="shared" si="13"/>
        <v>0</v>
      </c>
      <c r="BO30" s="20">
        <f t="shared" si="13"/>
        <v>0</v>
      </c>
      <c r="BP30" s="20">
        <f t="shared" si="13"/>
        <v>0</v>
      </c>
      <c r="BQ30" s="20">
        <f t="shared" si="13"/>
        <v>0</v>
      </c>
      <c r="BR30" s="20">
        <f t="shared" si="13"/>
        <v>0</v>
      </c>
      <c r="BS30" s="20">
        <f t="shared" si="13"/>
        <v>0</v>
      </c>
      <c r="BT30" s="20">
        <f t="shared" si="13"/>
        <v>0</v>
      </c>
      <c r="BU30" s="20">
        <f t="shared" si="13"/>
        <v>0</v>
      </c>
      <c r="BV30" s="20">
        <f t="shared" ref="BV30:DA30" si="14">COUNTIF(BV10:BV29,"abstenção")</f>
        <v>0</v>
      </c>
      <c r="BW30" s="20">
        <f t="shared" si="14"/>
        <v>0</v>
      </c>
      <c r="BX30" s="20">
        <f t="shared" si="14"/>
        <v>0</v>
      </c>
      <c r="BY30" s="20">
        <f t="shared" si="14"/>
        <v>0</v>
      </c>
      <c r="BZ30" s="20">
        <f t="shared" si="14"/>
        <v>0</v>
      </c>
      <c r="CA30" s="20">
        <f t="shared" si="14"/>
        <v>0</v>
      </c>
      <c r="CB30" s="20">
        <f t="shared" si="14"/>
        <v>0</v>
      </c>
      <c r="CC30" s="20">
        <f t="shared" si="14"/>
        <v>0</v>
      </c>
      <c r="CD30" s="20">
        <f t="shared" si="14"/>
        <v>0</v>
      </c>
      <c r="CE30" s="20">
        <f t="shared" si="14"/>
        <v>0</v>
      </c>
      <c r="CF30" s="20">
        <f t="shared" si="14"/>
        <v>0</v>
      </c>
      <c r="CG30" s="20">
        <f t="shared" si="14"/>
        <v>0</v>
      </c>
      <c r="CH30" s="20">
        <f t="shared" si="14"/>
        <v>0</v>
      </c>
      <c r="CI30" s="20">
        <f t="shared" si="14"/>
        <v>0</v>
      </c>
      <c r="CJ30" s="20">
        <f t="shared" si="14"/>
        <v>0</v>
      </c>
      <c r="CK30" s="20">
        <f t="shared" si="14"/>
        <v>0</v>
      </c>
      <c r="CL30" s="20">
        <f t="shared" si="14"/>
        <v>0</v>
      </c>
      <c r="CM30" s="20">
        <f t="shared" si="14"/>
        <v>0</v>
      </c>
      <c r="CN30" s="20">
        <f t="shared" si="14"/>
        <v>0</v>
      </c>
      <c r="CO30" s="20">
        <f t="shared" si="14"/>
        <v>0</v>
      </c>
      <c r="CP30" s="20">
        <f t="shared" si="14"/>
        <v>0</v>
      </c>
      <c r="CQ30" s="20">
        <f t="shared" si="14"/>
        <v>0</v>
      </c>
      <c r="CR30" s="20">
        <f t="shared" si="14"/>
        <v>0</v>
      </c>
      <c r="CS30" s="20">
        <f t="shared" si="14"/>
        <v>0</v>
      </c>
      <c r="CT30" s="20">
        <f t="shared" si="14"/>
        <v>0</v>
      </c>
      <c r="CU30" s="20">
        <f t="shared" si="14"/>
        <v>0</v>
      </c>
      <c r="CV30" s="20">
        <f t="shared" si="14"/>
        <v>0</v>
      </c>
      <c r="CW30" s="20">
        <f t="shared" si="14"/>
        <v>0</v>
      </c>
      <c r="CX30" s="20">
        <f t="shared" si="14"/>
        <v>0</v>
      </c>
      <c r="CY30" s="20">
        <f t="shared" si="14"/>
        <v>0</v>
      </c>
      <c r="CZ30" s="20">
        <f t="shared" si="14"/>
        <v>0</v>
      </c>
      <c r="DA30" s="20">
        <f t="shared" si="14"/>
        <v>0</v>
      </c>
      <c r="DB30" s="20">
        <f t="shared" ref="DB30:EG30" si="15">COUNTIF(DB10:DB29,"abstenção")</f>
        <v>0</v>
      </c>
      <c r="DC30" s="20">
        <f t="shared" si="15"/>
        <v>0</v>
      </c>
      <c r="DD30" s="20">
        <f t="shared" si="15"/>
        <v>0</v>
      </c>
      <c r="DE30" s="20">
        <f t="shared" si="15"/>
        <v>0</v>
      </c>
      <c r="DF30" s="20">
        <f t="shared" si="15"/>
        <v>0</v>
      </c>
      <c r="DG30" s="20">
        <f t="shared" si="15"/>
        <v>0</v>
      </c>
      <c r="DH30" s="20">
        <f t="shared" si="15"/>
        <v>0</v>
      </c>
      <c r="DI30" s="20">
        <f t="shared" si="15"/>
        <v>0</v>
      </c>
      <c r="DJ30" s="20">
        <f t="shared" si="15"/>
        <v>0</v>
      </c>
      <c r="DK30" s="20">
        <f t="shared" si="15"/>
        <v>0</v>
      </c>
      <c r="DL30" s="20">
        <f t="shared" si="15"/>
        <v>0</v>
      </c>
      <c r="DM30" s="20">
        <f t="shared" si="15"/>
        <v>0</v>
      </c>
      <c r="DN30" s="20">
        <f t="shared" si="15"/>
        <v>0</v>
      </c>
      <c r="DO30" s="20">
        <f t="shared" si="15"/>
        <v>0</v>
      </c>
      <c r="DP30" s="20">
        <f t="shared" si="15"/>
        <v>0</v>
      </c>
      <c r="DQ30" s="20">
        <f t="shared" si="15"/>
        <v>0</v>
      </c>
      <c r="DR30" s="20">
        <f t="shared" si="15"/>
        <v>0</v>
      </c>
      <c r="DS30" s="20">
        <f t="shared" si="15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G38"/>
  <sheetViews>
    <sheetView workbookViewId="0">
      <pane xSplit="1" topLeftCell="B1" activePane="topRight" state="frozen"/>
      <selection pane="topRight" activeCell="K7" sqref="K7"/>
    </sheetView>
  </sheetViews>
  <sheetFormatPr defaultRowHeight="15"/>
  <cols>
    <col min="1" max="1" width="49.7109375" customWidth="1"/>
    <col min="2" max="2" width="22.85546875" customWidth="1"/>
    <col min="3" max="7" width="28.5703125" customWidth="1"/>
  </cols>
  <sheetData>
    <row r="1" spans="1:7">
      <c r="A1" s="76" t="s">
        <v>8</v>
      </c>
      <c r="B1" s="2"/>
    </row>
    <row r="2" spans="1:7">
      <c r="A2" s="76" t="s">
        <v>103</v>
      </c>
      <c r="B2" s="2"/>
    </row>
    <row r="3" spans="1:7" ht="15.75" thickBot="1">
      <c r="A3" s="121" t="s">
        <v>104</v>
      </c>
      <c r="B3" s="2"/>
    </row>
    <row r="4" spans="1:7" ht="78.75" customHeight="1" thickBot="1">
      <c r="A4" s="120" t="s">
        <v>5</v>
      </c>
      <c r="B4" s="111" t="s">
        <v>21</v>
      </c>
      <c r="C4" s="139" t="s">
        <v>125</v>
      </c>
      <c r="D4" s="139" t="s">
        <v>126</v>
      </c>
      <c r="E4" s="139" t="s">
        <v>127</v>
      </c>
      <c r="F4" s="139" t="s">
        <v>128</v>
      </c>
      <c r="G4" s="139" t="s">
        <v>129</v>
      </c>
    </row>
    <row r="5" spans="1:7" s="6" customFormat="1" ht="60.75" customHeight="1">
      <c r="A5" s="122"/>
      <c r="B5" s="111"/>
      <c r="C5" s="113" t="s">
        <v>99</v>
      </c>
      <c r="D5" s="118" t="s">
        <v>96</v>
      </c>
      <c r="E5" s="113" t="s">
        <v>99</v>
      </c>
      <c r="F5" s="113" t="s">
        <v>99</v>
      </c>
      <c r="G5" s="113" t="s">
        <v>99</v>
      </c>
    </row>
    <row r="6" spans="1:7" ht="15.75">
      <c r="A6" s="127" t="s">
        <v>48</v>
      </c>
      <c r="C6" s="114" t="s">
        <v>50</v>
      </c>
      <c r="D6" s="114"/>
      <c r="E6" s="114" t="s">
        <v>50</v>
      </c>
      <c r="F6" s="114" t="s">
        <v>50</v>
      </c>
      <c r="G6" s="114" t="s">
        <v>50</v>
      </c>
    </row>
    <row r="7" spans="1:7" ht="15.75">
      <c r="A7" s="127" t="s">
        <v>63</v>
      </c>
      <c r="C7" s="107" t="s">
        <v>100</v>
      </c>
      <c r="D7" s="107"/>
      <c r="E7" s="107" t="s">
        <v>100</v>
      </c>
      <c r="F7" s="107" t="s">
        <v>100</v>
      </c>
      <c r="G7" s="107" t="s">
        <v>100</v>
      </c>
    </row>
    <row r="8" spans="1:7" ht="15.75">
      <c r="A8" s="127" t="s">
        <v>51</v>
      </c>
      <c r="C8" s="107" t="s">
        <v>100</v>
      </c>
      <c r="D8" s="107"/>
      <c r="E8" s="107" t="s">
        <v>100</v>
      </c>
      <c r="F8" s="107" t="s">
        <v>100</v>
      </c>
      <c r="G8" s="107" t="s">
        <v>100</v>
      </c>
    </row>
    <row r="9" spans="1:7" ht="15.75">
      <c r="A9" s="128" t="s">
        <v>52</v>
      </c>
      <c r="C9" s="107" t="s">
        <v>100</v>
      </c>
      <c r="D9" s="107"/>
      <c r="E9" s="107" t="s">
        <v>100</v>
      </c>
      <c r="F9" s="107" t="s">
        <v>100</v>
      </c>
      <c r="G9" s="107" t="s">
        <v>100</v>
      </c>
    </row>
    <row r="10" spans="1:7" ht="15.75">
      <c r="A10" s="127" t="s">
        <v>27</v>
      </c>
      <c r="C10" s="107" t="s">
        <v>100</v>
      </c>
      <c r="D10" s="107"/>
      <c r="E10" s="107" t="s">
        <v>100</v>
      </c>
      <c r="F10" s="107" t="s">
        <v>100</v>
      </c>
      <c r="G10" s="107" t="s">
        <v>100</v>
      </c>
    </row>
    <row r="11" spans="1:7" ht="15.75">
      <c r="A11" s="127" t="s">
        <v>53</v>
      </c>
      <c r="C11" s="107" t="s">
        <v>100</v>
      </c>
      <c r="D11" s="107"/>
      <c r="E11" s="107" t="s">
        <v>100</v>
      </c>
      <c r="F11" s="107" t="s">
        <v>100</v>
      </c>
      <c r="G11" s="107" t="s">
        <v>100</v>
      </c>
    </row>
    <row r="12" spans="1:7" ht="15.75">
      <c r="A12" s="127" t="s">
        <v>22</v>
      </c>
      <c r="C12" s="107" t="s">
        <v>100</v>
      </c>
      <c r="D12" s="107"/>
      <c r="E12" s="107" t="s">
        <v>100</v>
      </c>
      <c r="F12" s="107" t="s">
        <v>100</v>
      </c>
      <c r="G12" s="107" t="s">
        <v>100</v>
      </c>
    </row>
    <row r="13" spans="1:7" ht="15.75">
      <c r="A13" s="127" t="s">
        <v>23</v>
      </c>
      <c r="C13" s="114" t="s">
        <v>50</v>
      </c>
      <c r="D13" s="114"/>
      <c r="E13" s="114" t="s">
        <v>50</v>
      </c>
      <c r="F13" s="114" t="s">
        <v>50</v>
      </c>
      <c r="G13" s="114" t="s">
        <v>50</v>
      </c>
    </row>
    <row r="14" spans="1:7" ht="15.75">
      <c r="A14" s="127" t="s">
        <v>54</v>
      </c>
      <c r="C14" s="114" t="s">
        <v>50</v>
      </c>
      <c r="D14" s="114"/>
      <c r="E14" s="114" t="s">
        <v>50</v>
      </c>
      <c r="F14" s="114" t="s">
        <v>50</v>
      </c>
      <c r="G14" s="114" t="s">
        <v>50</v>
      </c>
    </row>
    <row r="15" spans="1:7" ht="15.75">
      <c r="A15" s="127" t="s">
        <v>55</v>
      </c>
      <c r="B15" s="138"/>
      <c r="C15" s="107" t="s">
        <v>100</v>
      </c>
      <c r="D15" s="107"/>
      <c r="E15" s="107" t="s">
        <v>100</v>
      </c>
      <c r="F15" s="107" t="s">
        <v>100</v>
      </c>
      <c r="G15" s="107" t="s">
        <v>100</v>
      </c>
    </row>
    <row r="16" spans="1:7" ht="15.75">
      <c r="A16" s="127" t="s">
        <v>56</v>
      </c>
      <c r="C16" s="107" t="s">
        <v>100</v>
      </c>
      <c r="D16" s="107"/>
      <c r="E16" s="107" t="s">
        <v>100</v>
      </c>
      <c r="F16" s="107" t="s">
        <v>100</v>
      </c>
      <c r="G16" s="107" t="s">
        <v>100</v>
      </c>
    </row>
    <row r="17" spans="1:7" ht="15.75">
      <c r="A17" s="127" t="s">
        <v>101</v>
      </c>
      <c r="C17" s="107" t="s">
        <v>100</v>
      </c>
      <c r="D17" s="107"/>
      <c r="E17" s="107" t="s">
        <v>100</v>
      </c>
      <c r="F17" s="107" t="s">
        <v>100</v>
      </c>
      <c r="G17" s="107" t="s">
        <v>100</v>
      </c>
    </row>
    <row r="18" spans="1:7" ht="15.75">
      <c r="A18" s="127" t="s">
        <v>24</v>
      </c>
      <c r="C18" s="107" t="s">
        <v>100</v>
      </c>
      <c r="D18" s="107"/>
      <c r="E18" s="107" t="s">
        <v>100</v>
      </c>
      <c r="F18" s="107" t="s">
        <v>100</v>
      </c>
      <c r="G18" s="107" t="s">
        <v>100</v>
      </c>
    </row>
    <row r="19" spans="1:7" ht="15.75">
      <c r="A19" s="127" t="s">
        <v>57</v>
      </c>
      <c r="C19" s="107" t="s">
        <v>100</v>
      </c>
      <c r="D19" s="107"/>
      <c r="E19" s="107" t="s">
        <v>100</v>
      </c>
      <c r="F19" s="107" t="s">
        <v>100</v>
      </c>
      <c r="G19" s="107" t="s">
        <v>100</v>
      </c>
    </row>
    <row r="20" spans="1:7" ht="15.75">
      <c r="A20" s="127" t="s">
        <v>102</v>
      </c>
      <c r="C20" s="107" t="s">
        <v>100</v>
      </c>
      <c r="D20" s="107"/>
      <c r="E20" s="107" t="s">
        <v>100</v>
      </c>
      <c r="F20" s="107" t="s">
        <v>100</v>
      </c>
      <c r="G20" s="107" t="s">
        <v>100</v>
      </c>
    </row>
    <row r="21" spans="1:7" ht="15.75">
      <c r="A21" s="127" t="s">
        <v>91</v>
      </c>
      <c r="C21" s="107" t="s">
        <v>100</v>
      </c>
      <c r="D21" s="107"/>
      <c r="E21" s="107" t="s">
        <v>100</v>
      </c>
      <c r="F21" s="107" t="s">
        <v>100</v>
      </c>
      <c r="G21" s="107" t="s">
        <v>100</v>
      </c>
    </row>
    <row r="22" spans="1:7" ht="15.75">
      <c r="A22" s="127" t="s">
        <v>25</v>
      </c>
      <c r="C22" s="114" t="s">
        <v>50</v>
      </c>
      <c r="D22" s="114"/>
      <c r="E22" s="114" t="s">
        <v>50</v>
      </c>
      <c r="F22" s="114" t="s">
        <v>50</v>
      </c>
      <c r="G22" s="114" t="s">
        <v>50</v>
      </c>
    </row>
    <row r="23" spans="1:7" ht="15.75">
      <c r="A23" s="127" t="s">
        <v>58</v>
      </c>
      <c r="C23" s="107" t="s">
        <v>100</v>
      </c>
      <c r="D23" s="107"/>
      <c r="E23" s="107" t="s">
        <v>100</v>
      </c>
      <c r="F23" s="107" t="s">
        <v>100</v>
      </c>
      <c r="G23" s="107" t="s">
        <v>100</v>
      </c>
    </row>
    <row r="24" spans="1:7" ht="15.75">
      <c r="A24" s="127" t="s">
        <v>64</v>
      </c>
      <c r="C24" s="107" t="s">
        <v>100</v>
      </c>
      <c r="D24" s="107"/>
      <c r="E24" s="107" t="s">
        <v>100</v>
      </c>
      <c r="F24" s="107" t="s">
        <v>100</v>
      </c>
      <c r="G24" s="107" t="s">
        <v>100</v>
      </c>
    </row>
    <row r="25" spans="1:7" ht="15.75">
      <c r="A25" s="127" t="s">
        <v>85</v>
      </c>
      <c r="C25" s="107" t="s">
        <v>100</v>
      </c>
      <c r="D25" s="107"/>
      <c r="E25" s="107" t="s">
        <v>100</v>
      </c>
      <c r="F25" s="107" t="s">
        <v>100</v>
      </c>
      <c r="G25" s="107" t="s">
        <v>100</v>
      </c>
    </row>
    <row r="26" spans="1:7" ht="15.75">
      <c r="A26" s="127" t="s">
        <v>59</v>
      </c>
      <c r="C26" s="107" t="s">
        <v>100</v>
      </c>
      <c r="D26" s="107"/>
      <c r="E26" s="107" t="s">
        <v>100</v>
      </c>
      <c r="F26" s="107" t="s">
        <v>100</v>
      </c>
      <c r="G26" s="107" t="s">
        <v>100</v>
      </c>
    </row>
    <row r="27" spans="1:7">
      <c r="C27" s="107"/>
      <c r="D27" s="107"/>
      <c r="E27" s="107"/>
      <c r="F27" s="107"/>
      <c r="G27" s="107"/>
    </row>
    <row r="28" spans="1:7" ht="15.75">
      <c r="A28" s="15" t="s">
        <v>18</v>
      </c>
      <c r="B28" s="16">
        <f>COUNTIF(B6:B26,"sim")</f>
        <v>0</v>
      </c>
      <c r="C28" s="103">
        <f>COUNTIF(C6:C26,"sim")</f>
        <v>17</v>
      </c>
      <c r="D28" s="103">
        <f>COUNTIF(D6:D26,"sim")</f>
        <v>0</v>
      </c>
      <c r="E28" s="103">
        <f t="shared" ref="E28:F28" si="0">COUNTIF(E6:E26,"sim")</f>
        <v>17</v>
      </c>
      <c r="F28" s="103">
        <f t="shared" si="0"/>
        <v>17</v>
      </c>
      <c r="G28" s="103">
        <f>COUNTIF(G6:G26,"sim")</f>
        <v>17</v>
      </c>
    </row>
    <row r="29" spans="1:7" ht="15.75">
      <c r="A29" s="17" t="s">
        <v>19</v>
      </c>
      <c r="B29" s="18">
        <f>COUNTIF(B6:B26,"não")</f>
        <v>0</v>
      </c>
      <c r="C29" s="104">
        <f>COUNTIF(C6:C26,"não")</f>
        <v>0</v>
      </c>
      <c r="D29" s="104">
        <f>COUNTIF(D6:D26,"não")</f>
        <v>0</v>
      </c>
      <c r="E29" s="104">
        <f t="shared" ref="E29:F29" si="1">COUNTIF(E6:E26,"não")</f>
        <v>0</v>
      </c>
      <c r="F29" s="104">
        <f t="shared" si="1"/>
        <v>0</v>
      </c>
      <c r="G29" s="104">
        <f>COUNTIF(G6:G26,"não")</f>
        <v>0</v>
      </c>
    </row>
    <row r="30" spans="1:7" ht="15.75">
      <c r="A30" s="14" t="s">
        <v>11</v>
      </c>
      <c r="B30">
        <f>COUNTIF(B6:B26,"ausente")</f>
        <v>0</v>
      </c>
      <c r="C30" s="40">
        <f>COUNTIF(C6:C26,"ausente")</f>
        <v>4</v>
      </c>
      <c r="D30" s="40">
        <f>COUNTIF(D6:D26,"ausente")</f>
        <v>0</v>
      </c>
      <c r="E30" s="40">
        <f t="shared" ref="E30:F30" si="2">COUNTIF(E6:E26,"ausente")</f>
        <v>4</v>
      </c>
      <c r="F30" s="40">
        <f t="shared" si="2"/>
        <v>4</v>
      </c>
      <c r="G30" s="40">
        <f>COUNTIF(G6:G26,"ausente")</f>
        <v>4</v>
      </c>
    </row>
    <row r="31" spans="1:7" ht="15.75">
      <c r="A31" s="19" t="s">
        <v>20</v>
      </c>
      <c r="B31" s="20">
        <f>COUNTIF(B6:B26,"abstenção")</f>
        <v>0</v>
      </c>
      <c r="C31" s="105">
        <f t="shared" ref="C31:G31" si="3">COUNTIF(C6:C26,"abstenção")</f>
        <v>0</v>
      </c>
      <c r="D31" s="105">
        <f t="shared" si="3"/>
        <v>0</v>
      </c>
      <c r="E31" s="105">
        <f t="shared" ref="E31:F31" si="4">COUNTIF(E6:E26,"abstenção")</f>
        <v>0</v>
      </c>
      <c r="F31" s="105">
        <f t="shared" si="4"/>
        <v>0</v>
      </c>
      <c r="G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103</v>
      </c>
      <c r="B2" s="2"/>
      <c r="C2" s="54"/>
      <c r="D2" s="54"/>
      <c r="E2" s="54"/>
    </row>
    <row r="3" spans="1:10" ht="15.75" thickBot="1">
      <c r="A3" s="121" t="s">
        <v>104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31</v>
      </c>
      <c r="C4" s="131" t="s">
        <v>39</v>
      </c>
      <c r="D4" s="131" t="s">
        <v>38</v>
      </c>
      <c r="E4" s="131" t="s">
        <v>40</v>
      </c>
      <c r="F4" s="142" t="s">
        <v>86</v>
      </c>
      <c r="G4" s="142" t="s">
        <v>87</v>
      </c>
      <c r="H4" s="142" t="s">
        <v>88</v>
      </c>
      <c r="I4" s="142" t="s">
        <v>89</v>
      </c>
      <c r="J4" s="142" t="s">
        <v>90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5.75">
      <c r="A6" s="127" t="s">
        <v>48</v>
      </c>
      <c r="C6" s="133"/>
      <c r="D6" s="133"/>
      <c r="E6" s="133"/>
      <c r="F6" s="40"/>
      <c r="G6" s="40"/>
      <c r="H6" s="40"/>
      <c r="I6" s="40"/>
      <c r="J6" s="40"/>
    </row>
    <row r="7" spans="1:10" ht="15.75">
      <c r="A7" s="127" t="s">
        <v>63</v>
      </c>
      <c r="C7" s="133"/>
      <c r="D7" s="133"/>
      <c r="E7" s="133"/>
      <c r="F7" s="40"/>
      <c r="G7" s="40"/>
      <c r="H7" s="40"/>
      <c r="I7" s="40"/>
      <c r="J7" s="40"/>
    </row>
    <row r="8" spans="1:10" ht="15.75">
      <c r="A8" s="127" t="s">
        <v>51</v>
      </c>
      <c r="C8" s="133"/>
      <c r="D8" s="133"/>
      <c r="E8" s="133"/>
      <c r="F8" s="40"/>
      <c r="G8" s="40"/>
      <c r="H8" s="40"/>
      <c r="I8" s="40"/>
      <c r="J8" s="40"/>
    </row>
    <row r="9" spans="1:10" ht="15.75">
      <c r="A9" s="128" t="s">
        <v>52</v>
      </c>
      <c r="C9" s="133"/>
      <c r="D9" s="133"/>
      <c r="E9" s="133"/>
      <c r="F9" s="40"/>
      <c r="G9" s="40"/>
      <c r="H9" s="40"/>
      <c r="I9" s="40"/>
      <c r="J9" s="40"/>
    </row>
    <row r="10" spans="1:10" ht="15.75">
      <c r="A10" s="127" t="s">
        <v>27</v>
      </c>
      <c r="C10" s="133"/>
      <c r="D10" s="133"/>
      <c r="E10" s="133"/>
      <c r="F10" s="40"/>
      <c r="G10" s="40"/>
      <c r="H10" s="40"/>
      <c r="I10" s="40"/>
      <c r="J10" s="40"/>
    </row>
    <row r="11" spans="1:10" ht="15.75">
      <c r="A11" s="127" t="s">
        <v>53</v>
      </c>
      <c r="C11" s="133"/>
      <c r="D11" s="133"/>
      <c r="E11" s="133"/>
      <c r="F11" s="40"/>
      <c r="G11" s="40"/>
      <c r="H11" s="40"/>
      <c r="I11" s="40"/>
      <c r="J11" s="40"/>
    </row>
    <row r="12" spans="1:10" ht="15.75">
      <c r="A12" s="127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5.75">
      <c r="A13" s="127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5.75">
      <c r="A14" s="127" t="s">
        <v>54</v>
      </c>
      <c r="C14" s="133"/>
      <c r="D14" s="133"/>
      <c r="E14" s="133"/>
      <c r="F14" s="40"/>
      <c r="G14" s="40"/>
      <c r="H14" s="40"/>
      <c r="I14" s="40"/>
      <c r="J14" s="40"/>
    </row>
    <row r="15" spans="1:10" ht="15.75">
      <c r="A15" s="127" t="s">
        <v>55</v>
      </c>
      <c r="C15" s="133"/>
      <c r="D15" s="133"/>
      <c r="E15" s="133"/>
      <c r="F15" s="40"/>
      <c r="G15" s="40"/>
      <c r="H15" s="40"/>
      <c r="I15" s="40"/>
      <c r="J15" s="40"/>
    </row>
    <row r="16" spans="1:10" ht="15.75">
      <c r="A16" s="127" t="s">
        <v>56</v>
      </c>
      <c r="C16" s="133"/>
      <c r="D16" s="133"/>
      <c r="E16" s="133"/>
      <c r="F16" s="40"/>
      <c r="G16" s="40"/>
      <c r="H16" s="40"/>
      <c r="I16" s="40"/>
      <c r="J16" s="40"/>
    </row>
    <row r="17" spans="1:10" ht="15.75">
      <c r="A17" s="127" t="s">
        <v>101</v>
      </c>
      <c r="C17" s="133"/>
      <c r="D17" s="133"/>
      <c r="E17" s="133"/>
      <c r="F17" s="40"/>
      <c r="G17" s="40"/>
      <c r="H17" s="40"/>
      <c r="I17" s="40"/>
      <c r="J17" s="40"/>
    </row>
    <row r="18" spans="1:10" ht="15.75">
      <c r="A18" s="127" t="s">
        <v>24</v>
      </c>
      <c r="C18" s="133"/>
      <c r="D18" s="133"/>
      <c r="E18" s="133"/>
      <c r="F18" s="40"/>
      <c r="G18" s="40"/>
      <c r="H18" s="40"/>
      <c r="I18" s="40"/>
      <c r="J18" s="40"/>
    </row>
    <row r="19" spans="1:10" ht="15.75">
      <c r="A19" s="127" t="s">
        <v>57</v>
      </c>
      <c r="C19" s="133"/>
      <c r="D19" s="133"/>
      <c r="E19" s="133"/>
      <c r="F19" s="40"/>
      <c r="G19" s="40"/>
      <c r="H19" s="40"/>
      <c r="I19" s="40"/>
      <c r="J19" s="40"/>
    </row>
    <row r="20" spans="1:10" ht="15.75">
      <c r="A20" s="127" t="s">
        <v>102</v>
      </c>
      <c r="C20" s="133"/>
      <c r="D20" s="133"/>
      <c r="E20" s="133"/>
      <c r="F20" s="40"/>
      <c r="G20" s="40"/>
      <c r="H20" s="40"/>
      <c r="I20" s="40"/>
      <c r="J20" s="40"/>
    </row>
    <row r="21" spans="1:10" ht="15.75">
      <c r="A21" s="127" t="s">
        <v>91</v>
      </c>
      <c r="C21" s="133"/>
      <c r="D21" s="133"/>
      <c r="E21" s="133"/>
      <c r="F21" s="40"/>
      <c r="G21" s="40"/>
      <c r="H21" s="40"/>
      <c r="I21" s="40"/>
      <c r="J21" s="40"/>
    </row>
    <row r="22" spans="1:10" ht="15.75">
      <c r="A22" s="127" t="s">
        <v>25</v>
      </c>
      <c r="C22" s="133"/>
      <c r="D22" s="133"/>
      <c r="E22" s="133"/>
      <c r="F22" s="40"/>
      <c r="G22" s="40"/>
      <c r="H22" s="40"/>
      <c r="I22" s="40"/>
      <c r="J22" s="40"/>
    </row>
    <row r="23" spans="1:10" ht="15.75">
      <c r="A23" s="127" t="s">
        <v>58</v>
      </c>
      <c r="C23" s="133"/>
      <c r="D23" s="133"/>
      <c r="E23" s="133"/>
      <c r="F23" s="40"/>
      <c r="G23" s="40"/>
      <c r="H23" s="40"/>
      <c r="I23" s="40"/>
      <c r="J23" s="40"/>
    </row>
    <row r="24" spans="1:10" ht="15.75">
      <c r="A24" s="127" t="s">
        <v>64</v>
      </c>
      <c r="C24" s="133"/>
      <c r="D24" s="133"/>
      <c r="E24" s="133"/>
      <c r="F24" s="40"/>
      <c r="G24" s="40"/>
      <c r="H24" s="40"/>
      <c r="I24" s="40"/>
      <c r="J24" s="40"/>
    </row>
    <row r="25" spans="1:10" ht="15.75">
      <c r="A25" s="127" t="s">
        <v>85</v>
      </c>
      <c r="C25" s="133"/>
      <c r="D25" s="133"/>
      <c r="E25" s="133"/>
      <c r="F25" s="40"/>
      <c r="G25" s="40"/>
      <c r="H25" s="40"/>
      <c r="I25" s="40"/>
      <c r="J25" s="40"/>
    </row>
    <row r="26" spans="1:10" ht="15.75">
      <c r="A26" s="127" t="s">
        <v>59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>COUNTIF(C6:C26,"sim")</f>
        <v>0</v>
      </c>
      <c r="D28" s="134">
        <f>COUNTIF(D6:D26,"sim")</f>
        <v>0</v>
      </c>
      <c r="E28" s="134">
        <f>COUNTIF(E6:E26,"sim")</f>
        <v>0</v>
      </c>
      <c r="F28" s="134"/>
      <c r="G28" s="134"/>
      <c r="H28" s="134"/>
      <c r="I28" s="134"/>
      <c r="J28" s="134">
        <f>COUNTIF(J6:J26,"sim")</f>
        <v>0</v>
      </c>
    </row>
    <row r="29" spans="1:10" ht="15.75">
      <c r="A29" s="17" t="s">
        <v>19</v>
      </c>
      <c r="B29" s="18"/>
      <c r="C29" s="135">
        <f>COUNTIF(C6:C26,"não")</f>
        <v>0</v>
      </c>
      <c r="D29" s="135">
        <f>COUNTIF(D6:D26,"não")</f>
        <v>0</v>
      </c>
      <c r="E29" s="135">
        <f>COUNTIF(E6:E26,"não")</f>
        <v>0</v>
      </c>
      <c r="F29" s="135"/>
      <c r="G29" s="135"/>
      <c r="H29" s="135"/>
      <c r="I29" s="135"/>
      <c r="J29" s="135">
        <f>COUNTIF(J6:J26,"não")</f>
        <v>0</v>
      </c>
    </row>
    <row r="30" spans="1:10" ht="15.75">
      <c r="A30" s="14" t="s">
        <v>11</v>
      </c>
      <c r="C30" s="133">
        <f>COUNTIF(C6:C26,"ausente")</f>
        <v>0</v>
      </c>
      <c r="D30" s="133">
        <f>COUNTIF(D6:D26,"ausente")</f>
        <v>0</v>
      </c>
      <c r="E30" s="133">
        <f>COUNTIF(E6:E26,"ausente")</f>
        <v>0</v>
      </c>
      <c r="F30" s="133"/>
      <c r="G30" s="133"/>
      <c r="H30" s="133"/>
      <c r="I30" s="133"/>
      <c r="J30" s="133">
        <f>COUNTIF(J6:J26,"ausente")</f>
        <v>0</v>
      </c>
    </row>
    <row r="31" spans="1:10" ht="15.75">
      <c r="A31" s="19" t="s">
        <v>20</v>
      </c>
      <c r="B31" s="20"/>
      <c r="C31" s="136">
        <f t="shared" ref="C31:J31" si="0">COUNTIF(C6:C26,"abstenção")</f>
        <v>0</v>
      </c>
      <c r="D31" s="136">
        <f t="shared" si="0"/>
        <v>0</v>
      </c>
      <c r="E31" s="136">
        <f t="shared" si="0"/>
        <v>0</v>
      </c>
      <c r="F31" s="136"/>
      <c r="G31" s="136"/>
      <c r="H31" s="136"/>
      <c r="I31" s="136"/>
      <c r="J31" s="136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103</v>
      </c>
      <c r="B2" s="2"/>
    </row>
    <row r="3" spans="1:23">
      <c r="A3" s="76" t="s">
        <v>104</v>
      </c>
      <c r="B3" s="2"/>
    </row>
    <row r="4" spans="1:23" ht="60.75" customHeight="1" thickBot="1">
      <c r="A4" s="52" t="s">
        <v>5</v>
      </c>
      <c r="B4" s="110" t="s">
        <v>32</v>
      </c>
      <c r="C4" s="106" t="s">
        <v>37</v>
      </c>
      <c r="D4" s="106" t="s">
        <v>65</v>
      </c>
      <c r="E4" s="106" t="s">
        <v>66</v>
      </c>
      <c r="F4" s="106" t="s">
        <v>67</v>
      </c>
      <c r="G4" s="106" t="s">
        <v>68</v>
      </c>
      <c r="H4" s="106" t="s">
        <v>69</v>
      </c>
      <c r="I4" s="106" t="s">
        <v>70</v>
      </c>
      <c r="J4" s="106" t="s">
        <v>71</v>
      </c>
      <c r="K4" s="106" t="s">
        <v>72</v>
      </c>
      <c r="L4" s="106" t="s">
        <v>73</v>
      </c>
      <c r="M4" s="106" t="s">
        <v>74</v>
      </c>
      <c r="N4" s="106" t="s">
        <v>75</v>
      </c>
      <c r="O4" s="106" t="s">
        <v>76</v>
      </c>
      <c r="P4" s="106" t="s">
        <v>77</v>
      </c>
      <c r="Q4" s="106" t="s">
        <v>78</v>
      </c>
      <c r="R4" s="106" t="s">
        <v>79</v>
      </c>
      <c r="S4" s="106" t="s">
        <v>80</v>
      </c>
      <c r="T4" s="106" t="s">
        <v>81</v>
      </c>
      <c r="U4" s="106" t="s">
        <v>82</v>
      </c>
      <c r="V4" s="106" t="s">
        <v>83</v>
      </c>
      <c r="W4" s="106" t="s">
        <v>84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9" t="s">
        <v>48</v>
      </c>
    </row>
    <row r="7" spans="1:23" ht="18">
      <c r="A7" s="129" t="s">
        <v>63</v>
      </c>
    </row>
    <row r="8" spans="1:23" ht="18">
      <c r="A8" s="129" t="s">
        <v>51</v>
      </c>
    </row>
    <row r="9" spans="1:23" ht="18">
      <c r="A9" s="130" t="s">
        <v>52</v>
      </c>
    </row>
    <row r="10" spans="1:23" ht="18">
      <c r="A10" s="129" t="s">
        <v>27</v>
      </c>
    </row>
    <row r="11" spans="1:23" ht="18">
      <c r="A11" s="129" t="s">
        <v>53</v>
      </c>
    </row>
    <row r="12" spans="1:23" ht="18">
      <c r="A12" s="129" t="s">
        <v>22</v>
      </c>
    </row>
    <row r="13" spans="1:23" ht="18">
      <c r="A13" s="129" t="s">
        <v>23</v>
      </c>
    </row>
    <row r="14" spans="1:23" ht="18">
      <c r="A14" s="129" t="s">
        <v>54</v>
      </c>
    </row>
    <row r="15" spans="1:23" ht="18">
      <c r="A15" s="129" t="s">
        <v>55</v>
      </c>
    </row>
    <row r="16" spans="1:23" ht="18">
      <c r="A16" s="129" t="s">
        <v>56</v>
      </c>
    </row>
    <row r="17" spans="1:23" ht="18">
      <c r="A17" s="129" t="s">
        <v>101</v>
      </c>
    </row>
    <row r="18" spans="1:23" ht="18">
      <c r="A18" s="129" t="s">
        <v>24</v>
      </c>
    </row>
    <row r="19" spans="1:23" ht="18">
      <c r="A19" s="129" t="s">
        <v>57</v>
      </c>
    </row>
    <row r="20" spans="1:23" ht="18">
      <c r="A20" s="129" t="s">
        <v>102</v>
      </c>
    </row>
    <row r="21" spans="1:23" ht="18">
      <c r="A21" s="129" t="s">
        <v>91</v>
      </c>
    </row>
    <row r="22" spans="1:23" ht="18">
      <c r="A22" s="129" t="s">
        <v>25</v>
      </c>
    </row>
    <row r="23" spans="1:23" ht="18">
      <c r="A23" s="129" t="s">
        <v>58</v>
      </c>
    </row>
    <row r="24" spans="1:23" ht="18">
      <c r="A24" s="129" t="s">
        <v>64</v>
      </c>
    </row>
    <row r="25" spans="1:23" ht="18">
      <c r="A25" s="129" t="s">
        <v>85</v>
      </c>
    </row>
    <row r="26" spans="1:23" ht="18">
      <c r="A26" s="129" t="s">
        <v>59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2026-05-12T20:38:54Z</dcterms:modified>
</cp:coreProperties>
</file>