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5\"/>
    </mc:Choice>
  </mc:AlternateContent>
  <xr:revisionPtr revIDLastSave="0" documentId="13_ncr:1_{921B9BC6-C5D5-4113-8B84-EE99EDD239B3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E28" i="2"/>
  <c r="F28" i="2"/>
  <c r="E29" i="2"/>
  <c r="F29" i="2"/>
  <c r="E30" i="2"/>
  <c r="F30" i="2"/>
  <c r="C27" i="3"/>
  <c r="C28" i="3"/>
  <c r="C29" i="3"/>
  <c r="C30" i="3"/>
  <c r="C28" i="10"/>
  <c r="C29" i="10"/>
  <c r="C30" i="10"/>
  <c r="C31" i="10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<sst xmlns="http://schemas.openxmlformats.org/spreadsheetml/2006/main" count="481" uniqueCount="135">
  <si>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</si>
  <si>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</si>
  <si>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</si>
  <si>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</si>
  <si>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</si>
  <si>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</si>
  <si>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</si>
  <si>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</si>
  <si>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</si>
  <si>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</si>
  <si>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</si>
  <si>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</si>
  <si>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</si>
  <si>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</si>
  <si>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</si>
  <si>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</si>
  <si>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</si>
  <si>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</si>
  <si>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</si>
  <si>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</si>
  <si>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</si>
  <si>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</si>
  <si>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</si>
  <si>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</si>
  <si>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</si>
  <si>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</si>
  <si>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</si>
  <si>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</si>
  <si>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</si>
  <si>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</si>
  <si>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</si>
  <si>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</si>
  <si>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</si>
  <si>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</si>
  <si>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</si>
  <si>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</si>
  <si>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</si>
  <si>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</si>
  <si>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</si>
  <si>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</si>
  <si>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</si>
  <si>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</si>
  <si>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</si>
  <si>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</si>
  <si>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</si>
  <si>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</si>
  <si>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</si>
  <si>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</si>
  <si>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</si>
  <si>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</si>
  <si>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</si>
  <si>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</si>
  <si>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</si>
  <si>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</si>
  <si>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</si>
  <si>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</si>
  <si>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</si>
  <si>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</si>
  <si>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</si>
  <si>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</si>
  <si>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</si>
  <si>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</si>
  <si>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</si>
  <si>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</si>
  <si>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</si>
  <si>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</si>
  <si>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</si>
  <si>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</si>
  <si>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</si>
  <si>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</si>
  <si>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</si>
  <si>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</si>
  <si>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</si>
  <si>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</si>
  <si>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</si>
  <si>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</si>
  <si>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</si>
  <si>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</si>
  <si>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</si>
  <si>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</si>
  <si>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</si>
  <si>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</si>
  <si>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</si>
  <si>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</si>
  <si>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</si>
  <si>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</si>
  <si>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</si>
  <si>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</si>
  <si>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</si>
  <si>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</si>
  <si>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</si>
  <si>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</si>
  <si>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</si>
  <si>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</si>
  <si>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</si>
  <si>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</si>
  <si>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t>APROVADO</t>
  </si>
  <si>
    <t>sim</t>
  </si>
  <si>
    <t>APROVADO
VOTAÇÃO SIMBÓLICA</t>
  </si>
  <si>
    <t>na presidência</t>
  </si>
  <si>
    <r>
      <t>MOÇÃO DE APLAUSOS Nº 241/2025 – EMERSON OSASCO -</t>
    </r>
    <r>
      <rPr>
        <sz val="11"/>
        <color theme="1"/>
        <rFont val="Arial"/>
        <family val="2"/>
      </rPr>
      <t xml:space="preserve"> À Coordenadora de Gestão Pedagógica da Área de Ciências Humanas, Carolina Pereira, pela coordenação do Projeto Clube Antirracista na Escola Estadual de Educação Integral Professor João Baptista de Brito.</t>
    </r>
  </si>
  <si>
    <r>
      <t xml:space="preserve">MOÇÃO DE APLAUSOS Nº 242/2025 – EMERSON OSASCO - </t>
    </r>
    <r>
      <rPr>
        <sz val="11"/>
        <color theme="1"/>
        <rFont val="Arial"/>
        <family val="2"/>
      </rPr>
      <t>Ao Clube Antirracista da Escola de Educação Integral Professor João Baptista de Brito, clube que vem trabalhando pontualmente no fortalecimento da ancestralidade e no combate à discriminação racial no ambiente escolar.</t>
    </r>
  </si>
  <si>
    <t>André Luís Alves Pereira</t>
  </si>
  <si>
    <t>32ª SESSÃO ORDINÁRIA</t>
  </si>
  <si>
    <t>DIA 5 DE JUNHO DE 2025 - QUINTA-FEIRA</t>
  </si>
  <si>
    <t>DIA 5 DE JUNHO DE 2025 - QUINTA–FEIRA</t>
  </si>
  <si>
    <t xml:space="preserve"> </t>
  </si>
  <si>
    <t>Justificativa de ausência do Vereador Emerson Osasco.</t>
  </si>
  <si>
    <t>Justificativa de ausência do Vereador Paulo Junior.</t>
  </si>
  <si>
    <t>Justificativa de ausência da Vereadora Stephane Rossi.</t>
  </si>
  <si>
    <r>
      <t xml:space="preserve">Decreto nº 14.663, 14.664 e 14.665 de 03 de de junho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</si>
  <si>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Projeto de Decreto Legislativo nº 19/2025 - Pedro Cantagessi Vitoriano – </t>
    </r>
    <r>
      <rPr>
        <sz val="12"/>
        <color rgb="FF000000"/>
        <rFont val="Calibri"/>
        <family val="2"/>
      </rPr>
      <t>Dispõe sobre a concessão de Medalha Antônio Raposo Tavares e o Diploma de Osasco ao Doutor Silvio Luiz Priori.</t>
    </r>
  </si>
  <si>
    <r>
      <t xml:space="preserve">Projeto de Lei nº 56/2025 – Pedro Cantagessi Vitoriano – </t>
    </r>
    <r>
      <rPr>
        <sz val="12"/>
        <color rgb="FF000000"/>
        <rFont val="Calibri"/>
        <family val="2"/>
      </rPr>
      <t>Dispõe sobre a denominação da Viela Willian Gomes de Sousa, no Jardim Bandeiras.</t>
    </r>
  </si>
  <si>
    <r>
      <t xml:space="preserve">Projeto de Lei nº 85/2025 – Mesa Diretora da Câmara Municipal de Osasco - </t>
    </r>
    <r>
      <rPr>
        <sz val="12"/>
        <color rgb="FF000000"/>
        <rFont val="Calibri"/>
        <family val="2"/>
      </rPr>
      <t>Dispõe sobre reajuste aos servidores ativos e inativos da Câmara Municipal de Osasco.</t>
    </r>
  </si>
  <si>
    <r>
      <t>MOÇÃO DE APLAUSOS Nº 240/2025 – EMERSON OSASCO -</t>
    </r>
    <r>
      <rPr>
        <sz val="11"/>
        <color theme="1"/>
        <rFont val="Arial"/>
        <family val="2"/>
      </rPr>
      <t xml:space="preserve"> À Escola Estadual de Educação Integral “Professor João Baptista de Brito” pelo importante trabalho antirracista desenvolvido e que tem promovido a valorização da diversidade, o respeito às diferenças e a construção de uma sociedade mais justa e igualitária.</t>
    </r>
  </si>
  <si>
    <r>
      <t xml:space="preserve">MOÇÃO DE APLAUSOS Nº 254/2025 – GUIGA - </t>
    </r>
    <r>
      <rPr>
        <sz val="11"/>
        <color theme="1"/>
        <rFont val="Arial"/>
        <family val="2"/>
      </rPr>
      <t>A Ferreira Two Hobby, pelo excelente serviço prestado e qualidade no atendimento.</t>
    </r>
  </si>
  <si>
    <r>
      <t xml:space="preserve">MOÇÃO DE APLAUSOS Nº 258/2025 – RODOLFO CARA - </t>
    </r>
    <r>
      <rPr>
        <sz val="11"/>
        <color theme="1"/>
        <rFont val="Arial"/>
        <family val="2"/>
      </rPr>
      <t>À Raquel Santiago e ao Valdemiro Santiago, em reconhecimento à notável contribuição espiritual, social e cultural prestada à comunidade osasquense.</t>
    </r>
  </si>
  <si>
    <r>
      <t xml:space="preserve">MOÇÃO DE RECONHECIMENTO Nº 259/2025 – HEBER DO JUNTOZ - </t>
    </r>
    <r>
      <rPr>
        <sz val="11"/>
        <color theme="1"/>
        <rFont val="Arial"/>
        <family val="2"/>
      </rPr>
      <t>Ao Instituto Federal de Educação, Ciência e Tecnologia pela instalação de sua nova unidade no município de Osasco, celebrando este marco histórico para a educação pública, gratuita e de qualidade, representados na pessoa do Professor e Diretor Ricardo dos Santos Coelho.</t>
    </r>
  </si>
  <si>
    <r>
      <t xml:space="preserve">MOÇÃO DE APLAUSOS Nº 260/2025 – RODOLFO CARA - </t>
    </r>
    <r>
      <rPr>
        <sz val="11"/>
        <color theme="1"/>
        <rFont val="Arial"/>
        <family val="2"/>
      </rPr>
      <t>Ao time do Eucalipto, em reconhecimento ao seu notável compromisso com a cidadania e à sua inestimável contribuição para a construção de uma sociedade mais justa, inclusiva e solidária.</t>
    </r>
  </si>
  <si>
    <r>
      <t xml:space="preserve">MOÇÃO DE APLAUSOS Nº 261/2025 – JOSIAS DA JUCO - </t>
    </r>
    <r>
      <rPr>
        <sz val="11"/>
        <color theme="1"/>
        <rFont val="Arial"/>
        <family val="2"/>
      </rPr>
      <t>Ao Cerimonial desta Casa, em reconhecimento à excelência, organização e sensibilidade demonstradas na condução do evento Prêmio Ana Paula Rossi - Mulher de Destaque.</t>
    </r>
  </si>
  <si>
    <r>
      <t>MOÇÃO DE PESAR Nº 262/2025 – DÉLBIO TERUEL -</t>
    </r>
    <r>
      <rPr>
        <sz val="11"/>
        <color theme="1"/>
        <rFont val="Arial"/>
        <family val="2"/>
      </rPr>
      <t xml:space="preserve"> Pelo falecimento da Sra. Rosa Lopes Martins.</t>
    </r>
  </si>
  <si>
    <r>
      <t>MOÇÃO DE APLAUSOS Nº 263/2025 – GUIGA –</t>
    </r>
    <r>
      <rPr>
        <sz val="11"/>
        <color theme="1"/>
        <rFont val="Arial"/>
        <family val="2"/>
      </rPr>
      <t xml:space="preserve"> À Lú Moreira, Cabeleireiro e Maquiador renomado com mais de 20 anos de experiência.</t>
    </r>
  </si>
  <si>
    <r>
      <t xml:space="preserve">MOÇÃO DE CONGRATULAÇÕES Nº 266/2025 – EMERSON OSASCO - </t>
    </r>
    <r>
      <rPr>
        <sz val="11"/>
        <color theme="1"/>
        <rFont val="Arial"/>
        <family val="2"/>
      </rPr>
      <t>Ao bairro Vila Menck, fundada oficialmente na década de 70, completando dia 05 de junho 55 anos, visamos reconhecer e parabenizar todos os moradores, lideranças comunitárias, instituições e organizações da Vila Menck, na pessoa do Sr. Alvino Nunes de Assis, morador da Vila Menck há mais de 45 anos.</t>
    </r>
  </si>
  <si>
    <r>
      <t xml:space="preserve">MOÇÃO DE RECONHECIMENTO Nº 267/2025 – GABRIEL SAÚDE – </t>
    </r>
    <r>
      <rPr>
        <sz val="11"/>
        <color theme="1"/>
        <rFont val="Arial"/>
        <family val="2"/>
      </rPr>
      <t>À senhora Maria Zenilda Gomes de Moraes Serrano, pela sua relevante trajetória na administração pública e expressiva atuação social.</t>
    </r>
  </si>
  <si>
    <r>
      <t xml:space="preserve">MOÇÃO DE APOIO Nº 268/2025 – ALEXANDRE CAPRIOTTI - </t>
    </r>
    <r>
      <rPr>
        <sz val="11"/>
        <color theme="1"/>
        <rFont val="Arial"/>
        <family val="2"/>
      </rPr>
      <t>Ao PL 257/2025 de autoria do Deputado Federal, Delegado Bruno Lima, que inclui o bem-estar animal como prioridade no Fundo Nacional de Meio Ambiente, que tramita na Câmara dos Deputados.</t>
    </r>
  </si>
  <si>
    <r>
      <t xml:space="preserve">MOÇÃO DE APOIO Nº 269/2025 – ALEXANDRE CAPRIOTTI - </t>
    </r>
    <r>
      <rPr>
        <sz val="11"/>
        <color theme="1"/>
        <rFont val="Arial"/>
        <family val="2"/>
      </rPr>
      <t>Ao Dia Mundial do Meio Ambiente a ser comemorado dia 5 de junho.</t>
    </r>
  </si>
  <si>
    <r>
      <t xml:space="preserve">MOÇÃO DE PESAR Nº 270/2025 – DÉLBIO TERUEL - </t>
    </r>
    <r>
      <rPr>
        <sz val="11"/>
        <color theme="1"/>
        <rFont val="Arial"/>
        <family val="2"/>
      </rPr>
      <t>Pelo falecimento da jovem Giulya Xavier Silva, filha da Sra. Fátima Aparecida Xavier de Sousa, servidora pública, profissional de Educação Física da Secretaria de Esporte, Recreação e Lazer da Prefeitura de Osasco.</t>
    </r>
  </si>
  <si>
    <r>
      <t xml:space="preserve">MOÇÃO DE APLAUSOS nº 271/2025 – GUIGA - </t>
    </r>
    <r>
      <rPr>
        <sz val="11"/>
        <color theme="1"/>
        <rFont val="Arial"/>
        <family val="2"/>
      </rPr>
      <t>A Bruno Prats por sua trajetória marcada por dedicação, visão estratégica e compromisso com a cidade de Osasco.</t>
    </r>
  </si>
  <si>
    <r>
      <t xml:space="preserve">MOÇÃO DE RECONHECIMENTO nº 278/2025  RODOLFO CARA - </t>
    </r>
    <r>
      <rPr>
        <sz val="11"/>
        <color theme="1"/>
        <rFont val="Arial"/>
        <family val="2"/>
      </rPr>
      <t>Ao senhor Cláudio Monteiro Jr., cuja trajetória é
marcada pelo comprometimento, competência e espírito público, contribuindo significativamente para
o desenvolvimento econômico e social da cidade.</t>
    </r>
  </si>
  <si>
    <r>
      <t xml:space="preserve">VETO TOTAL AO PROJETO DE LEI Nº 141/2019 – RALFI SILVA – </t>
    </r>
    <r>
      <rPr>
        <sz val="12"/>
        <color theme="1"/>
        <rFont val="Arial"/>
        <family val="2"/>
      </rPr>
      <t xml:space="preserve">Dispõe sobre dispositivo de segurança conhecido como “Botão do Pânico” para mulheres vitimadas por violência doméstica como medida protetiva no município de Osasco e dá outras providências. </t>
    </r>
  </si>
  <si>
    <t>VETO ACEITO</t>
  </si>
  <si>
    <r>
      <t xml:space="preserve">PROJETO DE LEI COMPLEMENTAR Nº 1/2025 – PREFEITO DO MUNICÍPIO DE OSASCO – </t>
    </r>
    <r>
      <rPr>
        <sz val="14"/>
        <color theme="1"/>
        <rFont val="Arial"/>
        <family val="2"/>
      </rPr>
      <t>Dispõe sobre a alteração da Lei Complementar n° 442, de 20 de dezembro de 2024.</t>
    </r>
  </si>
  <si>
    <r>
      <t xml:space="preserve">PROJETO DE LEI Nº 45/2025 - LAÉRCIO MENDONÇA – </t>
    </r>
    <r>
      <rPr>
        <sz val="14"/>
        <color theme="1"/>
        <rFont val="Arial"/>
        <family val="2"/>
      </rPr>
      <t>Institui a Semana da Saúde Mental do Servidor Público.</t>
    </r>
  </si>
  <si>
    <r>
      <t xml:space="preserve">PROJETO DE DECRETO LEGISLATIVO Nº 12/2025 – JOSIAS DA JUCO – </t>
    </r>
    <r>
      <rPr>
        <sz val="11"/>
        <color theme="1"/>
        <rFont val="Arial"/>
        <family val="2"/>
      </rPr>
      <t xml:space="preserve">Dispõe sobre a concessão de Placa Comemorativa à Livraria 100% Cristão. </t>
    </r>
  </si>
  <si>
    <r>
      <t xml:space="preserve">ATO DA PRESIDÊNCIA N°8/2025 - </t>
    </r>
    <r>
      <rPr>
        <sz val="12"/>
        <color rgb="FF000000"/>
        <rFont val="Calibri"/>
        <family val="2"/>
      </rPr>
      <t>Dispõe sobre a convocação do senhor André Luís Alves Pereira, primeiro suplente de vereador.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</si>
</sst>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opLeftCell="A8" zoomScale="70" zoomScaleNormal="70" workbookViewId="0">
      <selection activeCell="O11" sqref="O11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103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104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54</v>
      </c>
      <c r="B5" s="89">
        <v>1</v>
      </c>
      <c r="C5" s="62" t="s">
        <v>55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94</v>
      </c>
      <c r="B6" s="89">
        <v>1</v>
      </c>
      <c r="C6" s="62" t="s">
        <v>55</v>
      </c>
      <c r="D6" s="63"/>
      <c r="E6" s="103"/>
      <c r="F6" s="89">
        <v>1</v>
      </c>
      <c r="G6" s="62" t="s">
        <v>55</v>
      </c>
      <c r="H6" s="63"/>
      <c r="I6" s="62"/>
      <c r="J6" s="63">
        <v>1</v>
      </c>
      <c r="K6" s="62" t="s">
        <v>55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58</v>
      </c>
      <c r="B8" s="89">
        <v>1</v>
      </c>
      <c r="C8" s="62" t="s">
        <v>55</v>
      </c>
      <c r="D8" s="63"/>
      <c r="E8" s="62"/>
      <c r="F8" s="89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9">
        <v>1</v>
      </c>
      <c r="C9" s="62" t="s">
        <v>55</v>
      </c>
      <c r="D9" s="63"/>
      <c r="E9" s="62"/>
      <c r="F9" s="89">
        <v>1</v>
      </c>
      <c r="G9" s="62" t="s">
        <v>55</v>
      </c>
      <c r="H9" s="63"/>
      <c r="I9" s="62"/>
      <c r="J9" s="63">
        <v>1</v>
      </c>
      <c r="K9" s="62" t="s">
        <v>55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59</v>
      </c>
      <c r="B10" s="89">
        <v>2</v>
      </c>
      <c r="C10" s="103" t="s">
        <v>56</v>
      </c>
      <c r="D10" s="63"/>
      <c r="E10" s="62"/>
      <c r="F10" s="89">
        <v>1</v>
      </c>
      <c r="G10" s="62" t="s">
        <v>55</v>
      </c>
      <c r="H10" s="63"/>
      <c r="I10" s="62"/>
      <c r="J10" s="63">
        <v>2</v>
      </c>
      <c r="K10" s="103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55</v>
      </c>
      <c r="D11" s="63"/>
      <c r="E11" s="62"/>
      <c r="F11" s="89">
        <v>1</v>
      </c>
      <c r="G11" s="62" t="s">
        <v>55</v>
      </c>
      <c r="H11" s="63"/>
      <c r="I11" s="62"/>
      <c r="J11" s="63">
        <v>1</v>
      </c>
      <c r="K11" s="62" t="s">
        <v>55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56</v>
      </c>
      <c r="D12" s="63"/>
      <c r="E12" s="103"/>
      <c r="F12" s="89">
        <v>2</v>
      </c>
      <c r="G12" s="103" t="s">
        <v>56</v>
      </c>
      <c r="H12" s="63"/>
      <c r="I12" s="68"/>
      <c r="J12" s="63">
        <v>2</v>
      </c>
      <c r="K12" s="103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56</v>
      </c>
      <c r="D13" s="63"/>
      <c r="E13" s="62"/>
      <c r="F13" s="89">
        <v>1</v>
      </c>
      <c r="G13" s="62" t="s">
        <v>55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60</v>
      </c>
      <c r="B14" s="89">
        <v>2</v>
      </c>
      <c r="C14" s="103" t="s">
        <v>56</v>
      </c>
      <c r="D14" s="63"/>
      <c r="E14" s="62"/>
      <c r="F14" s="89">
        <v>1</v>
      </c>
      <c r="G14" s="62" t="s">
        <v>55</v>
      </c>
      <c r="H14" s="63"/>
      <c r="I14" s="62"/>
      <c r="J14" s="63">
        <v>2</v>
      </c>
      <c r="K14" s="103" t="s">
        <v>56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61</v>
      </c>
      <c r="B15" s="89">
        <v>1</v>
      </c>
      <c r="C15" s="62" t="s">
        <v>55</v>
      </c>
      <c r="D15" s="63"/>
      <c r="E15" s="62"/>
      <c r="F15" s="89">
        <v>1</v>
      </c>
      <c r="G15" s="62" t="s">
        <v>55</v>
      </c>
      <c r="H15" s="63"/>
      <c r="I15" s="62"/>
      <c r="J15" s="63">
        <v>1</v>
      </c>
      <c r="K15" s="62" t="s">
        <v>55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9">
        <v>1</v>
      </c>
      <c r="C17" s="62" t="s">
        <v>55</v>
      </c>
      <c r="D17" s="63"/>
      <c r="E17" s="62"/>
      <c r="F17" s="89">
        <v>1</v>
      </c>
      <c r="G17" s="62" t="s">
        <v>55</v>
      </c>
      <c r="H17" s="63"/>
      <c r="I17" s="68"/>
      <c r="J17" s="63">
        <v>1</v>
      </c>
      <c r="K17" s="62" t="s">
        <v>55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8" ht="17.25" customHeight="1">
      <c r="A18" s="46" t="s">
        <v>63</v>
      </c>
      <c r="B18" s="89">
        <v>2</v>
      </c>
      <c r="C18" s="103" t="s">
        <v>56</v>
      </c>
      <c r="D18" s="63"/>
      <c r="E18" s="62"/>
      <c r="F18" s="89">
        <v>1</v>
      </c>
      <c r="G18" s="62" t="s">
        <v>55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8" ht="18" customHeight="1">
      <c r="A19" s="46" t="s">
        <v>95</v>
      </c>
      <c r="B19" s="89">
        <v>1</v>
      </c>
      <c r="C19" s="62" t="s">
        <v>55</v>
      </c>
      <c r="D19" s="63"/>
      <c r="E19" s="103"/>
      <c r="F19" s="89">
        <v>1</v>
      </c>
      <c r="G19" s="62" t="s">
        <v>55</v>
      </c>
      <c r="H19" s="63"/>
      <c r="I19" s="62"/>
      <c r="J19" s="63">
        <v>1</v>
      </c>
      <c r="K19" s="62" t="s">
        <v>55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9">
        <v>2</v>
      </c>
      <c r="C20" s="103" t="s">
        <v>56</v>
      </c>
      <c r="D20" s="63"/>
      <c r="E20" s="62"/>
      <c r="F20" s="89">
        <v>2</v>
      </c>
      <c r="G20" s="103" t="s">
        <v>56</v>
      </c>
      <c r="H20" s="63"/>
      <c r="I20" s="68"/>
      <c r="J20" s="63">
        <v>2</v>
      </c>
      <c r="K20" s="103" t="s">
        <v>56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8" ht="18.75" customHeight="1">
      <c r="A21" s="46" t="s">
        <v>64</v>
      </c>
      <c r="B21" s="89">
        <v>1</v>
      </c>
      <c r="C21" s="62" t="s">
        <v>55</v>
      </c>
      <c r="D21" s="63"/>
      <c r="E21" s="62"/>
      <c r="F21" s="89">
        <v>1</v>
      </c>
      <c r="G21" s="62" t="s">
        <v>55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8" ht="18" customHeight="1">
      <c r="A22" s="46" t="s">
        <v>102</v>
      </c>
      <c r="B22" s="89"/>
      <c r="C22" s="103"/>
      <c r="D22" s="63"/>
      <c r="E22" s="103"/>
      <c r="F22" s="89">
        <v>1</v>
      </c>
      <c r="G22" s="62" t="s">
        <v>55</v>
      </c>
      <c r="H22" s="63"/>
      <c r="I22" s="68"/>
      <c r="J22" s="63">
        <v>1</v>
      </c>
      <c r="K22" s="62" t="s">
        <v>55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8" ht="18" customHeight="1">
      <c r="A23" s="46" t="s">
        <v>52</v>
      </c>
      <c r="B23" s="89">
        <v>1</v>
      </c>
      <c r="C23" s="62" t="s">
        <v>55</v>
      </c>
      <c r="D23" s="63"/>
      <c r="E23" s="62"/>
      <c r="F23" s="89">
        <v>1</v>
      </c>
      <c r="G23" s="62" t="s">
        <v>55</v>
      </c>
      <c r="H23" s="63"/>
      <c r="I23" s="62"/>
      <c r="J23" s="63">
        <v>1</v>
      </c>
      <c r="K23" s="62" t="s">
        <v>55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8" ht="20.25">
      <c r="A24" s="46" t="s">
        <v>65</v>
      </c>
      <c r="B24" s="89">
        <v>2</v>
      </c>
      <c r="C24" s="103" t="s">
        <v>56</v>
      </c>
      <c r="D24" s="63"/>
      <c r="E24" s="62"/>
      <c r="F24" s="89">
        <v>1</v>
      </c>
      <c r="G24" s="62" t="s">
        <v>55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66</v>
      </c>
      <c r="B25" s="89">
        <v>2</v>
      </c>
      <c r="C25" s="103" t="s">
        <v>56</v>
      </c>
      <c r="D25" s="63"/>
      <c r="E25" s="62"/>
      <c r="F25" s="89">
        <v>2</v>
      </c>
      <c r="G25" s="103" t="s">
        <v>56</v>
      </c>
      <c r="H25" s="63"/>
      <c r="I25" s="68"/>
      <c r="J25" s="63">
        <v>2</v>
      </c>
      <c r="K25" s="103" t="s">
        <v>56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9">
        <v>12</v>
      </c>
      <c r="C26" s="97" t="s">
        <v>49</v>
      </c>
      <c r="D26" s="99"/>
      <c r="E26" s="97"/>
      <c r="F26" s="99">
        <v>18</v>
      </c>
      <c r="G26" s="97" t="s">
        <v>49</v>
      </c>
      <c r="H26" s="101"/>
      <c r="I26" s="102"/>
      <c r="J26" s="99">
        <v>16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8</v>
      </c>
      <c r="C27" s="97" t="s">
        <v>50</v>
      </c>
      <c r="D27" s="99"/>
      <c r="E27" s="97"/>
      <c r="F27" s="99">
        <v>3</v>
      </c>
      <c r="G27" s="97" t="s">
        <v>50</v>
      </c>
      <c r="H27" s="101"/>
      <c r="I27" s="97"/>
      <c r="J27" s="99">
        <v>5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106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63</v>
      </c>
      <c r="V32" s="12"/>
      <c r="W32" s="12"/>
    </row>
    <row r="33" spans="1:23" ht="18">
      <c r="A33" s="34" t="s">
        <v>65</v>
      </c>
      <c r="V33" s="12"/>
      <c r="W33" s="12"/>
    </row>
    <row r="34" spans="1:23" ht="18">
      <c r="A34" s="34" t="s">
        <v>24</v>
      </c>
      <c r="V34" s="12"/>
      <c r="W34" s="12"/>
    </row>
    <row r="35" spans="1:23" ht="18">
      <c r="A35" s="34" t="s">
        <v>60</v>
      </c>
      <c r="V35" s="12"/>
      <c r="W35" s="12"/>
    </row>
    <row r="36" spans="1:23" ht="18">
      <c r="A36" s="34" t="s">
        <v>102</v>
      </c>
      <c r="V36" s="32"/>
      <c r="W36" s="12"/>
    </row>
    <row r="37" spans="1:23" ht="18">
      <c r="A37" s="34" t="s">
        <v>59</v>
      </c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60</v>
      </c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D39"/>
  <sheetViews>
    <sheetView workbookViewId="0">
      <pane xSplit="1" topLeftCell="B1" activePane="topRight" state="frozen"/>
      <selection pane="topRight" activeCell="D20" sqref="D20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30" width="22.7109375" style="22" customWidth="1"/>
    <col min="31" max="16384" width="9.140625" style="22"/>
  </cols>
  <sheetData>
    <row r="1" spans="1:30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30" ht="15">
      <c r="A2" s="77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30" ht="17.25" customHeight="1">
      <c r="A3" s="77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30" ht="63" customHeight="1">
      <c r="A4" s="51" t="str">
        <f>'[1]MOÇÃO E REQUERIMENTO'!B7</f>
        <v>EXPEDIENTE</v>
      </c>
      <c r="B4" s="50" t="s">
        <v>48</v>
      </c>
      <c r="C4" s="118" t="s">
        <v>134</v>
      </c>
      <c r="D4" s="118" t="s">
        <v>107</v>
      </c>
      <c r="E4" s="118" t="s">
        <v>108</v>
      </c>
      <c r="F4" s="118" t="s">
        <v>109</v>
      </c>
      <c r="G4" s="118" t="s">
        <v>110</v>
      </c>
      <c r="H4" s="118" t="s">
        <v>111</v>
      </c>
      <c r="I4" s="118" t="s">
        <v>112</v>
      </c>
      <c r="J4" s="118" t="s">
        <v>113</v>
      </c>
      <c r="K4" s="113" t="s">
        <v>34</v>
      </c>
      <c r="L4" s="125"/>
      <c r="M4" s="50" t="s">
        <v>27</v>
      </c>
      <c r="N4" s="85" t="s">
        <v>114</v>
      </c>
      <c r="O4" s="85" t="s">
        <v>100</v>
      </c>
      <c r="P4" s="85" t="s">
        <v>101</v>
      </c>
      <c r="Q4" s="85" t="s">
        <v>115</v>
      </c>
      <c r="R4" s="85" t="s">
        <v>116</v>
      </c>
      <c r="S4" s="69" t="s">
        <v>117</v>
      </c>
      <c r="T4" s="69" t="s">
        <v>118</v>
      </c>
      <c r="U4" s="69" t="s">
        <v>119</v>
      </c>
      <c r="V4" s="69" t="s">
        <v>120</v>
      </c>
      <c r="W4" s="69" t="s">
        <v>121</v>
      </c>
      <c r="X4" s="69" t="s">
        <v>122</v>
      </c>
      <c r="Y4" s="69" t="s">
        <v>123</v>
      </c>
      <c r="Z4" s="69" t="s">
        <v>124</v>
      </c>
      <c r="AA4" s="69" t="s">
        <v>125</v>
      </c>
      <c r="AB4" s="69" t="s">
        <v>126</v>
      </c>
      <c r="AC4" s="69" t="s">
        <v>127</v>
      </c>
      <c r="AD4" s="69" t="s">
        <v>128</v>
      </c>
    </row>
    <row r="5" spans="1:30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4"/>
      <c r="N5" s="119" t="s">
        <v>93</v>
      </c>
      <c r="O5" s="119" t="s">
        <v>93</v>
      </c>
      <c r="P5" s="119" t="s">
        <v>93</v>
      </c>
      <c r="Q5" s="114" t="s">
        <v>92</v>
      </c>
      <c r="R5" s="114" t="s">
        <v>92</v>
      </c>
      <c r="S5" s="114" t="s">
        <v>92</v>
      </c>
      <c r="T5" s="114" t="s">
        <v>92</v>
      </c>
      <c r="U5" s="119" t="s">
        <v>93</v>
      </c>
      <c r="V5" s="114" t="s">
        <v>92</v>
      </c>
      <c r="W5" s="114" t="s">
        <v>92</v>
      </c>
      <c r="X5" s="119" t="s">
        <v>93</v>
      </c>
      <c r="Y5" s="114" t="s">
        <v>92</v>
      </c>
      <c r="Z5" s="119" t="s">
        <v>93</v>
      </c>
      <c r="AA5" s="114" t="s">
        <v>92</v>
      </c>
      <c r="AB5" s="114" t="s">
        <v>92</v>
      </c>
      <c r="AC5" s="114" t="s">
        <v>92</v>
      </c>
      <c r="AD5" s="114" t="s">
        <v>92</v>
      </c>
    </row>
    <row r="6" spans="1:30" ht="15.75">
      <c r="A6" s="128" t="s">
        <v>54</v>
      </c>
      <c r="M6" s="23"/>
    </row>
    <row r="7" spans="1:30" ht="15.75">
      <c r="A7" s="128" t="s">
        <v>94</v>
      </c>
      <c r="M7" s="23"/>
    </row>
    <row r="8" spans="1:30" ht="15.75">
      <c r="A8" s="128" t="s">
        <v>57</v>
      </c>
      <c r="M8" s="23"/>
    </row>
    <row r="9" spans="1:30" ht="15.75">
      <c r="A9" s="129" t="s">
        <v>58</v>
      </c>
      <c r="M9" s="23"/>
    </row>
    <row r="10" spans="1:30" ht="15.75">
      <c r="A10" s="128" t="s">
        <v>28</v>
      </c>
      <c r="M10" s="23"/>
    </row>
    <row r="11" spans="1:30" ht="15.75">
      <c r="A11" s="128" t="s">
        <v>59</v>
      </c>
      <c r="M11" s="23"/>
    </row>
    <row r="12" spans="1:30" ht="15.75">
      <c r="A12" s="128" t="s">
        <v>22</v>
      </c>
      <c r="M12" s="23"/>
    </row>
    <row r="13" spans="1:30" ht="15.75">
      <c r="A13" s="128" t="s">
        <v>23</v>
      </c>
      <c r="M13" s="23"/>
    </row>
    <row r="14" spans="1:30" ht="15.75">
      <c r="A14" s="128" t="s">
        <v>24</v>
      </c>
      <c r="M14" s="23"/>
    </row>
    <row r="15" spans="1:30" ht="15.75">
      <c r="A15" s="128" t="s">
        <v>60</v>
      </c>
      <c r="M15" s="23"/>
    </row>
    <row r="16" spans="1:30" ht="15.75">
      <c r="A16" s="128" t="s">
        <v>61</v>
      </c>
      <c r="M16" s="23"/>
    </row>
    <row r="17" spans="1:13" ht="15.75">
      <c r="A17" s="128" t="s">
        <v>62</v>
      </c>
      <c r="M17" s="23"/>
    </row>
    <row r="18" spans="1:13" ht="15.75">
      <c r="A18" s="128" t="s">
        <v>25</v>
      </c>
      <c r="M18" s="23"/>
    </row>
    <row r="19" spans="1:13" ht="15.75">
      <c r="A19" s="128" t="s">
        <v>63</v>
      </c>
      <c r="M19" s="23"/>
    </row>
    <row r="20" spans="1:13" ht="15.75">
      <c r="A20" s="128" t="s">
        <v>95</v>
      </c>
      <c r="M20" s="23"/>
    </row>
    <row r="21" spans="1:13" ht="15.75">
      <c r="A21" s="128" t="s">
        <v>26</v>
      </c>
      <c r="M21" s="23"/>
    </row>
    <row r="22" spans="1:13" ht="15.75">
      <c r="A22" s="128" t="s">
        <v>64</v>
      </c>
      <c r="M22" s="23"/>
    </row>
    <row r="23" spans="1:13" ht="15.75">
      <c r="A23" s="128" t="s">
        <v>102</v>
      </c>
      <c r="M23" s="23"/>
    </row>
    <row r="24" spans="1:13" ht="15.75">
      <c r="A24" s="128" t="s">
        <v>52</v>
      </c>
      <c r="M24" s="23"/>
    </row>
    <row r="25" spans="1:13" ht="15.75">
      <c r="A25" s="128" t="s">
        <v>65</v>
      </c>
      <c r="M25" s="23"/>
    </row>
    <row r="26" spans="1:13" ht="15.75">
      <c r="A26" s="128" t="s">
        <v>66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C11" sqref="C11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103</v>
      </c>
      <c r="B2" s="49"/>
      <c r="C2" s="75"/>
    </row>
    <row r="3" spans="1:46" ht="17.25" customHeight="1">
      <c r="A3" s="77" t="s">
        <v>105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31</v>
      </c>
      <c r="C4" s="140" t="s">
        <v>129</v>
      </c>
      <c r="D4" s="110" t="s">
        <v>6</v>
      </c>
      <c r="E4" s="143" t="s">
        <v>131</v>
      </c>
      <c r="F4" s="143" t="s">
        <v>132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37</v>
      </c>
      <c r="B5" s="79"/>
      <c r="C5" s="114" t="s">
        <v>130</v>
      </c>
      <c r="D5" s="80"/>
      <c r="E5" s="114" t="s">
        <v>96</v>
      </c>
      <c r="F5" s="114" t="s">
        <v>98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54</v>
      </c>
      <c r="C6" s="108" t="s">
        <v>97</v>
      </c>
      <c r="E6" s="108" t="s">
        <v>97</v>
      </c>
      <c r="F6" s="108"/>
    </row>
    <row r="7" spans="1:46" ht="20.25">
      <c r="A7" s="46" t="s">
        <v>94</v>
      </c>
      <c r="C7" s="108" t="s">
        <v>97</v>
      </c>
      <c r="E7" s="108" t="s">
        <v>97</v>
      </c>
      <c r="F7" s="108"/>
    </row>
    <row r="8" spans="1:46" ht="20.25">
      <c r="A8" s="46" t="s">
        <v>57</v>
      </c>
      <c r="C8" s="108" t="s">
        <v>97</v>
      </c>
      <c r="E8" s="108" t="s">
        <v>97</v>
      </c>
      <c r="F8" s="108"/>
    </row>
    <row r="9" spans="1:46" ht="20.25">
      <c r="A9" s="83" t="s">
        <v>58</v>
      </c>
      <c r="C9" s="115" t="s">
        <v>99</v>
      </c>
      <c r="E9" s="115" t="s">
        <v>99</v>
      </c>
      <c r="F9" s="115"/>
    </row>
    <row r="10" spans="1:46" ht="20.25">
      <c r="A10" s="46" t="s">
        <v>28</v>
      </c>
      <c r="C10" s="108" t="s">
        <v>97</v>
      </c>
      <c r="E10" s="108" t="s">
        <v>97</v>
      </c>
      <c r="F10" s="108"/>
    </row>
    <row r="11" spans="1:46" ht="20.25">
      <c r="A11" s="46" t="s">
        <v>59</v>
      </c>
      <c r="C11" s="115" t="s">
        <v>56</v>
      </c>
      <c r="E11" s="115" t="s">
        <v>56</v>
      </c>
      <c r="F11" s="115"/>
    </row>
    <row r="12" spans="1:46" ht="20.25">
      <c r="A12" s="46" t="s">
        <v>22</v>
      </c>
      <c r="C12" s="108" t="s">
        <v>97</v>
      </c>
      <c r="E12" s="108" t="s">
        <v>97</v>
      </c>
      <c r="F12" s="108"/>
    </row>
    <row r="13" spans="1:46" ht="20.25">
      <c r="A13" s="46" t="s">
        <v>23</v>
      </c>
      <c r="C13" s="115" t="s">
        <v>56</v>
      </c>
      <c r="E13" s="115" t="s">
        <v>56</v>
      </c>
      <c r="F13" s="108"/>
    </row>
    <row r="14" spans="1:46" ht="20.25">
      <c r="A14" s="46" t="s">
        <v>24</v>
      </c>
      <c r="C14" s="108" t="s">
        <v>97</v>
      </c>
      <c r="E14" s="108" t="s">
        <v>97</v>
      </c>
      <c r="F14" s="108"/>
    </row>
    <row r="15" spans="1:46" ht="20.25">
      <c r="A15" s="46" t="s">
        <v>60</v>
      </c>
      <c r="C15" s="108" t="s">
        <v>97</v>
      </c>
      <c r="E15" s="108" t="s">
        <v>97</v>
      </c>
      <c r="F15" s="108"/>
    </row>
    <row r="16" spans="1:46" ht="20.25">
      <c r="A16" s="46" t="s">
        <v>61</v>
      </c>
      <c r="C16" s="108" t="s">
        <v>97</v>
      </c>
      <c r="E16" s="108" t="s">
        <v>97</v>
      </c>
      <c r="F16" s="108"/>
    </row>
    <row r="17" spans="1:131" ht="20.25">
      <c r="A17" s="46" t="s">
        <v>62</v>
      </c>
      <c r="C17" s="108" t="s">
        <v>97</v>
      </c>
      <c r="E17" s="108" t="s">
        <v>97</v>
      </c>
      <c r="F17" s="108"/>
    </row>
    <row r="18" spans="1:131" ht="20.25">
      <c r="A18" s="46" t="s">
        <v>25</v>
      </c>
      <c r="C18" s="108" t="s">
        <v>97</v>
      </c>
      <c r="E18" s="108" t="s">
        <v>97</v>
      </c>
      <c r="F18" s="115"/>
    </row>
    <row r="19" spans="1:131" ht="20.25">
      <c r="A19" s="46" t="s">
        <v>63</v>
      </c>
      <c r="C19" s="108" t="s">
        <v>97</v>
      </c>
      <c r="E19" s="108" t="s">
        <v>97</v>
      </c>
      <c r="F19" s="108"/>
    </row>
    <row r="20" spans="1:131" ht="20.25">
      <c r="A20" s="46" t="s">
        <v>95</v>
      </c>
      <c r="C20" s="108" t="s">
        <v>97</v>
      </c>
      <c r="E20" s="108" t="s">
        <v>97</v>
      </c>
      <c r="F20" s="108"/>
    </row>
    <row r="21" spans="1:131" ht="20.25">
      <c r="A21" s="46" t="s">
        <v>26</v>
      </c>
      <c r="C21" s="115" t="s">
        <v>56</v>
      </c>
      <c r="E21" s="115" t="s">
        <v>56</v>
      </c>
      <c r="F21" s="108"/>
    </row>
    <row r="22" spans="1:131" ht="20.25">
      <c r="A22" s="46" t="s">
        <v>64</v>
      </c>
      <c r="C22" s="108" t="s">
        <v>97</v>
      </c>
      <c r="E22" s="108" t="s">
        <v>97</v>
      </c>
      <c r="F22" s="108"/>
    </row>
    <row r="23" spans="1:131" ht="20.25">
      <c r="A23" s="46" t="s">
        <v>102</v>
      </c>
      <c r="C23" s="108" t="s">
        <v>97</v>
      </c>
      <c r="E23" s="108" t="s">
        <v>97</v>
      </c>
      <c r="F23" s="108"/>
    </row>
    <row r="24" spans="1:131" ht="20.25">
      <c r="A24" s="46" t="s">
        <v>52</v>
      </c>
      <c r="C24" s="108" t="s">
        <v>97</v>
      </c>
      <c r="E24" s="108" t="s">
        <v>97</v>
      </c>
      <c r="F24" s="108"/>
    </row>
    <row r="25" spans="1:131" ht="20.25">
      <c r="A25" s="46" t="s">
        <v>65</v>
      </c>
      <c r="C25" s="108" t="s">
        <v>97</v>
      </c>
      <c r="E25" s="108" t="s">
        <v>97</v>
      </c>
      <c r="F25" s="108"/>
    </row>
    <row r="26" spans="1:131" ht="20.25">
      <c r="A26" s="46" t="s">
        <v>66</v>
      </c>
      <c r="C26" s="115" t="s">
        <v>56</v>
      </c>
      <c r="E26" s="115" t="s">
        <v>56</v>
      </c>
      <c r="F26" s="108"/>
    </row>
    <row r="27" spans="1:131" s="16" customFormat="1" ht="15.75">
      <c r="A27" s="15" t="s">
        <v>18</v>
      </c>
      <c r="B27"/>
      <c r="C27" s="104">
        <f>COUNTIF(C6:C26,"sim")</f>
        <v>16</v>
      </c>
      <c r="D27"/>
      <c r="E27" s="104">
        <f t="shared" ref="E27:F27" si="0">COUNTIF(E6:E26,"sim")</f>
        <v>16</v>
      </c>
      <c r="F27" s="104">
        <f t="shared" si="0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:F28" si="1">COUNTIF(E6:E26,"não")</f>
        <v>0</v>
      </c>
      <c r="F28" s="105">
        <f t="shared" si="1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4</v>
      </c>
      <c r="E29" s="40">
        <f t="shared" ref="E29:F29" si="2">COUNTIF(E6:E26,"ausente")</f>
        <v>4</v>
      </c>
      <c r="F29" s="40">
        <f t="shared" si="2"/>
        <v>0</v>
      </c>
    </row>
    <row r="30" spans="1:131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:F30" si="3">COUNTIF(E6:E26,"abstenção")</f>
        <v>0</v>
      </c>
      <c r="F30" s="106">
        <f t="shared" si="3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6"/>
      <c r="D31"/>
      <c r="E31" s="106"/>
      <c r="F31" s="10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54</v>
      </c>
      <c r="C6" s="108"/>
      <c r="U6" s="7"/>
      <c r="V6" s="7"/>
    </row>
    <row r="7" spans="1:29" ht="18">
      <c r="A7" s="130" t="s">
        <v>94</v>
      </c>
      <c r="C7" s="108"/>
      <c r="U7" s="7"/>
      <c r="V7" s="7"/>
    </row>
    <row r="8" spans="1:29" ht="18">
      <c r="A8" s="130" t="s">
        <v>57</v>
      </c>
      <c r="C8" s="108"/>
      <c r="U8" s="7"/>
      <c r="V8" s="7"/>
    </row>
    <row r="9" spans="1:29" ht="18">
      <c r="A9" s="131" t="s">
        <v>58</v>
      </c>
      <c r="C9" s="115"/>
      <c r="U9" s="7"/>
      <c r="V9" s="7"/>
    </row>
    <row r="10" spans="1:29" ht="18">
      <c r="A10" s="130" t="s">
        <v>28</v>
      </c>
      <c r="C10" s="108"/>
      <c r="U10" s="7"/>
      <c r="V10" s="7"/>
    </row>
    <row r="11" spans="1:29" ht="18">
      <c r="A11" s="130" t="s">
        <v>59</v>
      </c>
      <c r="C11" s="115"/>
      <c r="U11" s="7"/>
      <c r="V11" s="7"/>
    </row>
    <row r="12" spans="1:29" ht="18">
      <c r="A12" s="130" t="s">
        <v>22</v>
      </c>
      <c r="C12" s="115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60</v>
      </c>
      <c r="C15" s="108"/>
      <c r="U15" s="7"/>
      <c r="V15" s="7"/>
    </row>
    <row r="16" spans="1:29" ht="18">
      <c r="A16" s="130" t="s">
        <v>61</v>
      </c>
      <c r="C16" s="108"/>
      <c r="U16" s="7"/>
      <c r="V16" s="7"/>
    </row>
    <row r="17" spans="1:123" ht="15" customHeight="1">
      <c r="A17" s="130" t="s">
        <v>62</v>
      </c>
      <c r="C17" s="108"/>
      <c r="T17" s="8"/>
      <c r="U17" s="7"/>
      <c r="V17" s="7"/>
    </row>
    <row r="18" spans="1:123" ht="18">
      <c r="A18" s="130" t="s">
        <v>25</v>
      </c>
      <c r="C18" s="115"/>
      <c r="U18" s="7"/>
      <c r="V18" s="7"/>
    </row>
    <row r="19" spans="1:123" ht="18">
      <c r="A19" s="130" t="s">
        <v>63</v>
      </c>
      <c r="C19" s="108"/>
      <c r="U19" s="7"/>
      <c r="V19" s="7"/>
    </row>
    <row r="20" spans="1:123" ht="18">
      <c r="A20" s="130" t="s">
        <v>95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64</v>
      </c>
      <c r="C22" s="108"/>
      <c r="U22" s="7"/>
      <c r="V22" s="7"/>
    </row>
    <row r="23" spans="1:123" ht="18">
      <c r="A23" s="130" t="s">
        <v>102</v>
      </c>
      <c r="C23" s="108"/>
      <c r="U23" s="7"/>
      <c r="V23" s="7"/>
    </row>
    <row r="24" spans="1:123" ht="18">
      <c r="A24" s="130" t="s">
        <v>52</v>
      </c>
      <c r="C24" s="108"/>
      <c r="U24" s="7"/>
      <c r="V24" s="7"/>
    </row>
    <row r="25" spans="1:123" ht="18">
      <c r="A25" s="130" t="s">
        <v>65</v>
      </c>
      <c r="C25" s="108"/>
      <c r="U25" s="7"/>
      <c r="V25" s="7"/>
    </row>
    <row r="26" spans="1:123" ht="18">
      <c r="A26" s="130" t="s">
        <v>66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H13" sqref="H1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103</v>
      </c>
      <c r="B2" s="2"/>
    </row>
    <row r="3" spans="1:3" ht="15.75" thickBot="1">
      <c r="A3" s="122" t="s">
        <v>105</v>
      </c>
      <c r="B3" s="2"/>
    </row>
    <row r="4" spans="1:3" ht="78.75" customHeight="1" thickBot="1">
      <c r="A4" s="121" t="s">
        <v>5</v>
      </c>
      <c r="B4" s="112" t="s">
        <v>21</v>
      </c>
      <c r="C4" s="142" t="s">
        <v>133</v>
      </c>
    </row>
    <row r="5" spans="1:3" s="6" customFormat="1" ht="60.75" customHeight="1">
      <c r="A5" s="123"/>
      <c r="B5" s="112"/>
      <c r="C5" s="114" t="s">
        <v>96</v>
      </c>
    </row>
    <row r="6" spans="1:3" ht="15.75">
      <c r="A6" s="128" t="s">
        <v>54</v>
      </c>
      <c r="C6" s="108" t="s">
        <v>97</v>
      </c>
    </row>
    <row r="7" spans="1:3" ht="15.75">
      <c r="A7" s="128" t="s">
        <v>94</v>
      </c>
      <c r="C7" s="108" t="s">
        <v>97</v>
      </c>
    </row>
    <row r="8" spans="1:3" ht="15.75">
      <c r="A8" s="128" t="s">
        <v>57</v>
      </c>
      <c r="C8" s="108" t="s">
        <v>97</v>
      </c>
    </row>
    <row r="9" spans="1:3" ht="15.75">
      <c r="A9" s="129" t="s">
        <v>58</v>
      </c>
      <c r="C9" s="108" t="s">
        <v>97</v>
      </c>
    </row>
    <row r="10" spans="1:3" ht="15.75">
      <c r="A10" s="128" t="s">
        <v>28</v>
      </c>
      <c r="C10" s="108" t="s">
        <v>97</v>
      </c>
    </row>
    <row r="11" spans="1:3" ht="15.75">
      <c r="A11" s="128" t="s">
        <v>59</v>
      </c>
      <c r="C11" s="115" t="s">
        <v>56</v>
      </c>
    </row>
    <row r="12" spans="1:3" ht="15.75">
      <c r="A12" s="128" t="s">
        <v>22</v>
      </c>
      <c r="C12" s="108" t="s">
        <v>97</v>
      </c>
    </row>
    <row r="13" spans="1:3" ht="15.75">
      <c r="A13" s="128" t="s">
        <v>23</v>
      </c>
      <c r="B13" s="141"/>
      <c r="C13" s="115" t="s">
        <v>56</v>
      </c>
    </row>
    <row r="14" spans="1:3" ht="15.75">
      <c r="A14" s="128" t="s">
        <v>24</v>
      </c>
      <c r="C14" s="108" t="s">
        <v>97</v>
      </c>
    </row>
    <row r="15" spans="1:3" ht="15.75">
      <c r="A15" s="128" t="s">
        <v>60</v>
      </c>
      <c r="C15" s="108" t="s">
        <v>97</v>
      </c>
    </row>
    <row r="16" spans="1:3" ht="15.75">
      <c r="A16" s="128" t="s">
        <v>61</v>
      </c>
      <c r="C16" s="108" t="s">
        <v>97</v>
      </c>
    </row>
    <row r="17" spans="1:3" ht="15.75">
      <c r="A17" s="128" t="s">
        <v>62</v>
      </c>
      <c r="C17" s="108" t="s">
        <v>97</v>
      </c>
    </row>
    <row r="18" spans="1:3" ht="15.75">
      <c r="A18" s="128" t="s">
        <v>25</v>
      </c>
      <c r="C18" s="108" t="s">
        <v>97</v>
      </c>
    </row>
    <row r="19" spans="1:3" ht="15.75">
      <c r="A19" s="128" t="s">
        <v>63</v>
      </c>
      <c r="C19" s="108" t="s">
        <v>97</v>
      </c>
    </row>
    <row r="20" spans="1:3" ht="15.75">
      <c r="A20" s="128" t="s">
        <v>95</v>
      </c>
      <c r="C20" s="108" t="s">
        <v>97</v>
      </c>
    </row>
    <row r="21" spans="1:3" ht="15.75">
      <c r="A21" s="128" t="s">
        <v>26</v>
      </c>
      <c r="C21" s="115" t="s">
        <v>56</v>
      </c>
    </row>
    <row r="22" spans="1:3" ht="15.75">
      <c r="A22" s="128" t="s">
        <v>64</v>
      </c>
      <c r="C22" s="108" t="s">
        <v>97</v>
      </c>
    </row>
    <row r="23" spans="1:3" ht="15.75">
      <c r="A23" s="128" t="s">
        <v>102</v>
      </c>
      <c r="C23" s="108" t="s">
        <v>97</v>
      </c>
    </row>
    <row r="24" spans="1:3" ht="15.75">
      <c r="A24" s="128" t="s">
        <v>52</v>
      </c>
      <c r="C24" s="108" t="s">
        <v>97</v>
      </c>
    </row>
    <row r="25" spans="1:3" ht="15.75">
      <c r="A25" s="128" t="s">
        <v>65</v>
      </c>
      <c r="C25" s="108" t="s">
        <v>97</v>
      </c>
    </row>
    <row r="26" spans="1:3" ht="15.75">
      <c r="A26" s="128" t="s">
        <v>66</v>
      </c>
      <c r="C26" s="115" t="s">
        <v>56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17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4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23" sqref="A2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103</v>
      </c>
      <c r="B2" s="2"/>
      <c r="C2" s="54"/>
      <c r="D2" s="54"/>
      <c r="E2" s="54"/>
    </row>
    <row r="3" spans="1:9" ht="15.75" thickBot="1">
      <c r="A3" s="122" t="s">
        <v>105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94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95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102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A23" sqref="A2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103</v>
      </c>
      <c r="B2" s="2"/>
    </row>
    <row r="3" spans="1:25">
      <c r="A3" s="77" t="s">
        <v>105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94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95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102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2025-06-09T13:23:14Z</dcterms:modified>
</cp:coreProperties>
</file>