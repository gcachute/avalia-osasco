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AD113C53-733E-4D20-A3C7-16C50924B87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C28" i="3"/>
  <c r="D28" i="3"/>
  <c r="C29" i="3"/>
  <c r="D29" i="3"/>
  <c r="C30" i="3"/>
  <c r="D30" i="3"/>
  <c r="C27" i="2"/>
  <c r="C28" i="2"/>
  <c r="C29" i="2"/>
  <c r="C30" i="2"/>
  <c r="C28" i="10"/>
  <c r="C29" i="10"/>
  <c r="C30" i="10"/>
  <c r="C31" i="10"/>
  <c r="E27" i="2"/>
  <c r="E28" i="2"/>
  <c r="E29" i="2"/>
  <c r="E30" i="2"/>
  <c r="E27" i="3"/>
  <c r="E28" i="3"/>
  <c r="E29" i="3"/>
  <c r="E30" i="3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<sst xmlns="http://schemas.openxmlformats.org/spreadsheetml/2006/main" count="449" uniqueCount="126">
  <si>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</si>
  <si>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</si>
  <si>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</si>
  <si>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</si>
  <si>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</si>
  <si>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</si>
  <si>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</si>
  <si>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</si>
  <si>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</si>
  <si>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</si>
  <si>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</si>
  <si>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</si>
  <si>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</si>
  <si>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</si>
  <si>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</si>
  <si>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</si>
  <si>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</si>
  <si>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</si>
  <si>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</si>
  <si>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</si>
  <si>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</si>
  <si>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</si>
  <si>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</si>
  <si>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</si>
  <si>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</si>
  <si>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</si>
  <si>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</si>
  <si>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</si>
  <si>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</si>
  <si>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</si>
  <si>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</si>
  <si>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</si>
  <si>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</si>
  <si>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</si>
  <si>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</si>
  <si>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</si>
  <si>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</si>
  <si>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</si>
  <si>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</si>
  <si>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</si>
  <si>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</si>
  <si>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</si>
  <si>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</si>
  <si>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</si>
  <si>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</si>
  <si>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</si>
  <si>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</si>
  <si>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</si>
  <si>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</si>
  <si>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</si>
  <si>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</si>
  <si>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</si>
  <si>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</si>
  <si>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</si>
  <si>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</si>
  <si>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</si>
  <si>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</si>
  <si>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</si>
  <si>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</si>
  <si>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</si>
  <si>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</si>
  <si>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</si>
  <si>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</si>
  <si>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</si>
  <si>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</si>
  <si>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</si>
  <si>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</si>
  <si>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</si>
  <si>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</si>
  <si>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</si>
  <si>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</si>
  <si>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</si>
  <si>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</si>
  <si>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</si>
  <si>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</si>
  <si>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</si>
  <si>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</si>
  <si>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</si>
  <si>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</si>
  <si>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</si>
  <si>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</si>
  <si>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</si>
  <si>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</si>
  <si>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</si>
  <si>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</si>
  <si>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</si>
  <si>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</si>
  <si>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</si>
  <si>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</si>
  <si>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</si>
  <si>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</si>
  <si>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</si>
  <si>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</si>
  <si>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</si>
  <si>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</si>
  <si>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</si>
  <si>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APROVADO</t>
  </si>
  <si>
    <t>sim</t>
  </si>
  <si>
    <t>na presidência</t>
  </si>
  <si>
    <t>Justificativa de ausência do Vereador Alexandre Capriotti.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</si>
  <si>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</si>
  <si>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t>10ª SESSÃO ORDINÁRIA</t>
  </si>
  <si>
    <t>DIA 12 DE MARÇO DE 2026 - QUINTA-FEIRA</t>
  </si>
  <si>
    <t>Projeto de Lei nº 49/2026 – Prefeito do Município de Osasco – Dispõe sobre a prorrogação do prazo para adesão ao Programa de Parcelamento Especial de Osasco, previsto na Lei nº 5.447, de 22 de dezembro de 2025.</t>
  </si>
  <si>
    <t>Projeto de Lei nº 44/2026 – Gabriel Saúde – Institui a pulseira de identificação com código QR para pessoas com deficiência, transtornos do neurodesenvolvimento e doenças crônicas em situação de vulnerabilidade com risco de desaparecimento no Município de Osasco e dá outras providências.</t>
  </si>
  <si>
    <t>Projeto de Lei nº 45/2026 – Gabriel Saúde – Dispõe sobre a instalação de código QR (Quick Response) nos postes de iluminação pública de vias de grande circulação no Município de Osasco para registro digital de ocorrências pelos cidadãos e dá outras providências.</t>
  </si>
  <si>
    <t>Projeto de Lei nº 46/2026 – Laércio Mendonça – Dispõe sobre a obrigatoriedade de concessão de isenção total ou parcial da taxa de inscrição em corridas de rua realizadas por entidades privadas, para pessoas de baixa renda.</t>
  </si>
  <si>
    <t>Projeto de Lei nº 47/2026 – Laércio Mendonça – Altera a Lei nº 836, de 17 de abril de 1969, que dispõe sobre o Estatuto dos Funcionários Públicos do Município de Osasco, para instituir a licença para mulheres que apresentem sintomas incapacitantes durante o período menstrual.</t>
  </si>
  <si>
    <t>Projeto de Lei nº 48/2026 – Pedrinho Cantagessi – Cria no Município de Osasco a Biblioteca Digital Municipal, e dá outras providências.</t>
  </si>
  <si>
    <r>
      <t xml:space="preserve">MOÇÃO DE RECONHECIMENTO Nº 26/2026 – GABRIEL SAÚDE – </t>
    </r>
    <r>
      <rPr>
        <sz val="11"/>
        <color theme="1"/>
        <rFont val="Arial"/>
        <family val="2"/>
      </rPr>
      <t xml:space="preserve">Ao Sr. Richard Lopes dos Santos, em reconhecimento à sua exemplar trajetória pessoal e profissional, marcada por elevado espírito público, disciplina, dedicação e notáveis serviços prestados à sociedade. </t>
    </r>
  </si>
  <si>
    <r>
      <t xml:space="preserve">MOÇÃO DE APLAUSO Nº 27/2026 – STEPHANE ROSSI – </t>
    </r>
    <r>
      <rPr>
        <sz val="11"/>
        <color theme="1"/>
        <rFont val="Arial"/>
        <family val="2"/>
      </rPr>
      <t xml:space="preserve">Aos 56 Guardas Civis Municipais (GCM’s) que completam 20 anos de instituição. </t>
    </r>
  </si>
  <si>
    <t>pela ausência da autora, será pautada na próxima sessão.</t>
  </si>
  <si>
    <r>
      <t xml:space="preserve">MOÇÃO DE RECONHECIMENTO Nº 28/2026 – LAÉRCIO MENDONÇA – </t>
    </r>
    <r>
      <rPr>
        <sz val="11"/>
        <color theme="1"/>
        <rFont val="Arial"/>
        <family val="2"/>
      </rPr>
      <t xml:space="preserve">Ao Grupo Arsis, por sua trajetória artística e contribuição à cultura urbana e à dança, desde sua fundação em 1998, sob a liderança de sua fundadora, Cíntia, que transformou uma reunião de amigos em uma referência cultural e artística na cidade. </t>
    </r>
  </si>
  <si>
    <t>pela ausência do autor, será pautada na próxima sessão.</t>
  </si>
  <si>
    <r>
      <t>MOÇÃO DE RECONHECIMENTO Nº 30/2026 – LAÉRCIO MENDONÇA –</t>
    </r>
    <r>
      <rPr>
        <sz val="11"/>
        <color theme="1"/>
        <rFont val="Arial"/>
        <family val="2"/>
      </rPr>
      <t xml:space="preserve"> Ao Dia Internacional da Mulher, celebrado em 08 de março. </t>
    </r>
  </si>
  <si>
    <r>
      <t xml:space="preserve">MOÇÃO DE APLAUSO Nº 31/2026 – PEDRINHO CANTAGESSI – </t>
    </r>
    <r>
      <rPr>
        <sz val="11"/>
        <color theme="1"/>
        <rFont val="Arial"/>
        <family val="2"/>
      </rPr>
      <t>Às funcionárias da empresa Era Técnica, pelo empenho, dedicação e profissionalismo demonstrados no exercício de suas atividades.</t>
    </r>
  </si>
  <si>
    <r>
      <t>MOÇÃO DE PESAR Nº 32/2026 – EMERSON OSASCO –</t>
    </r>
    <r>
      <rPr>
        <sz val="11"/>
        <color theme="1"/>
        <rFont val="Arial"/>
        <family val="2"/>
      </rPr>
      <t xml:space="preserve"> Pelo falecimento de Maria Helena dos Santos, ocorrido no dia 26 fevereiro.</t>
    </r>
  </si>
  <si>
    <r>
      <t xml:space="preserve">MOÇÃO DE CONGRATULAÇÕES Nº 33/2026 – EMERSON OSASCO – </t>
    </r>
    <r>
      <rPr>
        <sz val="11"/>
        <color theme="1"/>
        <rFont val="Arial"/>
        <family val="2"/>
      </rPr>
      <t>À dona Carmelita Cipriano, pelo aniversário de 100 anos.</t>
    </r>
  </si>
  <si>
    <r>
      <t xml:space="preserve">MOÇÃO DE REPÚDIO Nº 34/2026 – ELÂNIA SILVA – </t>
    </r>
    <r>
      <rPr>
        <sz val="11"/>
        <color theme="1"/>
        <rFont val="Arial"/>
        <family val="2"/>
      </rPr>
      <t>À SABESP, pela falta de abastecimento de água no Jardim Lofredo, desde o dia 6 de março.</t>
    </r>
  </si>
  <si>
    <r>
      <t xml:space="preserve">APROVADO
</t>
    </r>
    <r>
      <rPr>
        <b/>
        <sz val="14"/>
        <color rgb="FF00B050"/>
        <rFont val="Arial"/>
        <family val="2"/>
      </rPr>
      <t>VOTAÇÃO SIMBÓLICA</t>
    </r>
  </si>
  <si>
    <r>
      <t>PROJETO DE LEI N.º 218/2025 – DÉLBIO TERUEL -</t>
    </r>
    <r>
      <rPr>
        <sz val="14"/>
        <color theme="1"/>
        <rFont val="Arial"/>
        <family val="2"/>
      </rPr>
      <t xml:space="preserve"> Institui o “Dia Municipal do Vôlei Adaptado à Melhor Idade”, no âmbito do Município de Osasco, e dá outras providências.</t>
    </r>
  </si>
  <si>
    <r>
      <t xml:space="preserve">PROJETO DE LEI N.º 117/2025 – LÚCIA DA SAÚDE - </t>
    </r>
    <r>
      <rPr>
        <sz val="11"/>
        <color theme="1"/>
        <rFont val="Arial"/>
        <family val="2"/>
      </rPr>
      <t xml:space="preserve">Dispõe sobre a obrigatoriedade de profissional habilitado com curso de primeiros socorros e suporte básico à vida nas academias de ginástica do Município de Osasco. </t>
    </r>
  </si>
  <si>
    <t>pela ausência da autora, será pautado na próxima sessão.</t>
  </si>
  <si>
    <r>
      <t xml:space="preserve">PROJETO DE LEI N.º 126/2025 – ELANIA SILVA – </t>
    </r>
    <r>
      <rPr>
        <sz val="11"/>
        <color theme="1"/>
        <rFont val="Arial"/>
        <family val="2"/>
      </rPr>
      <t>Dispõe sobre a concessão de título de utilidade pública ao Instituto Novo Tempo.</t>
    </r>
  </si>
  <si>
    <r>
      <t xml:space="preserve">PROJETO DE LEI N.º 203/2025 – ELSA OLIVEIRA – </t>
    </r>
    <r>
      <rPr>
        <sz val="11"/>
        <color theme="1"/>
        <rFont val="Arial"/>
        <family val="2"/>
      </rPr>
      <t>Institui o Dia das Artes Marciais no Município.</t>
    </r>
  </si>
  <si>
    <r>
      <t xml:space="preserve">PROJETO DE DECRETO LEGISLATIVO Nº 7/2026 – PEDRINHO CANTAGESSI - </t>
    </r>
    <r>
      <rPr>
        <sz val="11"/>
        <color theme="1"/>
        <rFont val="Arial"/>
        <family val="2"/>
      </rPr>
      <t>Dispõe sobre a concessão de Título de Cidadão Osasquense ao Sr. Renann Vinicius Sindona Momo Lopes do Prado.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</si>
</sst>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  <font>
      <b/>
      <sz val="11"/>
      <color rgb="FF00B050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zoomScale="70" zoomScaleNormal="70" workbookViewId="0">
      <selection activeCell="A56" sqref="A5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7" t="s">
        <v>29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0"/>
      <c r="O1" s="70"/>
      <c r="P1" s="70"/>
      <c r="Q1" s="40">
        <v>1</v>
      </c>
      <c r="R1" s="36" t="s">
        <v>10</v>
      </c>
      <c r="T1" s="151"/>
      <c r="U1" s="151"/>
      <c r="V1" s="151"/>
      <c r="W1" s="151"/>
      <c r="X1" s="151"/>
      <c r="Y1" s="151"/>
      <c r="Z1" s="7" t="s">
        <v>16</v>
      </c>
    </row>
    <row r="2" spans="1:28" ht="19.5" customHeight="1">
      <c r="A2" s="83" t="s">
        <v>101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70"/>
      <c r="O2" s="70"/>
      <c r="P2" s="70"/>
      <c r="Q2" s="35">
        <v>2</v>
      </c>
      <c r="R2" s="36" t="s">
        <v>11</v>
      </c>
      <c r="T2" s="151"/>
      <c r="U2" s="151"/>
      <c r="V2" s="151"/>
      <c r="W2" s="151"/>
      <c r="X2" s="151"/>
      <c r="Y2" s="151"/>
      <c r="Z2" s="7" t="s">
        <v>17</v>
      </c>
    </row>
    <row r="3" spans="1:28" ht="19.5" customHeight="1" thickBot="1">
      <c r="A3" s="83" t="s">
        <v>102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70"/>
      <c r="O3" s="70"/>
      <c r="P3" s="70"/>
      <c r="Q3" s="41">
        <v>3</v>
      </c>
      <c r="R3" s="37" t="s">
        <v>12</v>
      </c>
      <c r="T3" s="151"/>
      <c r="U3" s="151"/>
      <c r="V3" s="151"/>
      <c r="W3" s="151"/>
      <c r="X3" s="151"/>
      <c r="Y3" s="151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1"/>
      <c r="U4" s="151"/>
      <c r="V4" s="151"/>
      <c r="W4" s="151"/>
      <c r="X4" s="151"/>
      <c r="Y4" s="151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62"/>
      <c r="F5" s="88">
        <v>2</v>
      </c>
      <c r="G5" s="102" t="s">
        <v>53</v>
      </c>
      <c r="H5" s="63"/>
      <c r="I5" s="62"/>
      <c r="J5" s="63">
        <v>2</v>
      </c>
      <c r="K5" s="102" t="s">
        <v>53</v>
      </c>
      <c r="L5" s="125"/>
      <c r="M5" s="126"/>
      <c r="N5" s="63"/>
      <c r="O5" s="62"/>
      <c r="P5" s="63"/>
      <c r="Q5" s="63"/>
      <c r="R5" s="102"/>
      <c r="S5" s="115"/>
      <c r="T5" s="151"/>
      <c r="U5" s="151"/>
      <c r="V5" s="151"/>
      <c r="W5" s="151"/>
      <c r="X5" s="151"/>
      <c r="Y5" s="151"/>
    </row>
    <row r="6" spans="1:28" ht="18" customHeight="1">
      <c r="A6" s="46" t="s">
        <v>66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51"/>
      <c r="U6" s="151"/>
      <c r="V6" s="151"/>
      <c r="W6" s="151"/>
      <c r="X6" s="151"/>
      <c r="Y6" s="151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1"/>
      <c r="U7" s="151"/>
      <c r="V7" s="151"/>
      <c r="W7" s="151"/>
      <c r="X7" s="151"/>
      <c r="Y7" s="151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1"/>
      <c r="U8" s="151"/>
      <c r="V8" s="151"/>
      <c r="W8" s="151"/>
      <c r="X8" s="151"/>
      <c r="Y8" s="151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1"/>
      <c r="U9" s="151"/>
      <c r="V9" s="151"/>
      <c r="W9" s="151"/>
      <c r="X9" s="151"/>
      <c r="Y9" s="151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62"/>
      <c r="P10" s="63"/>
      <c r="Q10" s="63"/>
      <c r="R10" s="62"/>
      <c r="S10" s="89"/>
      <c r="T10" s="151"/>
      <c r="U10" s="151"/>
      <c r="V10" s="151"/>
      <c r="W10" s="151"/>
      <c r="X10" s="151"/>
      <c r="Y10" s="151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1"/>
      <c r="U11" s="151"/>
      <c r="V11" s="151"/>
      <c r="W11" s="151"/>
      <c r="X11" s="151"/>
      <c r="Y11" s="151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1"/>
      <c r="U12" s="151"/>
      <c r="V12" s="151"/>
      <c r="W12" s="151"/>
      <c r="X12" s="151"/>
      <c r="Y12" s="151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2</v>
      </c>
      <c r="G13" s="102" t="s">
        <v>53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51"/>
      <c r="U13" s="151"/>
      <c r="V13" s="151"/>
      <c r="W13" s="151"/>
      <c r="X13" s="151"/>
      <c r="Y13" s="151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1"/>
      <c r="U14" s="151"/>
      <c r="V14" s="151"/>
      <c r="W14" s="151"/>
      <c r="X14" s="151"/>
      <c r="Y14" s="151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51"/>
      <c r="U15" s="151"/>
      <c r="V15" s="151"/>
      <c r="W15" s="151"/>
      <c r="X15" s="151"/>
      <c r="Y15" s="151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51"/>
      <c r="U16" s="151"/>
      <c r="V16" s="151"/>
      <c r="W16" s="151"/>
      <c r="X16" s="151"/>
      <c r="Y16" s="151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51"/>
      <c r="U17" s="151"/>
      <c r="V17" s="151"/>
      <c r="W17" s="151"/>
      <c r="X17" s="151"/>
      <c r="Y17" s="151"/>
    </row>
    <row r="18" spans="1:28" ht="17.25" customHeight="1">
      <c r="A18" s="46" t="s">
        <v>60</v>
      </c>
      <c r="B18" s="88">
        <v>1</v>
      </c>
      <c r="C18" s="62" t="s">
        <v>52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1"/>
      <c r="U18" s="151"/>
      <c r="V18" s="151"/>
      <c r="W18" s="151"/>
      <c r="X18" s="151"/>
      <c r="Y18" s="151"/>
    </row>
    <row r="19" spans="1:28" ht="18" customHeight="1">
      <c r="A19" s="46" t="s">
        <v>94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62"/>
      <c r="P19" s="63"/>
      <c r="Q19" s="63"/>
      <c r="R19" s="102"/>
      <c r="S19" s="91"/>
      <c r="T19" s="151"/>
      <c r="U19" s="151"/>
      <c r="V19" s="151"/>
      <c r="W19" s="151"/>
      <c r="X19" s="151"/>
      <c r="Y19" s="151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1</v>
      </c>
      <c r="G20" s="62" t="s">
        <v>52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1"/>
      <c r="U20" s="151"/>
      <c r="V20" s="151"/>
      <c r="W20" s="151"/>
      <c r="X20" s="151"/>
      <c r="Y20" s="151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1"/>
      <c r="U21" s="151"/>
      <c r="V21" s="151"/>
      <c r="W21" s="151"/>
      <c r="X21" s="151"/>
      <c r="Y21" s="151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51"/>
      <c r="U22" s="151"/>
      <c r="V22" s="151"/>
      <c r="W22" s="151"/>
      <c r="X22" s="151"/>
      <c r="Y22" s="151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1"/>
      <c r="U23" s="151"/>
      <c r="V23" s="151"/>
      <c r="W23" s="151"/>
      <c r="X23" s="151"/>
      <c r="Y23" s="151"/>
    </row>
    <row r="24" spans="1:28" ht="20.25">
      <c r="A24" s="46" t="s">
        <v>88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1"/>
      <c r="U24" s="151"/>
      <c r="V24" s="151"/>
      <c r="W24" s="151"/>
      <c r="X24" s="151"/>
      <c r="Y24" s="151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1"/>
      <c r="U25" s="151"/>
      <c r="V25" s="151"/>
      <c r="W25" s="151"/>
      <c r="X25" s="151"/>
      <c r="Y25" s="151"/>
    </row>
    <row r="26" spans="1:28" ht="16.5" thickBot="1">
      <c r="A26" s="38" t="s">
        <v>13</v>
      </c>
      <c r="B26" s="98">
        <v>12</v>
      </c>
      <c r="C26" s="96" t="s">
        <v>46</v>
      </c>
      <c r="D26" s="98"/>
      <c r="E26" s="96" t="s">
        <v>46</v>
      </c>
      <c r="F26" s="98">
        <v>14</v>
      </c>
      <c r="G26" s="96" t="s">
        <v>46</v>
      </c>
      <c r="H26" s="100"/>
      <c r="I26" s="101"/>
      <c r="J26" s="98">
        <v>15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47</v>
      </c>
      <c r="D27" s="98"/>
      <c r="E27" s="96" t="s">
        <v>47</v>
      </c>
      <c r="F27" s="98">
        <v>7</v>
      </c>
      <c r="G27" s="96" t="s">
        <v>47</v>
      </c>
      <c r="H27" s="100"/>
      <c r="I27" s="96"/>
      <c r="J27" s="98">
        <v>6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26</v>
      </c>
      <c r="V32" s="12"/>
      <c r="W32" s="12"/>
    </row>
    <row r="33" spans="1:23" ht="18">
      <c r="A33" s="34" t="s">
        <v>49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24</v>
      </c>
      <c r="V44" s="12"/>
      <c r="W44" s="12"/>
    </row>
    <row r="45" spans="1:23" ht="18">
      <c r="A45" s="34" t="s">
        <v>58</v>
      </c>
      <c r="V45" s="12"/>
      <c r="W45" s="12"/>
    </row>
    <row r="46" spans="1:23" ht="18">
      <c r="A46" s="34" t="s">
        <v>56</v>
      </c>
      <c r="V46" s="12"/>
      <c r="W46" s="12"/>
    </row>
    <row r="47" spans="1:23" ht="18">
      <c r="A47" s="34" t="s">
        <v>23</v>
      </c>
      <c r="V47" s="12"/>
      <c r="W47" s="12"/>
    </row>
    <row r="48" spans="1:23" ht="18">
      <c r="A48" s="34" t="s">
        <v>25</v>
      </c>
      <c r="B48" s="7"/>
      <c r="V48" s="12"/>
      <c r="W48" s="32"/>
    </row>
    <row r="49" spans="1:23" ht="18">
      <c r="A49" s="34" t="s">
        <v>88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 t="s">
        <v>56</v>
      </c>
    </row>
    <row r="55" spans="1:23" ht="18">
      <c r="A55" s="34" t="s">
        <v>24</v>
      </c>
    </row>
    <row r="56" spans="1:23" ht="18">
      <c r="A56" s="34" t="s">
        <v>26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T39"/>
  <sheetViews>
    <sheetView workbookViewId="0">
      <pane xSplit="1" topLeftCell="B1" activePane="topRight" state="frozen"/>
      <selection pane="topRight" activeCell="N5" sqref="N5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20" width="22.7109375" style="22" customWidth="1"/>
    <col min="21" max="16384" width="9.140625" style="22"/>
  </cols>
  <sheetData>
    <row r="1" spans="1:20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0" ht="15">
      <c r="A2" s="76" t="s">
        <v>101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0" ht="17.25" customHeight="1">
      <c r="A3" s="76" t="s">
        <v>102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0" ht="63" customHeight="1">
      <c r="A4" s="51" t="str">
        <f>'[1]MOÇÃO E REQUERIMENTO'!B7</f>
        <v>EXPEDIENTE</v>
      </c>
      <c r="B4" s="50" t="s">
        <v>45</v>
      </c>
      <c r="C4" s="117" t="s">
        <v>99</v>
      </c>
      <c r="D4" s="117" t="s">
        <v>103</v>
      </c>
      <c r="E4" s="117" t="s">
        <v>104</v>
      </c>
      <c r="F4" s="117" t="s">
        <v>105</v>
      </c>
      <c r="G4" s="117" t="s">
        <v>106</v>
      </c>
      <c r="H4" s="117" t="s">
        <v>107</v>
      </c>
      <c r="I4" s="117" t="s">
        <v>108</v>
      </c>
      <c r="J4" s="112" t="s">
        <v>34</v>
      </c>
      <c r="K4" s="124"/>
      <c r="L4" s="50" t="s">
        <v>27</v>
      </c>
      <c r="M4" s="84" t="s">
        <v>109</v>
      </c>
      <c r="N4" s="84" t="s">
        <v>110</v>
      </c>
      <c r="O4" s="84" t="s">
        <v>112</v>
      </c>
      <c r="P4" s="84" t="s">
        <v>114</v>
      </c>
      <c r="Q4" s="84" t="s">
        <v>115</v>
      </c>
      <c r="R4" s="84" t="s">
        <v>116</v>
      </c>
      <c r="S4" s="84" t="s">
        <v>117</v>
      </c>
      <c r="T4" s="84" t="s">
        <v>118</v>
      </c>
    </row>
    <row r="5" spans="1:20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113"/>
      <c r="M5" s="113" t="s">
        <v>95</v>
      </c>
      <c r="N5" s="118" t="s">
        <v>111</v>
      </c>
      <c r="O5" s="118" t="s">
        <v>113</v>
      </c>
      <c r="P5" s="113" t="s">
        <v>95</v>
      </c>
      <c r="Q5" s="118" t="s">
        <v>113</v>
      </c>
      <c r="R5" s="118" t="s">
        <v>113</v>
      </c>
      <c r="S5" s="118" t="s">
        <v>113</v>
      </c>
      <c r="T5" s="113" t="s">
        <v>95</v>
      </c>
    </row>
    <row r="6" spans="1:20" ht="15.75">
      <c r="A6" s="127" t="s">
        <v>51</v>
      </c>
      <c r="L6" s="23"/>
    </row>
    <row r="7" spans="1:20" ht="15.75">
      <c r="A7" s="127" t="s">
        <v>66</v>
      </c>
      <c r="L7" s="23"/>
    </row>
    <row r="8" spans="1:20" ht="15.75">
      <c r="A8" s="127" t="s">
        <v>54</v>
      </c>
      <c r="L8" s="23"/>
    </row>
    <row r="9" spans="1:20" ht="15.75">
      <c r="A9" s="128" t="s">
        <v>55</v>
      </c>
      <c r="L9" s="23"/>
    </row>
    <row r="10" spans="1:20" ht="15.75">
      <c r="A10" s="127" t="s">
        <v>28</v>
      </c>
      <c r="L10" s="23"/>
    </row>
    <row r="11" spans="1:20" ht="15.75">
      <c r="A11" s="127" t="s">
        <v>56</v>
      </c>
      <c r="L11" s="23"/>
    </row>
    <row r="12" spans="1:20" ht="15.75">
      <c r="A12" s="127" t="s">
        <v>22</v>
      </c>
      <c r="L12" s="23"/>
    </row>
    <row r="13" spans="1:20" ht="15.75">
      <c r="A13" s="127" t="s">
        <v>23</v>
      </c>
      <c r="L13" s="23"/>
    </row>
    <row r="14" spans="1:20" ht="15.75">
      <c r="A14" s="127" t="s">
        <v>24</v>
      </c>
      <c r="L14" s="23"/>
    </row>
    <row r="15" spans="1:20" ht="15.75">
      <c r="A15" s="127" t="s">
        <v>57</v>
      </c>
      <c r="L15" s="23"/>
    </row>
    <row r="16" spans="1:20" ht="15.75">
      <c r="A16" s="127" t="s">
        <v>58</v>
      </c>
      <c r="L16" s="23"/>
    </row>
    <row r="17" spans="1:12" ht="15.75">
      <c r="A17" s="127" t="s">
        <v>59</v>
      </c>
      <c r="L17" s="23"/>
    </row>
    <row r="18" spans="1:12" ht="15.75">
      <c r="A18" s="127" t="s">
        <v>25</v>
      </c>
      <c r="L18" s="23"/>
    </row>
    <row r="19" spans="1:12" ht="15.75">
      <c r="A19" s="127" t="s">
        <v>60</v>
      </c>
      <c r="L19" s="23"/>
    </row>
    <row r="20" spans="1:12" ht="15.75">
      <c r="A20" s="127" t="s">
        <v>94</v>
      </c>
      <c r="L20" s="23"/>
    </row>
    <row r="21" spans="1:12" ht="15.75">
      <c r="A21" s="127" t="s">
        <v>26</v>
      </c>
      <c r="L21" s="23"/>
    </row>
    <row r="22" spans="1:12" ht="15.75">
      <c r="A22" s="127" t="s">
        <v>61</v>
      </c>
      <c r="L22" s="23"/>
    </row>
    <row r="23" spans="1:12" ht="15.75">
      <c r="A23" s="127" t="s">
        <v>67</v>
      </c>
      <c r="L23" s="23"/>
    </row>
    <row r="24" spans="1:12" ht="15.75">
      <c r="A24" s="127" t="s">
        <v>49</v>
      </c>
      <c r="L24" s="23"/>
    </row>
    <row r="25" spans="1:12" ht="15.75">
      <c r="A25" s="127" t="s">
        <v>88</v>
      </c>
      <c r="L25" s="23"/>
    </row>
    <row r="26" spans="1:12" ht="15.75">
      <c r="A26" s="127" t="s">
        <v>62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5" sqref="G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101</v>
      </c>
      <c r="B2" s="49"/>
      <c r="C2" s="74"/>
    </row>
    <row r="3" spans="1:45" ht="17.25" customHeight="1">
      <c r="A3" s="76" t="s">
        <v>102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4"/>
      <c r="D5" s="79"/>
      <c r="E5" s="146" t="s">
        <v>119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14"/>
      <c r="F6" s="143"/>
    </row>
    <row r="7" spans="1:45" ht="20.25">
      <c r="A7" s="46" t="s">
        <v>66</v>
      </c>
      <c r="C7" s="107"/>
      <c r="E7" s="114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14"/>
      <c r="E10" s="107"/>
    </row>
    <row r="11" spans="1:45" ht="20.25">
      <c r="A11" s="46" t="s">
        <v>56</v>
      </c>
      <c r="C11" s="114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14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45"/>
      <c r="E17" s="107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94</v>
      </c>
      <c r="C20" s="107"/>
      <c r="E20" s="107"/>
    </row>
    <row r="21" spans="1:130" ht="20.25">
      <c r="A21" s="46" t="s">
        <v>26</v>
      </c>
      <c r="C21" s="107"/>
      <c r="E21" s="107"/>
    </row>
    <row r="22" spans="1:130" ht="20.25">
      <c r="A22" s="46" t="s">
        <v>61</v>
      </c>
      <c r="C22" s="107"/>
      <c r="E22" s="107"/>
    </row>
    <row r="23" spans="1:130" ht="20.25">
      <c r="A23" s="46" t="s">
        <v>67</v>
      </c>
      <c r="C23" s="114"/>
      <c r="E23" s="107"/>
    </row>
    <row r="24" spans="1:130" ht="20.25">
      <c r="A24" s="46" t="s">
        <v>49</v>
      </c>
      <c r="C24" s="107"/>
      <c r="E24" s="107"/>
    </row>
    <row r="25" spans="1:130" ht="20.25">
      <c r="A25" s="46" t="s">
        <v>88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D20" sqref="D20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20" t="s">
        <v>5</v>
      </c>
      <c r="B4" s="119" t="s">
        <v>7</v>
      </c>
      <c r="C4" s="139" t="s">
        <v>121</v>
      </c>
      <c r="D4" s="139" t="s">
        <v>123</v>
      </c>
      <c r="E4" s="139" t="s">
        <v>124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52" t="s">
        <v>122</v>
      </c>
      <c r="D5" s="144" t="s">
        <v>96</v>
      </c>
      <c r="E5" s="144" t="s">
        <v>100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9" t="s">
        <v>51</v>
      </c>
      <c r="C6" s="107"/>
      <c r="D6" s="114" t="s">
        <v>53</v>
      </c>
      <c r="E6" s="107"/>
      <c r="W6" s="7"/>
      <c r="X6" s="7"/>
    </row>
    <row r="7" spans="1:31" ht="18">
      <c r="A7" s="129" t="s">
        <v>66</v>
      </c>
      <c r="C7" s="107"/>
      <c r="D7" s="107" t="s">
        <v>97</v>
      </c>
      <c r="E7" s="107"/>
      <c r="W7" s="7"/>
      <c r="X7" s="7"/>
    </row>
    <row r="8" spans="1:31" ht="18">
      <c r="A8" s="129" t="s">
        <v>54</v>
      </c>
      <c r="C8" s="107"/>
      <c r="D8" s="107" t="s">
        <v>97</v>
      </c>
      <c r="E8" s="107"/>
      <c r="W8" s="7"/>
      <c r="X8" s="7"/>
    </row>
    <row r="9" spans="1:31" ht="18">
      <c r="A9" s="130" t="s">
        <v>55</v>
      </c>
      <c r="C9" s="114"/>
      <c r="D9" s="114" t="s">
        <v>98</v>
      </c>
      <c r="E9" s="114"/>
      <c r="W9" s="7"/>
      <c r="X9" s="7"/>
    </row>
    <row r="10" spans="1:31" ht="18">
      <c r="A10" s="129" t="s">
        <v>28</v>
      </c>
      <c r="C10" s="114"/>
      <c r="D10" s="107" t="s">
        <v>97</v>
      </c>
      <c r="E10" s="114"/>
      <c r="W10" s="7"/>
      <c r="X10" s="7"/>
    </row>
    <row r="11" spans="1:31" ht="18">
      <c r="A11" s="129" t="s">
        <v>56</v>
      </c>
      <c r="C11" s="114"/>
      <c r="D11" s="107" t="s">
        <v>97</v>
      </c>
      <c r="E11" s="114"/>
      <c r="W11" s="7"/>
      <c r="X11" s="7"/>
    </row>
    <row r="12" spans="1:31" ht="18">
      <c r="A12" s="129" t="s">
        <v>22</v>
      </c>
      <c r="C12" s="107"/>
      <c r="D12" s="107" t="s">
        <v>97</v>
      </c>
      <c r="E12" s="107"/>
      <c r="W12" s="7"/>
      <c r="X12" s="7"/>
    </row>
    <row r="13" spans="1:31" ht="18">
      <c r="A13" s="129" t="s">
        <v>23</v>
      </c>
      <c r="C13" s="114"/>
      <c r="D13" s="114" t="s">
        <v>53</v>
      </c>
      <c r="E13" s="114"/>
      <c r="W13" s="7"/>
      <c r="X13" s="7"/>
    </row>
    <row r="14" spans="1:31" ht="18">
      <c r="A14" s="129" t="s">
        <v>24</v>
      </c>
      <c r="C14" s="107"/>
      <c r="D14" s="107" t="s">
        <v>97</v>
      </c>
      <c r="E14" s="107"/>
      <c r="W14" s="7"/>
      <c r="X14" s="7"/>
    </row>
    <row r="15" spans="1:31" ht="18">
      <c r="A15" s="129" t="s">
        <v>57</v>
      </c>
      <c r="C15" s="114"/>
      <c r="D15" s="107" t="s">
        <v>97</v>
      </c>
      <c r="E15" s="114"/>
      <c r="W15" s="7"/>
      <c r="X15" s="7"/>
    </row>
    <row r="16" spans="1:31" ht="18">
      <c r="A16" s="129" t="s">
        <v>58</v>
      </c>
      <c r="C16" s="107"/>
      <c r="D16" s="107" t="s">
        <v>97</v>
      </c>
      <c r="E16" s="107"/>
      <c r="W16" s="7"/>
      <c r="X16" s="7"/>
    </row>
    <row r="17" spans="1:125" ht="15" customHeight="1">
      <c r="A17" s="129" t="s">
        <v>59</v>
      </c>
      <c r="C17" s="107"/>
      <c r="D17" s="107" t="s">
        <v>97</v>
      </c>
      <c r="E17" s="107"/>
      <c r="V17" s="8"/>
      <c r="W17" s="7"/>
      <c r="X17" s="7"/>
    </row>
    <row r="18" spans="1:125" ht="18">
      <c r="A18" s="129" t="s">
        <v>25</v>
      </c>
      <c r="C18" s="107"/>
      <c r="D18" s="107" t="s">
        <v>97</v>
      </c>
      <c r="E18" s="107"/>
      <c r="W18" s="7"/>
      <c r="X18" s="7"/>
    </row>
    <row r="19" spans="1:125" ht="18">
      <c r="A19" s="129" t="s">
        <v>60</v>
      </c>
      <c r="C19" s="107"/>
      <c r="D19" s="107" t="s">
        <v>97</v>
      </c>
      <c r="E19" s="107"/>
      <c r="W19" s="7"/>
      <c r="X19" s="7"/>
    </row>
    <row r="20" spans="1:125" ht="18">
      <c r="A20" s="129" t="s">
        <v>94</v>
      </c>
      <c r="C20" s="107"/>
      <c r="D20" s="114" t="s">
        <v>53</v>
      </c>
      <c r="E20" s="107"/>
      <c r="W20" s="7"/>
      <c r="X20" s="7"/>
    </row>
    <row r="21" spans="1:125" ht="18">
      <c r="A21" s="129" t="s">
        <v>26</v>
      </c>
      <c r="C21" s="107"/>
      <c r="D21" s="114" t="s">
        <v>53</v>
      </c>
      <c r="E21" s="107"/>
      <c r="W21" s="7"/>
      <c r="X21" s="7"/>
    </row>
    <row r="22" spans="1:125" ht="18">
      <c r="A22" s="129" t="s">
        <v>61</v>
      </c>
      <c r="C22" s="107"/>
      <c r="D22" s="107" t="s">
        <v>97</v>
      </c>
      <c r="E22" s="107"/>
      <c r="W22" s="7"/>
      <c r="X22" s="7"/>
    </row>
    <row r="23" spans="1:125" ht="18">
      <c r="A23" s="129" t="s">
        <v>67</v>
      </c>
      <c r="C23" s="114"/>
      <c r="D23" s="107" t="s">
        <v>97</v>
      </c>
      <c r="E23" s="114"/>
      <c r="W23" s="7"/>
      <c r="X23" s="7"/>
    </row>
    <row r="24" spans="1:125" ht="18">
      <c r="A24" s="129" t="s">
        <v>49</v>
      </c>
      <c r="C24" s="107"/>
      <c r="D24" s="107" t="s">
        <v>97</v>
      </c>
      <c r="E24" s="107"/>
      <c r="W24" s="7"/>
      <c r="X24" s="7"/>
    </row>
    <row r="25" spans="1:125" ht="18">
      <c r="A25" s="129" t="s">
        <v>88</v>
      </c>
      <c r="C25" s="107"/>
      <c r="D25" s="107" t="s">
        <v>97</v>
      </c>
      <c r="E25" s="107"/>
      <c r="W25" s="7"/>
      <c r="X25" s="7"/>
    </row>
    <row r="26" spans="1:125" ht="18">
      <c r="A26" s="129" t="s">
        <v>62</v>
      </c>
      <c r="C26" s="107"/>
      <c r="D26" s="107" t="s">
        <v>97</v>
      </c>
      <c r="E26" s="107"/>
      <c r="W26" s="7"/>
      <c r="X26" s="7"/>
    </row>
    <row r="27" spans="1:125" s="16" customFormat="1" ht="15.75">
      <c r="A27" s="15" t="s">
        <v>18</v>
      </c>
      <c r="B27" s="16">
        <f t="shared" ref="B27" si="0">COUNTIF(B6:B26,"sim")</f>
        <v>0</v>
      </c>
      <c r="C27" s="103">
        <f t="shared" ref="C27:E27" si="1">COUNTIF(C6:C26,"sim")</f>
        <v>0</v>
      </c>
      <c r="D27" s="103">
        <f t="shared" si="1"/>
        <v>16</v>
      </c>
      <c r="E27" s="103">
        <f t="shared" si="1"/>
        <v>0</v>
      </c>
      <c r="L27" s="16">
        <f t="shared" ref="L27:AQ27" si="2">COUNTIF(L6:L26,"sim")</f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ref="AR27:BW27" si="3">COUNTIF(AR6:AR26,"sim")</f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ref="BX27:DC27" si="4">COUNTIF(BX6:BX26,"sim")</f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ref="DD27:DU27" si="5">COUNTIF(DD6:DD26,"sim")</f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</row>
    <row r="28" spans="1:125" s="18" customFormat="1" ht="15.75">
      <c r="A28" s="17" t="s">
        <v>19</v>
      </c>
      <c r="B28" s="18">
        <f t="shared" ref="B28" si="6">COUNTIF(B6:B26,"não")</f>
        <v>0</v>
      </c>
      <c r="C28" s="104">
        <f t="shared" ref="C28:E28" si="7">COUNTIF(C6:C26,"não")</f>
        <v>0</v>
      </c>
      <c r="D28" s="104">
        <f t="shared" si="7"/>
        <v>0</v>
      </c>
      <c r="E28" s="104">
        <f t="shared" si="7"/>
        <v>0</v>
      </c>
      <c r="L28" s="18">
        <f t="shared" ref="L28:AQ28" si="8">COUNTIF(L6:L27,"não")</f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ref="AR28:BW28" si="9">COUNTIF(AR6:AR27,"não")</f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ref="BX28:DC28" si="10">COUNTIF(BX6:BX27,"não")</f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ref="DD28:DU28" si="11">COUNTIF(DD6:DD27,"não")</f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</row>
    <row r="29" spans="1:125" ht="15.75">
      <c r="A29" s="14" t="s">
        <v>11</v>
      </c>
      <c r="B29">
        <f t="shared" ref="B29" si="12">COUNTIF(B6:B26,"ausente")</f>
        <v>0</v>
      </c>
      <c r="C29" s="40">
        <f t="shared" ref="C29:E29" si="13">COUNTIF(C6:C26,"ausente")</f>
        <v>0</v>
      </c>
      <c r="D29" s="40">
        <f t="shared" si="13"/>
        <v>4</v>
      </c>
      <c r="E29" s="40">
        <f t="shared" si="13"/>
        <v>0</v>
      </c>
      <c r="L29">
        <f t="shared" ref="L29:AQ29" si="14">COUNTIF(L6:L28,"ausente")</f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ref="AR29:BW29" si="15">COUNTIF(AR6:AR28,"ausente")</f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ref="BX29:DC29" si="16">COUNTIF(BX6:BX28,"ausente")</f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ref="DD29:DU29" si="17">COUNTIF(DD6:DD28,"ausente")</f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</row>
    <row r="30" spans="1:125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:E30" si="19">COUNTIF(C6:C26,"abstenção")</f>
        <v>0</v>
      </c>
      <c r="D30" s="105">
        <f t="shared" si="19"/>
        <v>0</v>
      </c>
      <c r="E30" s="105">
        <f t="shared" si="19"/>
        <v>0</v>
      </c>
      <c r="L30" s="20">
        <f t="shared" ref="L30:AQ30" si="20">COUNTIF(L10:L29,"abstenção")</f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ref="AR30:BJ30" si="21">COUNTIF(AR10:AR29,"abstenção")</f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ref="BK30:DU30" si="22">COUNTIF(BK10:BK29,"abstenção")</f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abSelected="1" workbookViewId="0">
      <pane xSplit="1" topLeftCell="B1" activePane="topRight" state="frozen"/>
      <selection pane="topRight" activeCell="D4" sqref="D4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101</v>
      </c>
      <c r="B2" s="2"/>
    </row>
    <row r="3" spans="1:3" ht="15.75" thickBot="1">
      <c r="A3" s="121" t="s">
        <v>102</v>
      </c>
      <c r="B3" s="2"/>
    </row>
    <row r="4" spans="1:3" ht="78.75" customHeight="1" thickBot="1">
      <c r="A4" s="120" t="s">
        <v>5</v>
      </c>
      <c r="B4" s="111" t="s">
        <v>21</v>
      </c>
      <c r="C4" s="139" t="s">
        <v>125</v>
      </c>
    </row>
    <row r="5" spans="1:3" s="6" customFormat="1" ht="60.75" customHeight="1">
      <c r="A5" s="122"/>
      <c r="B5" s="111"/>
      <c r="C5" s="144" t="s">
        <v>96</v>
      </c>
    </row>
    <row r="6" spans="1:3" ht="15.75">
      <c r="A6" s="127" t="s">
        <v>51</v>
      </c>
      <c r="C6" s="114" t="s">
        <v>53</v>
      </c>
    </row>
    <row r="7" spans="1:3" ht="15.75">
      <c r="A7" s="127" t="s">
        <v>66</v>
      </c>
      <c r="C7" s="107" t="s">
        <v>97</v>
      </c>
    </row>
    <row r="8" spans="1:3" ht="15.75">
      <c r="A8" s="127" t="s">
        <v>54</v>
      </c>
      <c r="C8" s="107" t="s">
        <v>97</v>
      </c>
    </row>
    <row r="9" spans="1:3" ht="15.75">
      <c r="A9" s="128" t="s">
        <v>55</v>
      </c>
      <c r="C9" s="107" t="s">
        <v>97</v>
      </c>
    </row>
    <row r="10" spans="1:3" ht="15.75">
      <c r="A10" s="127" t="s">
        <v>28</v>
      </c>
      <c r="C10" s="107" t="s">
        <v>97</v>
      </c>
    </row>
    <row r="11" spans="1:3" ht="15.75">
      <c r="A11" s="127" t="s">
        <v>56</v>
      </c>
      <c r="C11" s="107" t="s">
        <v>97</v>
      </c>
    </row>
    <row r="12" spans="1:3" ht="15.75">
      <c r="A12" s="127" t="s">
        <v>22</v>
      </c>
      <c r="C12" s="107" t="s">
        <v>97</v>
      </c>
    </row>
    <row r="13" spans="1:3" ht="15.75">
      <c r="A13" s="127" t="s">
        <v>23</v>
      </c>
      <c r="B13" s="138"/>
      <c r="C13" s="114" t="s">
        <v>53</v>
      </c>
    </row>
    <row r="14" spans="1:3" ht="15.75">
      <c r="A14" s="127" t="s">
        <v>24</v>
      </c>
      <c r="C14" s="107" t="s">
        <v>97</v>
      </c>
    </row>
    <row r="15" spans="1:3" ht="15.75">
      <c r="A15" s="127" t="s">
        <v>57</v>
      </c>
      <c r="C15" s="107" t="s">
        <v>97</v>
      </c>
    </row>
    <row r="16" spans="1:3" ht="15.75">
      <c r="A16" s="127" t="s">
        <v>58</v>
      </c>
      <c r="C16" s="107" t="s">
        <v>97</v>
      </c>
    </row>
    <row r="17" spans="1:3" ht="15.75">
      <c r="A17" s="127" t="s">
        <v>59</v>
      </c>
      <c r="C17" s="107" t="s">
        <v>97</v>
      </c>
    </row>
    <row r="18" spans="1:3" ht="15.75">
      <c r="A18" s="127" t="s">
        <v>25</v>
      </c>
      <c r="C18" s="107" t="s">
        <v>97</v>
      </c>
    </row>
    <row r="19" spans="1:3" ht="15.75">
      <c r="A19" s="127" t="s">
        <v>60</v>
      </c>
      <c r="C19" s="107" t="s">
        <v>97</v>
      </c>
    </row>
    <row r="20" spans="1:3" ht="15.75">
      <c r="A20" s="127" t="s">
        <v>94</v>
      </c>
      <c r="C20" s="114" t="s">
        <v>53</v>
      </c>
    </row>
    <row r="21" spans="1:3" ht="15.75">
      <c r="A21" s="127" t="s">
        <v>26</v>
      </c>
      <c r="C21" s="107" t="s">
        <v>97</v>
      </c>
    </row>
    <row r="22" spans="1:3" ht="15.75">
      <c r="A22" s="127" t="s">
        <v>61</v>
      </c>
      <c r="C22" s="107" t="s">
        <v>97</v>
      </c>
    </row>
    <row r="23" spans="1:3" ht="15.75">
      <c r="A23" s="127" t="s">
        <v>67</v>
      </c>
      <c r="C23" s="107" t="s">
        <v>97</v>
      </c>
    </row>
    <row r="24" spans="1:3" ht="15.75">
      <c r="A24" s="127" t="s">
        <v>49</v>
      </c>
      <c r="C24" s="107" t="s">
        <v>97</v>
      </c>
    </row>
    <row r="25" spans="1:3" ht="15.75">
      <c r="A25" s="127" t="s">
        <v>88</v>
      </c>
      <c r="C25" s="107" t="s">
        <v>97</v>
      </c>
    </row>
    <row r="26" spans="1:3" ht="15.75">
      <c r="A26" s="127" t="s">
        <v>62</v>
      </c>
      <c r="C26" s="107" t="s">
        <v>97</v>
      </c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18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3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101</v>
      </c>
      <c r="B2" s="2"/>
      <c r="C2" s="54"/>
      <c r="D2" s="54"/>
      <c r="E2" s="54"/>
    </row>
    <row r="3" spans="1:10" ht="15.75" thickBot="1">
      <c r="A3" s="121" t="s">
        <v>102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C11" sqref="C11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102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2026-03-13T18:54:58Z</dcterms:modified>
</cp:coreProperties>
</file>