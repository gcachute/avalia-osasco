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43EEECD0-E63B-4461-90B0-ADD24CDA82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G27" i="3"/>
  <c r="G28" i="3"/>
  <c r="G29" i="3"/>
  <c r="G30" i="3"/>
  <c r="E27" i="2"/>
  <c r="E28" i="2"/>
  <c r="E29" i="2"/>
  <c r="E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W27" i="3" l="1"/>
  <c r="DW28" i="3" s="1"/>
  <c r="DW29" i="3" s="1"/>
  <c r="DW30" i="3" s="1"/>
  <c r="DV27" i="3"/>
  <c r="DV28" i="3" s="1"/>
  <c r="DV29" i="3" s="1"/>
  <c r="DV30" i="3" s="1"/>
  <c r="DU27" i="3"/>
  <c r="DU28" i="3" s="1"/>
  <c r="DT27" i="3"/>
  <c r="DS27" i="3"/>
  <c r="DS28" i="3" s="1"/>
  <c r="DS29" i="3" s="1"/>
  <c r="DS30" i="3" s="1"/>
  <c r="DR27" i="3"/>
  <c r="DR28" i="3" s="1"/>
  <c r="DR29" i="3" s="1"/>
  <c r="DR30" i="3" s="1"/>
  <c r="DQ27" i="3"/>
  <c r="DQ28" i="3" s="1"/>
  <c r="DQ29" i="3" s="1"/>
  <c r="DQ30" i="3" s="1"/>
  <c r="DP27" i="3"/>
  <c r="DO27" i="3"/>
  <c r="DO28" i="3" s="1"/>
  <c r="DN27" i="3"/>
  <c r="DN28" i="3" s="1"/>
  <c r="DM27" i="3"/>
  <c r="DM28" i="3" s="1"/>
  <c r="DL27" i="3"/>
  <c r="DL28" i="3" s="1"/>
  <c r="DK27" i="3"/>
  <c r="DK28" i="3" s="1"/>
  <c r="DK29" i="3" s="1"/>
  <c r="DJ27" i="3"/>
  <c r="DJ28" i="3" s="1"/>
  <c r="DJ29" i="3" s="1"/>
  <c r="DJ30" i="3" s="1"/>
  <c r="DI27" i="3"/>
  <c r="DI28" i="3" s="1"/>
  <c r="DH27" i="3"/>
  <c r="DH28" i="3" s="1"/>
  <c r="DG27" i="3"/>
  <c r="DG28" i="3" s="1"/>
  <c r="DG29" i="3" s="1"/>
  <c r="DF27" i="3"/>
  <c r="DF28" i="3" s="1"/>
  <c r="DE27" i="3"/>
  <c r="DE28" i="3" s="1"/>
  <c r="DE29" i="3" s="1"/>
  <c r="DD27" i="3"/>
  <c r="DD28" i="3" s="1"/>
  <c r="DD29" i="3" s="1"/>
  <c r="DD30" i="3" s="1"/>
  <c r="DC27" i="3"/>
  <c r="DC28" i="3" s="1"/>
  <c r="DB27" i="3"/>
  <c r="DB28" i="3" s="1"/>
  <c r="DB29" i="3" s="1"/>
  <c r="DB30" i="3" s="1"/>
  <c r="DA27" i="3"/>
  <c r="DA28" i="3" s="1"/>
  <c r="CZ27" i="3"/>
  <c r="CY27" i="3"/>
  <c r="CY28" i="3" s="1"/>
  <c r="CY29" i="3" s="1"/>
  <c r="CX27" i="3"/>
  <c r="CX28" i="3" s="1"/>
  <c r="CW27" i="3"/>
  <c r="CW28" i="3" s="1"/>
  <c r="CW29" i="3" s="1"/>
  <c r="CW30" i="3" s="1"/>
  <c r="CV27" i="3"/>
  <c r="CV28" i="3" s="1"/>
  <c r="CV29" i="3" s="1"/>
  <c r="CV30" i="3" s="1"/>
  <c r="CU27" i="3"/>
  <c r="CU28" i="3" s="1"/>
  <c r="CT27" i="3"/>
  <c r="CT28" i="3" s="1"/>
  <c r="CT29" i="3" s="1"/>
  <c r="CT30" i="3" s="1"/>
  <c r="CS27" i="3"/>
  <c r="CS28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O29" i="3" s="1"/>
  <c r="CN27" i="3"/>
  <c r="CN28" i="3" s="1"/>
  <c r="CM27" i="3"/>
  <c r="CM28" i="3" s="1"/>
  <c r="CL27" i="3"/>
  <c r="CL28" i="3" s="1"/>
  <c r="CL29" i="3" s="1"/>
  <c r="CL30" i="3" s="1"/>
  <c r="CK27" i="3"/>
  <c r="CK28" i="3" s="1"/>
  <c r="CJ27" i="3"/>
  <c r="CJ28" i="3" s="1"/>
  <c r="CI27" i="3"/>
  <c r="CH27" i="3"/>
  <c r="CH28" i="3" s="1"/>
  <c r="CG27" i="3"/>
  <c r="CG28" i="3" s="1"/>
  <c r="CG29" i="3" s="1"/>
  <c r="CG30" i="3" s="1"/>
  <c r="CF27" i="3"/>
  <c r="CE27" i="3"/>
  <c r="CE28" i="3" s="1"/>
  <c r="CD27" i="3"/>
  <c r="CD28" i="3" s="1"/>
  <c r="CD29" i="3" s="1"/>
  <c r="CD30" i="3" s="1"/>
  <c r="CC27" i="3"/>
  <c r="CC28" i="3" s="1"/>
  <c r="CB27" i="3"/>
  <c r="CB28" i="3" s="1"/>
  <c r="CB29" i="3" s="1"/>
  <c r="CA27" i="3"/>
  <c r="CA28" i="3" s="1"/>
  <c r="CA29" i="3" s="1"/>
  <c r="BZ27" i="3"/>
  <c r="BZ28" i="3" s="1"/>
  <c r="BY27" i="3"/>
  <c r="BY28" i="3" s="1"/>
  <c r="BX27" i="3"/>
  <c r="BX28" i="3" s="1"/>
  <c r="BW27" i="3"/>
  <c r="BW28" i="3" s="1"/>
  <c r="BV27" i="3"/>
  <c r="BV28" i="3" s="1"/>
  <c r="BV29" i="3" s="1"/>
  <c r="BV30" i="3" s="1"/>
  <c r="BU27" i="3"/>
  <c r="BU28" i="3" s="1"/>
  <c r="BT27" i="3"/>
  <c r="BT28" i="3" s="1"/>
  <c r="BS27" i="3"/>
  <c r="BS28" i="3" s="1"/>
  <c r="BR27" i="3"/>
  <c r="BR28" i="3" s="1"/>
  <c r="BQ27" i="3"/>
  <c r="BQ28" i="3" s="1"/>
  <c r="BQ29" i="3" s="1"/>
  <c r="BP27" i="3"/>
  <c r="BO27" i="3"/>
  <c r="BO28" i="3" s="1"/>
  <c r="BO29" i="3" s="1"/>
  <c r="BN27" i="3"/>
  <c r="BN28" i="3" s="1"/>
  <c r="BN29" i="3" s="1"/>
  <c r="BN30" i="3" s="1"/>
  <c r="BM27" i="3"/>
  <c r="BM28" i="3" s="1"/>
  <c r="BL27" i="3"/>
  <c r="BL28" i="3" s="1"/>
  <c r="BK27" i="3"/>
  <c r="BK28" i="3" s="1"/>
  <c r="BK29" i="3" s="1"/>
  <c r="BK30" i="3" s="1"/>
  <c r="BJ27" i="3"/>
  <c r="BJ28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E27" i="3"/>
  <c r="BE28" i="3" s="1"/>
  <c r="BD27" i="3"/>
  <c r="BD28" i="3" s="1"/>
  <c r="BD29" i="3" s="1"/>
  <c r="BC27" i="3"/>
  <c r="BC28" i="3" s="1"/>
  <c r="BC29" i="3" s="1"/>
  <c r="BB27" i="3"/>
  <c r="BB28" i="3" s="1"/>
  <c r="BB29" i="3" s="1"/>
  <c r="BB30" i="3" s="1"/>
  <c r="BA27" i="3"/>
  <c r="BA28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U27" i="3"/>
  <c r="AU28" i="3" s="1"/>
  <c r="AT27" i="3"/>
  <c r="AT28" i="3" s="1"/>
  <c r="AS27" i="3"/>
  <c r="AS28" i="3" s="1"/>
  <c r="AS29" i="3" s="1"/>
  <c r="AS30" i="3" s="1"/>
  <c r="AR27" i="3"/>
  <c r="AR28" i="3" s="1"/>
  <c r="AR29" i="3" s="1"/>
  <c r="AQ27" i="3"/>
  <c r="AQ28" i="3" s="1"/>
  <c r="AQ29" i="3" s="1"/>
  <c r="AQ30" i="3" s="1"/>
  <c r="AP27" i="3"/>
  <c r="AP28" i="3" s="1"/>
  <c r="AO27" i="3"/>
  <c r="AO28" i="3" s="1"/>
  <c r="AN27" i="3"/>
  <c r="AN28" i="3" s="1"/>
  <c r="AM27" i="3"/>
  <c r="AM28" i="3" s="1"/>
  <c r="AM29" i="3" s="1"/>
  <c r="AL27" i="3"/>
  <c r="AL28" i="3" s="1"/>
  <c r="AL29" i="3" s="1"/>
  <c r="AK27" i="3"/>
  <c r="AK28" i="3" s="1"/>
  <c r="AK29" i="3" s="1"/>
  <c r="AJ27" i="3"/>
  <c r="AI27" i="3"/>
  <c r="AI28" i="3" s="1"/>
  <c r="AI29" i="3" s="1"/>
  <c r="AI30" i="3" s="1"/>
  <c r="AH27" i="3"/>
  <c r="AH28" i="3" s="1"/>
  <c r="AG27" i="3"/>
  <c r="AG28" i="3" s="1"/>
  <c r="AG29" i="3" s="1"/>
  <c r="AG30" i="3" s="1"/>
  <c r="AF27" i="3"/>
  <c r="AF28" i="3" s="1"/>
  <c r="AF29" i="3" s="1"/>
  <c r="AE27" i="3"/>
  <c r="AE28" i="3" s="1"/>
  <c r="AD27" i="3"/>
  <c r="AD28" i="3" s="1"/>
  <c r="AC27" i="3"/>
  <c r="AC28" i="3" s="1"/>
  <c r="AB27" i="3"/>
  <c r="AB28" i="3" s="1"/>
  <c r="AB29" i="3" s="1"/>
  <c r="AB30" i="3" s="1"/>
  <c r="AA27" i="3"/>
  <c r="AA28" i="3" s="1"/>
  <c r="AA29" i="3" s="1"/>
  <c r="AA30" i="3" s="1"/>
  <c r="Z27" i="3"/>
  <c r="Z28" i="3" s="1"/>
  <c r="Y27" i="3"/>
  <c r="X27" i="3"/>
  <c r="W27" i="3"/>
  <c r="W28" i="3" s="1"/>
  <c r="W29" i="3" s="1"/>
  <c r="V27" i="3"/>
  <c r="V28" i="3" s="1"/>
  <c r="U27" i="3"/>
  <c r="U28" i="3" s="1"/>
  <c r="U29" i="3" s="1"/>
  <c r="U30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DF29" i="3" l="1"/>
  <c r="DF30" i="3" s="1"/>
  <c r="BZ29" i="3"/>
  <c r="BZ30" i="3" s="1"/>
  <c r="CP29" i="3"/>
  <c r="CP30" i="3" s="1"/>
  <c r="AT29" i="3"/>
  <c r="AT30" i="3" s="1"/>
  <c r="DA29" i="3"/>
  <c r="DA30" i="3" s="1"/>
  <c r="BR29" i="3"/>
  <c r="BR30" i="3" s="1"/>
  <c r="BU29" i="3"/>
  <c r="BU30" i="3" s="1"/>
  <c r="BJ29" i="3"/>
  <c r="BJ30" i="3" s="1"/>
  <c r="CC29" i="3"/>
  <c r="CC30" i="3" s="1"/>
  <c r="V29" i="3"/>
  <c r="V30" i="3" s="1"/>
  <c r="AE29" i="3"/>
  <c r="AE30" i="3" s="1"/>
  <c r="BW29" i="3"/>
  <c r="BW30" i="3" s="1"/>
  <c r="AU29" i="3"/>
  <c r="AU30" i="3" s="1"/>
  <c r="CS29" i="3"/>
  <c r="CS30" i="3" s="1"/>
  <c r="CZ28" i="3"/>
  <c r="CZ29" i="3" s="1"/>
  <c r="CZ30" i="3" s="1"/>
  <c r="DT28" i="3"/>
  <c r="DT29" i="3" s="1"/>
  <c r="DT30" i="3" s="1"/>
  <c r="CK29" i="3"/>
  <c r="CK30" i="3" s="1"/>
  <c r="AJ28" i="3"/>
  <c r="AJ29" i="3" s="1"/>
  <c r="AJ30" i="3" s="1"/>
  <c r="CF28" i="3"/>
  <c r="CF29" i="3" s="1"/>
  <c r="CF30" i="3" s="1"/>
  <c r="CJ29" i="3"/>
  <c r="CJ30" i="3" s="1"/>
  <c r="AC29" i="3"/>
  <c r="AC30" i="3" s="1"/>
  <c r="AN29" i="3"/>
  <c r="AN30" i="3" s="1"/>
  <c r="BP28" i="3"/>
  <c r="BP29" i="3" s="1"/>
  <c r="BP30" i="3" s="1"/>
  <c r="DP28" i="3"/>
  <c r="DP29" i="3" s="1"/>
  <c r="DP30" i="3" s="1"/>
  <c r="BL29" i="3"/>
  <c r="BL30" i="3" s="1"/>
  <c r="BS29" i="3"/>
  <c r="BS30" i="3" s="1"/>
  <c r="AK30" i="3"/>
  <c r="CY30" i="3"/>
  <c r="DI29" i="3"/>
  <c r="DI30" i="3" s="1"/>
  <c r="Y28" i="3"/>
  <c r="Y29" i="3" s="1"/>
  <c r="Y30" i="3" s="1"/>
  <c r="AV29" i="3"/>
  <c r="AV30" i="3" s="1"/>
  <c r="CI28" i="3"/>
  <c r="CI29" i="3" s="1"/>
  <c r="CI30" i="3" s="1"/>
  <c r="P29" i="3"/>
  <c r="P30" i="3" s="1"/>
  <c r="T29" i="3"/>
  <c r="T30" i="3" s="1"/>
  <c r="DH29" i="3"/>
  <c r="DH30" i="3" s="1"/>
  <c r="DL29" i="3"/>
  <c r="DL30" i="3" s="1"/>
  <c r="N29" i="3"/>
  <c r="N30" i="3" s="1"/>
  <c r="DC29" i="3"/>
  <c r="DC30" i="3" s="1"/>
  <c r="DN29" i="3"/>
  <c r="DN30" i="3" s="1"/>
  <c r="BY29" i="3"/>
  <c r="BY30" i="3" s="1"/>
  <c r="CM29" i="3"/>
  <c r="CM30" i="3" s="1"/>
  <c r="CE29" i="3"/>
  <c r="CE30" i="3" s="1"/>
  <c r="W30" i="3"/>
  <c r="DO29" i="3"/>
  <c r="DO30" i="3" s="1"/>
  <c r="AR30" i="3"/>
  <c r="DE30" i="3"/>
  <c r="CX29" i="3"/>
  <c r="CX30" i="3" s="1"/>
  <c r="CH29" i="3"/>
  <c r="CH30" i="3" s="1"/>
  <c r="AD29" i="3"/>
  <c r="AD30" i="3" s="1"/>
  <c r="CU29" i="3"/>
  <c r="CU30" i="3" s="1"/>
  <c r="X28" i="3"/>
  <c r="X29" i="3" s="1"/>
  <c r="X30" i="3" s="1"/>
  <c r="DG30" i="3"/>
  <c r="AO29" i="3"/>
  <c r="AO30" i="3" s="1"/>
  <c r="AF30" i="3"/>
  <c r="AL30" i="3"/>
  <c r="BM29" i="3"/>
  <c r="BM30" i="3" s="1"/>
  <c r="AM30" i="3"/>
  <c r="BX29" i="3"/>
  <c r="BX30" i="3" s="1"/>
  <c r="CR29" i="3"/>
  <c r="CR30" i="3" s="1"/>
  <c r="BD30" i="3"/>
  <c r="BC30" i="3"/>
  <c r="BQ30" i="3"/>
  <c r="CO30" i="3"/>
  <c r="Z29" i="3"/>
  <c r="Z30" i="3" s="1"/>
  <c r="BT29" i="3"/>
  <c r="BT30" i="3" s="1"/>
  <c r="AW29" i="3"/>
  <c r="AW30" i="3" s="1"/>
  <c r="CN29" i="3"/>
  <c r="CN30" i="3" s="1"/>
  <c r="BO30" i="3"/>
  <c r="AH29" i="3"/>
  <c r="AH30" i="3" s="1"/>
  <c r="BE29" i="3"/>
  <c r="BE30" i="3" s="1"/>
  <c r="DU29" i="3"/>
  <c r="DU30" i="3" s="1"/>
  <c r="DM29" i="3"/>
  <c r="DM30" i="3" s="1"/>
  <c r="DK30" i="3"/>
  <c r="R29" i="3"/>
  <c r="R30" i="3" s="1"/>
  <c r="AY29" i="3"/>
  <c r="AY30" i="3" s="1"/>
  <c r="CB30" i="3"/>
  <c r="CA30" i="3"/>
  <c r="AP29" i="3"/>
  <c r="AP30" i="3" s="1"/>
  <c r="BA29" i="3"/>
  <c r="BA30" i="3" s="1"/>
  <c r="BF29" i="3"/>
  <c r="BF30" i="3" s="1"/>
</calcChain>
</file>

<file path=xl/sharedStrings.xml><?xml version="1.0" encoding="utf-8"?>
<sst xmlns="http://schemas.openxmlformats.org/spreadsheetml/2006/main" count="522" uniqueCount="119">
  <si>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</si>
  <si>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</si>
  <si>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</si>
  <si>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</si>
  <si>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</si>
  <si>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</si>
  <si>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</si>
  <si>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</si>
  <si>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</si>
  <si>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</si>
  <si>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</si>
  <si>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</si>
  <si>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</si>
  <si>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</si>
  <si>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</si>
  <si>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</si>
  <si>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</si>
  <si>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</si>
  <si>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</si>
  <si>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</si>
  <si>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</si>
  <si>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</si>
  <si>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</si>
  <si>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</si>
  <si>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</si>
  <si>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</si>
  <si>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</si>
  <si>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</si>
  <si>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</si>
  <si>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</si>
  <si>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</si>
  <si>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</si>
  <si>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</si>
  <si>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</si>
  <si>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</si>
  <si>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</si>
  <si>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</si>
  <si>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</si>
  <si>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</si>
  <si>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</si>
  <si>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</si>
  <si>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</si>
  <si>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</si>
  <si>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</si>
  <si>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</si>
  <si>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</si>
  <si>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</si>
  <si>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</si>
  <si>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</si>
  <si>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</si>
  <si>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</si>
  <si>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</si>
  <si>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</si>
  <si>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</si>
  <si>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</si>
  <si>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</si>
  <si>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</si>
  <si>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</si>
  <si>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</si>
  <si>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</si>
  <si>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</si>
  <si>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</si>
  <si>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</si>
  <si>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</si>
  <si>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</si>
  <si>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</si>
  <si>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</si>
  <si>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</si>
  <si>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</si>
  <si>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</si>
  <si>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</si>
  <si>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</si>
  <si>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</si>
  <si>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</si>
  <si>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</si>
  <si>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</si>
  <si>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</si>
  <si>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</si>
  <si>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</si>
  <si>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</si>
  <si>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</si>
  <si>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</si>
  <si>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</si>
  <si>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</si>
  <si>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</si>
  <si>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</si>
  <si>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</si>
  <si>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</si>
  <si>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</si>
  <si>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</si>
  <si>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</si>
  <si>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</si>
  <si>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</si>
  <si>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</si>
  <si>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</si>
  <si>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</si>
  <si>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</si>
  <si>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</si>
  <si>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</si>
  <si>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</si>
  <si>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Justificativa de ausência vereador Pedrinho Cantagessi.</t>
  </si>
  <si>
    <t>Justificativa de ausência vereadora Elsa Oliveira.</t>
  </si>
  <si>
    <t>41ª SESSÃO ORDINÁRIA</t>
  </si>
  <si>
    <t>DIA 13 DE AGOSTO DE 2026 - QUINTA-FEIRA</t>
  </si>
  <si>
    <t>PROJETO DE LEI Nº 185/2026 – Prefeito do Município de Osasco - Dispõe sobre abertura de crédito adicional especial ao orçamento vigente e dá outras providências.</t>
  </si>
  <si>
    <t>PROJETO DE LEI Nº 183/2026 – Batista Comunidade - Garante atendimento prioritário nos serviços de saúde e de atenção psicológica da rede pública municipal às mães e aos pais atípicos e aos cuidadores designados.</t>
  </si>
  <si>
    <t>PROJETO DE LEI Nº 184/2026 – Elânia Silva - Dispõe sobre a proibição de publicidade exterior em espaços públicos de plataformas de apostas virtuais e jogos de azar eletrônicos, e dá outras providências.</t>
  </si>
  <si>
    <t>PROJETO DE DECRETO LEGISLATIVO Nº 37/2026 – Comissão de Constituição e Justiça - Dispõe sobre a concessão de licença ao Vice-Prefeito do Município de Osasco.</t>
  </si>
  <si>
    <r>
      <t xml:space="preserve">MOÇÃO DE APLAUSO Nº 213/2026 – ELÂNIA SILVA – </t>
    </r>
    <r>
      <rPr>
        <sz val="11"/>
        <color theme="1"/>
        <rFont val="Arial"/>
        <family val="2"/>
      </rPr>
      <t>À Sra. Marta Florêncio, pela trajetória pautada pela responsabilidade, respeito e compromisso com a população.</t>
    </r>
  </si>
  <si>
    <r>
      <t>MOÇÃO DE APLAUSO Nº 211/2026 – BATISTA COMUNIDADE -</t>
    </r>
    <r>
      <rPr>
        <sz val="11"/>
        <color theme="1"/>
        <rFont val="Arial"/>
        <family val="2"/>
      </rPr>
      <t xml:space="preserve"> À jovem atleta e campeã mundial de futebol feminino Ana Júlia da Silva, pela conquista histórica na Street Child World Cup 2026, pela sua trajetória exemplar de dedicação, disciplina e superação, e pelo orgulho que traz ao nome de Osasco perante o Brasil e o mundo.</t>
    </r>
  </si>
  <si>
    <t>VETO ACEITO</t>
  </si>
  <si>
    <r>
      <t xml:space="preserve">VETO TOTAL AO PROJETO DE LEI Nº 113/2025 – LÚCIA DA SAÚDE – </t>
    </r>
    <r>
      <rPr>
        <sz val="12"/>
        <color theme="1"/>
        <rFont val="Arial"/>
        <family val="2"/>
      </rPr>
      <t>Altera a lei n. 24.829, de 14 de setembro de 2017, que dispõe sobre a divulgação do "Disque 100" nos livros, cadernos, impressos informativos da Secretaria de Educação do Município de Osasco.</t>
    </r>
  </si>
  <si>
    <t>não</t>
  </si>
  <si>
    <r>
      <t>PROJETO DE LEI Nº 5/2026 – DÉLBIO TERUEL -</t>
    </r>
    <r>
      <rPr>
        <sz val="11"/>
        <color theme="1"/>
        <rFont val="Arial"/>
        <family val="2"/>
      </rPr>
      <t xml:space="preserve"> Institui diretrizes para a prevenção, identificação e acolhimento de pessoas com transtorno do jogo patológico (ludopatia) no âmbito da rede municipal de saúde, com foco na atenção psicossocial, e dá outras providências. </t>
    </r>
  </si>
  <si>
    <t>EMENDA N.º 01/26, DA CCJ AO PROJETO DE LEI Nº 5/2026.</t>
  </si>
  <si>
    <r>
      <t>PROJETO DE LEI Nº 33/2026 – GABRIEL SAÚDE -</t>
    </r>
    <r>
      <rPr>
        <sz val="11"/>
        <color theme="1"/>
        <rFont val="Arial"/>
        <family val="2"/>
      </rPr>
      <t xml:space="preserve"> Institui a Caminhada "Passos TEA" no Calendário Oficial de Eventos do Município de Osasco e dá outras providências. </t>
    </r>
  </si>
  <si>
    <t>EMENDA N.º 01/26, DA CCJ AO PROJETO DE LEI Nº 33/2026.</t>
  </si>
  <si>
    <r>
      <t>PROJETO DE LEI Nº 70/2026 – HEBER DO JUNTOZ –</t>
    </r>
    <r>
      <rPr>
        <sz val="11"/>
        <color theme="1"/>
        <rFont val="Arial"/>
        <family val="2"/>
      </rPr>
      <t xml:space="preserve"> Institui o Dia Municipal de Combate à Cultura Red Pill no Município de Osasco. </t>
    </r>
  </si>
  <si>
    <r>
      <t xml:space="preserve">PROJETO DE DECRETO LEGISLATIVO 37/2026 – COMISSÃO DE CONSTITUIÇÃO E JUSTIÇA - </t>
    </r>
    <r>
      <rPr>
        <sz val="11"/>
        <color theme="1"/>
        <rFont val="Arial"/>
        <family val="2"/>
      </rPr>
      <t>Dispõe sobre a concessão de licença ao Vice- Prefeito do Município de Osasco.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</si>
</sst>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0" sqref="K2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9" t="s">
        <v>27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70"/>
      <c r="O1" s="70"/>
      <c r="P1" s="70"/>
      <c r="Q1" s="40">
        <v>1</v>
      </c>
      <c r="R1" s="36" t="s">
        <v>10</v>
      </c>
      <c r="T1" s="153"/>
      <c r="U1" s="153"/>
      <c r="V1" s="153"/>
      <c r="W1" s="153"/>
      <c r="X1" s="153"/>
      <c r="Y1" s="153"/>
      <c r="Z1" s="7" t="s">
        <v>16</v>
      </c>
    </row>
    <row r="2" spans="1:28" ht="19.5" customHeight="1">
      <c r="A2" s="83" t="s">
        <v>102</v>
      </c>
      <c r="B2" s="151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70"/>
      <c r="O2" s="70"/>
      <c r="P2" s="70"/>
      <c r="Q2" s="35">
        <v>2</v>
      </c>
      <c r="R2" s="36" t="s">
        <v>11</v>
      </c>
      <c r="T2" s="153"/>
      <c r="U2" s="153"/>
      <c r="V2" s="153"/>
      <c r="W2" s="153"/>
      <c r="X2" s="153"/>
      <c r="Y2" s="153"/>
      <c r="Z2" s="7" t="s">
        <v>17</v>
      </c>
    </row>
    <row r="3" spans="1:28" ht="19.5" customHeight="1" thickBot="1">
      <c r="A3" s="83" t="s">
        <v>103</v>
      </c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70"/>
      <c r="O3" s="70"/>
      <c r="P3" s="70"/>
      <c r="Q3" s="41">
        <v>3</v>
      </c>
      <c r="R3" s="37" t="s">
        <v>12</v>
      </c>
      <c r="T3" s="153"/>
      <c r="U3" s="153"/>
      <c r="V3" s="153"/>
      <c r="W3" s="153"/>
      <c r="X3" s="153"/>
      <c r="Y3" s="153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3"/>
      <c r="U4" s="153"/>
      <c r="V4" s="153"/>
      <c r="W4" s="153"/>
      <c r="X4" s="153"/>
      <c r="Y4" s="153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3"/>
      <c r="U5" s="153"/>
      <c r="V5" s="153"/>
      <c r="W5" s="153"/>
      <c r="X5" s="153"/>
      <c r="Y5" s="153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3"/>
      <c r="U6" s="153"/>
      <c r="V6" s="153"/>
      <c r="W6" s="153"/>
      <c r="X6" s="153"/>
      <c r="Y6" s="153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3"/>
      <c r="U7" s="153"/>
      <c r="V7" s="153"/>
      <c r="W7" s="153"/>
      <c r="X7" s="153"/>
      <c r="Y7" s="153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3"/>
      <c r="U8" s="153"/>
      <c r="V8" s="153"/>
      <c r="W8" s="153"/>
      <c r="X8" s="153"/>
      <c r="Y8" s="153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3"/>
      <c r="U9" s="153"/>
      <c r="V9" s="153"/>
      <c r="W9" s="153"/>
      <c r="X9" s="153"/>
      <c r="Y9" s="153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3"/>
      <c r="U10" s="153"/>
      <c r="V10" s="153"/>
      <c r="W10" s="153"/>
      <c r="X10" s="153"/>
      <c r="Y10" s="153"/>
    </row>
    <row r="11" spans="1:28" ht="20.25">
      <c r="A11" s="46" t="s">
        <v>22</v>
      </c>
      <c r="B11" s="88">
        <v>2</v>
      </c>
      <c r="C11" s="102" t="s">
        <v>48</v>
      </c>
      <c r="D11" s="63"/>
      <c r="E11" s="62"/>
      <c r="F11" s="88">
        <v>2</v>
      </c>
      <c r="G11" s="102" t="s">
        <v>48</v>
      </c>
      <c r="H11" s="63"/>
      <c r="I11" s="62"/>
      <c r="J11" s="63">
        <v>2</v>
      </c>
      <c r="K11" s="102" t="s">
        <v>48</v>
      </c>
      <c r="L11" s="67"/>
      <c r="M11" s="65"/>
      <c r="N11" s="63"/>
      <c r="O11" s="62"/>
      <c r="P11" s="63"/>
      <c r="Q11" s="63"/>
      <c r="R11" s="62"/>
      <c r="S11" s="90"/>
      <c r="T11" s="153"/>
      <c r="U11" s="153"/>
      <c r="V11" s="153"/>
      <c r="W11" s="153"/>
      <c r="X11" s="153"/>
      <c r="Y11" s="153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3"/>
      <c r="U12" s="153"/>
      <c r="V12" s="153"/>
      <c r="W12" s="153"/>
      <c r="X12" s="153"/>
      <c r="Y12" s="153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3"/>
      <c r="U13" s="153"/>
      <c r="V13" s="153"/>
      <c r="W13" s="153"/>
      <c r="X13" s="153"/>
      <c r="Y13" s="153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3"/>
      <c r="U14" s="153"/>
      <c r="V14" s="153"/>
      <c r="W14" s="153"/>
      <c r="X14" s="153"/>
      <c r="Y14" s="153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3"/>
      <c r="U15" s="153"/>
      <c r="V15" s="153"/>
      <c r="W15" s="153"/>
      <c r="X15" s="153"/>
      <c r="Y15" s="153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3"/>
      <c r="U16" s="153"/>
      <c r="V16" s="153"/>
      <c r="W16" s="153"/>
      <c r="X16" s="153"/>
      <c r="Y16" s="153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2</v>
      </c>
      <c r="G17" s="102" t="s">
        <v>48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3"/>
      <c r="U17" s="153"/>
      <c r="V17" s="153"/>
      <c r="W17" s="153"/>
      <c r="X17" s="153"/>
      <c r="Y17" s="153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2</v>
      </c>
      <c r="G18" s="102" t="s">
        <v>48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3"/>
      <c r="U18" s="153"/>
      <c r="V18" s="153"/>
      <c r="W18" s="153"/>
      <c r="X18" s="153"/>
      <c r="Y18" s="153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2</v>
      </c>
      <c r="G19" s="102" t="s">
        <v>48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3"/>
      <c r="U19" s="153"/>
      <c r="V19" s="153"/>
      <c r="W19" s="153"/>
      <c r="X19" s="153"/>
      <c r="Y19" s="153"/>
    </row>
    <row r="20" spans="1:28" ht="18" customHeight="1">
      <c r="A20" s="46" t="s">
        <v>83</v>
      </c>
      <c r="B20" s="88">
        <v>1</v>
      </c>
      <c r="C20" s="62" t="s">
        <v>47</v>
      </c>
      <c r="D20" s="63"/>
      <c r="E20" s="102"/>
      <c r="F20" s="88">
        <v>1</v>
      </c>
      <c r="G20" s="62" t="s">
        <v>47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3"/>
      <c r="U20" s="153"/>
      <c r="V20" s="153"/>
      <c r="W20" s="153"/>
      <c r="X20" s="153"/>
      <c r="Y20" s="153"/>
    </row>
    <row r="21" spans="1:28" ht="18" customHeight="1">
      <c r="A21" s="46" t="s">
        <v>95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3"/>
      <c r="U21" s="153"/>
      <c r="V21" s="153"/>
      <c r="W21" s="153"/>
      <c r="X21" s="153"/>
      <c r="Y21" s="153"/>
    </row>
    <row r="22" spans="1:28" ht="18.75" customHeight="1">
      <c r="A22" s="46" t="s">
        <v>97</v>
      </c>
      <c r="B22" s="88">
        <v>2</v>
      </c>
      <c r="C22" s="102" t="s">
        <v>48</v>
      </c>
      <c r="D22" s="63"/>
      <c r="E22" s="62"/>
      <c r="F22" s="88">
        <v>2</v>
      </c>
      <c r="G22" s="102" t="s">
        <v>48</v>
      </c>
      <c r="H22" s="63"/>
      <c r="I22" s="62"/>
      <c r="J22" s="63">
        <v>2</v>
      </c>
      <c r="K22" s="102" t="s">
        <v>48</v>
      </c>
      <c r="L22" s="64"/>
      <c r="M22" s="64"/>
      <c r="N22" s="63"/>
      <c r="O22" s="102"/>
      <c r="P22" s="63"/>
      <c r="Q22" s="63"/>
      <c r="R22" s="62"/>
      <c r="S22" s="91"/>
      <c r="T22" s="153"/>
      <c r="U22" s="153"/>
      <c r="V22" s="153"/>
      <c r="W22" s="153"/>
      <c r="X22" s="153"/>
      <c r="Y22" s="153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3"/>
      <c r="U23" s="153"/>
      <c r="V23" s="153"/>
      <c r="W23" s="153"/>
      <c r="X23" s="153"/>
      <c r="Y23" s="153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3"/>
      <c r="U24" s="153"/>
      <c r="V24" s="153"/>
      <c r="W24" s="153"/>
      <c r="X24" s="153"/>
      <c r="Y24" s="153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3"/>
      <c r="U25" s="153"/>
      <c r="V25" s="153"/>
      <c r="W25" s="153"/>
      <c r="X25" s="153"/>
      <c r="Y25" s="153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12</v>
      </c>
      <c r="G26" s="96" t="s">
        <v>43</v>
      </c>
      <c r="H26" s="100"/>
      <c r="I26" s="101"/>
      <c r="J26" s="98">
        <v>16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9</v>
      </c>
      <c r="G27" s="96" t="s">
        <v>44</v>
      </c>
      <c r="H27" s="100"/>
      <c r="I27" s="96"/>
      <c r="J27" s="98">
        <v>5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51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82</v>
      </c>
      <c r="V44" s="12"/>
      <c r="W44" s="12"/>
    </row>
    <row r="45" spans="1:23" ht="18">
      <c r="A45" s="34" t="s">
        <v>55</v>
      </c>
      <c r="V45" s="12"/>
      <c r="W45" s="12"/>
    </row>
    <row r="46" spans="1:23" ht="18">
      <c r="A46" s="34" t="s">
        <v>90</v>
      </c>
      <c r="V46" s="12"/>
      <c r="W46" s="12"/>
    </row>
    <row r="47" spans="1:23" ht="18">
      <c r="A47" s="34" t="s">
        <v>23</v>
      </c>
      <c r="V47" s="12"/>
      <c r="W47" s="12"/>
    </row>
    <row r="48" spans="1:23" ht="18">
      <c r="A48" s="34" t="s">
        <v>61</v>
      </c>
      <c r="B48" s="7"/>
      <c r="V48" s="12"/>
      <c r="W48" s="32"/>
    </row>
    <row r="49" spans="1:23" ht="18">
      <c r="A49" s="34" t="s">
        <v>24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51</v>
      </c>
    </row>
    <row r="56" spans="1:23" ht="18">
      <c r="A56" s="34" t="s">
        <v>52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M39"/>
  <sheetViews>
    <sheetView workbookViewId="0">
      <pane xSplit="1" topLeftCell="B1" activePane="topRight" state="frozen"/>
      <selection pane="topRight" activeCell="Q8" sqref="Q8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13" width="22.7109375" style="22" customWidth="1"/>
    <col min="14" max="16384" width="9.140625" style="22"/>
  </cols>
  <sheetData>
    <row r="1" spans="1:13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13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</row>
    <row r="3" spans="1:13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</row>
    <row r="4" spans="1:13" ht="63" customHeight="1">
      <c r="A4" s="51" t="str">
        <f>'[1]MOÇÃO E REQUERIMENTO'!B7</f>
        <v>EXPEDIENTE</v>
      </c>
      <c r="B4" s="50" t="s">
        <v>42</v>
      </c>
      <c r="C4" s="117" t="s">
        <v>100</v>
      </c>
      <c r="D4" s="117" t="s">
        <v>101</v>
      </c>
      <c r="E4" s="117" t="s">
        <v>104</v>
      </c>
      <c r="F4" s="117" t="s">
        <v>105</v>
      </c>
      <c r="G4" s="117" t="s">
        <v>106</v>
      </c>
      <c r="H4" s="117" t="s">
        <v>107</v>
      </c>
      <c r="I4" s="112" t="s">
        <v>32</v>
      </c>
      <c r="J4" s="123"/>
      <c r="K4" s="50" t="s">
        <v>25</v>
      </c>
      <c r="L4" s="84" t="s">
        <v>108</v>
      </c>
      <c r="M4" s="84" t="s">
        <v>109</v>
      </c>
    </row>
    <row r="5" spans="1:13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113"/>
      <c r="L5" s="113" t="s">
        <v>84</v>
      </c>
      <c r="M5" s="113" t="s">
        <v>84</v>
      </c>
    </row>
    <row r="6" spans="1:13" ht="15.75">
      <c r="A6" s="126" t="s">
        <v>96</v>
      </c>
      <c r="K6" s="23"/>
    </row>
    <row r="7" spans="1:13" ht="15.75">
      <c r="A7" s="126" t="s">
        <v>60</v>
      </c>
      <c r="K7" s="23"/>
    </row>
    <row r="8" spans="1:13" ht="15.75">
      <c r="A8" s="126" t="s">
        <v>49</v>
      </c>
      <c r="K8" s="23"/>
    </row>
    <row r="9" spans="1:13" ht="15.75">
      <c r="A9" s="127" t="s">
        <v>50</v>
      </c>
      <c r="K9" s="23"/>
    </row>
    <row r="10" spans="1:13" ht="15.75">
      <c r="A10" s="126" t="s">
        <v>26</v>
      </c>
      <c r="K10" s="23"/>
    </row>
    <row r="11" spans="1:13" ht="15.75">
      <c r="A11" s="126" t="s">
        <v>51</v>
      </c>
      <c r="K11" s="23"/>
    </row>
    <row r="12" spans="1:13" ht="15.75">
      <c r="A12" s="126" t="s">
        <v>22</v>
      </c>
      <c r="K12" s="23"/>
    </row>
    <row r="13" spans="1:13" ht="15.75">
      <c r="A13" s="126" t="s">
        <v>23</v>
      </c>
      <c r="K13" s="23"/>
    </row>
    <row r="14" spans="1:13" ht="15.75">
      <c r="A14" s="126" t="s">
        <v>52</v>
      </c>
      <c r="K14" s="23"/>
    </row>
    <row r="15" spans="1:13" ht="15.75">
      <c r="A15" s="126" t="s">
        <v>53</v>
      </c>
      <c r="K15" s="23"/>
    </row>
    <row r="16" spans="1:13" ht="15.75">
      <c r="A16" s="126" t="s">
        <v>54</v>
      </c>
      <c r="K16" s="23"/>
    </row>
    <row r="17" spans="1:11" ht="15.75">
      <c r="A17" s="126" t="s">
        <v>89</v>
      </c>
      <c r="K17" s="23"/>
    </row>
    <row r="18" spans="1:11" ht="15.75">
      <c r="A18" s="126" t="s">
        <v>24</v>
      </c>
      <c r="K18" s="23"/>
    </row>
    <row r="19" spans="1:11" ht="15.75">
      <c r="A19" s="126" t="s">
        <v>55</v>
      </c>
      <c r="K19" s="23"/>
    </row>
    <row r="20" spans="1:11" ht="15.75">
      <c r="A20" s="126" t="s">
        <v>90</v>
      </c>
      <c r="K20" s="23"/>
    </row>
    <row r="21" spans="1:11" ht="15.75">
      <c r="A21" s="126" t="s">
        <v>83</v>
      </c>
      <c r="K21" s="23"/>
    </row>
    <row r="22" spans="1:11" ht="15.75">
      <c r="A22" s="126" t="s">
        <v>95</v>
      </c>
      <c r="K22" s="23"/>
    </row>
    <row r="23" spans="1:11" ht="15.75">
      <c r="A23" s="126" t="s">
        <v>97</v>
      </c>
      <c r="K23" s="23"/>
    </row>
    <row r="24" spans="1:11" ht="15.75">
      <c r="A24" s="126" t="s">
        <v>61</v>
      </c>
      <c r="K24" s="23"/>
    </row>
    <row r="25" spans="1:11" ht="15.75">
      <c r="A25" s="126" t="s">
        <v>82</v>
      </c>
      <c r="K25" s="23"/>
    </row>
    <row r="26" spans="1:11" ht="15.75">
      <c r="A26" s="126" t="s">
        <v>56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C16" sqref="C1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29</v>
      </c>
      <c r="C4" s="140" t="s">
        <v>111</v>
      </c>
      <c r="D4" s="109" t="s">
        <v>6</v>
      </c>
      <c r="E4" s="13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35</v>
      </c>
      <c r="B5" s="78"/>
      <c r="C5" s="144" t="s">
        <v>110</v>
      </c>
      <c r="D5" s="79"/>
      <c r="E5" s="144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96</v>
      </c>
      <c r="C6" s="107" t="s">
        <v>88</v>
      </c>
      <c r="E6" s="107"/>
      <c r="F6" s="142"/>
    </row>
    <row r="7" spans="1:45" ht="20.25">
      <c r="A7" s="46" t="s">
        <v>60</v>
      </c>
      <c r="C7" s="107" t="s">
        <v>88</v>
      </c>
      <c r="E7" s="107"/>
    </row>
    <row r="8" spans="1:45" ht="20.25">
      <c r="A8" s="46" t="s">
        <v>49</v>
      </c>
      <c r="C8" s="107" t="s">
        <v>88</v>
      </c>
      <c r="E8" s="107"/>
    </row>
    <row r="9" spans="1:45" ht="20.25">
      <c r="A9" s="82" t="s">
        <v>50</v>
      </c>
      <c r="C9" s="114" t="s">
        <v>98</v>
      </c>
      <c r="E9" s="114"/>
    </row>
    <row r="10" spans="1:45" ht="20.25">
      <c r="A10" s="46" t="s">
        <v>26</v>
      </c>
      <c r="C10" s="107" t="s">
        <v>88</v>
      </c>
      <c r="E10" s="107"/>
    </row>
    <row r="11" spans="1:45" ht="20.25">
      <c r="A11" s="46" t="s">
        <v>51</v>
      </c>
      <c r="C11" s="107" t="s">
        <v>88</v>
      </c>
      <c r="E11" s="114"/>
    </row>
    <row r="12" spans="1:45" ht="20.25">
      <c r="A12" s="46" t="s">
        <v>22</v>
      </c>
      <c r="C12" s="114" t="s">
        <v>48</v>
      </c>
      <c r="E12" s="107"/>
    </row>
    <row r="13" spans="1:45" ht="20.25">
      <c r="A13" s="46" t="s">
        <v>23</v>
      </c>
      <c r="C13" s="107" t="s">
        <v>88</v>
      </c>
      <c r="E13" s="107"/>
    </row>
    <row r="14" spans="1:45" ht="20.25">
      <c r="A14" s="46" t="s">
        <v>52</v>
      </c>
      <c r="C14" s="107" t="s">
        <v>88</v>
      </c>
      <c r="E14" s="107"/>
    </row>
    <row r="15" spans="1:45" ht="20.25">
      <c r="A15" s="46" t="s">
        <v>53</v>
      </c>
      <c r="C15" s="107" t="s">
        <v>88</v>
      </c>
      <c r="E15" s="107"/>
    </row>
    <row r="16" spans="1:45" ht="20.25">
      <c r="A16" s="46" t="s">
        <v>54</v>
      </c>
      <c r="C16" s="143" t="s">
        <v>112</v>
      </c>
      <c r="E16" s="107"/>
    </row>
    <row r="17" spans="1:130" ht="20.25">
      <c r="A17" s="46" t="s">
        <v>89</v>
      </c>
      <c r="C17" s="114" t="s">
        <v>48</v>
      </c>
      <c r="E17" s="107"/>
    </row>
    <row r="18" spans="1:130" ht="20.25">
      <c r="A18" s="46" t="s">
        <v>24</v>
      </c>
      <c r="C18" s="107" t="s">
        <v>88</v>
      </c>
      <c r="E18" s="107"/>
    </row>
    <row r="19" spans="1:130" ht="20.25">
      <c r="A19" s="46" t="s">
        <v>55</v>
      </c>
      <c r="C19" s="107" t="s">
        <v>88</v>
      </c>
      <c r="E19" s="107"/>
    </row>
    <row r="20" spans="1:130" ht="20.25">
      <c r="A20" s="46" t="s">
        <v>90</v>
      </c>
      <c r="C20" s="114" t="s">
        <v>48</v>
      </c>
      <c r="E20" s="107"/>
    </row>
    <row r="21" spans="1:130" ht="20.25">
      <c r="A21" s="46" t="s">
        <v>83</v>
      </c>
      <c r="C21" s="114" t="s">
        <v>48</v>
      </c>
      <c r="E21" s="107"/>
    </row>
    <row r="22" spans="1:130" ht="20.25">
      <c r="A22" s="46" t="s">
        <v>95</v>
      </c>
      <c r="C22" s="107" t="s">
        <v>88</v>
      </c>
      <c r="E22" s="107"/>
    </row>
    <row r="23" spans="1:130" ht="20.25">
      <c r="A23" s="46" t="s">
        <v>97</v>
      </c>
      <c r="C23" s="114" t="s">
        <v>48</v>
      </c>
      <c r="E23" s="107"/>
    </row>
    <row r="24" spans="1:130" ht="20.25">
      <c r="A24" s="46" t="s">
        <v>61</v>
      </c>
      <c r="C24" s="107" t="s">
        <v>88</v>
      </c>
      <c r="E24" s="107"/>
    </row>
    <row r="25" spans="1:130" ht="20.25">
      <c r="A25" s="46" t="s">
        <v>82</v>
      </c>
      <c r="C25" s="107" t="s">
        <v>88</v>
      </c>
      <c r="E25" s="107"/>
    </row>
    <row r="26" spans="1:130" ht="20.25">
      <c r="A26" s="46" t="s">
        <v>56</v>
      </c>
      <c r="C26" s="107" t="s">
        <v>88</v>
      </c>
      <c r="E26" s="114"/>
    </row>
    <row r="27" spans="1:130" s="16" customFormat="1" ht="15.75">
      <c r="A27" s="15" t="s">
        <v>18</v>
      </c>
      <c r="B27"/>
      <c r="C27" s="103">
        <f>COUNTIF(C6:C26,"sim")</f>
        <v>14</v>
      </c>
      <c r="D27"/>
      <c r="E27" s="103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1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5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W37"/>
  <sheetViews>
    <sheetView zoomScale="90" zoomScaleNormal="90" workbookViewId="0">
      <pane xSplit="1" topLeftCell="B1" activePane="topRight" state="frozen"/>
      <selection pane="topRight" activeCell="F7" sqref="F7"/>
    </sheetView>
  </sheetViews>
  <sheetFormatPr defaultRowHeight="15"/>
  <cols>
    <col min="1" max="1" width="46.85546875" customWidth="1"/>
    <col min="2" max="7" width="30.42578125" customWidth="1"/>
    <col min="8" max="8" width="17.42578125" customWidth="1"/>
    <col min="9" max="9" width="16.85546875" customWidth="1"/>
    <col min="10" max="10" width="29.85546875" customWidth="1"/>
    <col min="11" max="11" width="29.28515625" customWidth="1"/>
    <col min="12" max="12" width="25.7109375" customWidth="1"/>
    <col min="13" max="13" width="28" customWidth="1"/>
    <col min="14" max="14" width="28.140625" customWidth="1"/>
    <col min="15" max="15" width="30.5703125" customWidth="1"/>
    <col min="16" max="16" width="26.7109375" customWidth="1"/>
    <col min="17" max="18" width="29.28515625" customWidth="1"/>
    <col min="19" max="19" width="29.42578125" customWidth="1"/>
    <col min="20" max="21" width="28.7109375" customWidth="1"/>
    <col min="22" max="22" width="28.140625" customWidth="1"/>
    <col min="23" max="23" width="25.7109375" customWidth="1"/>
    <col min="24" max="24" width="21.28515625" customWidth="1"/>
    <col min="25" max="25" width="19.5703125" customWidth="1"/>
    <col min="26" max="26" width="18.28515625" customWidth="1"/>
    <col min="27" max="27" width="17.28515625" customWidth="1"/>
    <col min="28" max="28" width="18.140625" customWidth="1"/>
    <col min="29" max="29" width="22" customWidth="1"/>
    <col min="30" max="30" width="16.140625" customWidth="1"/>
    <col min="31" max="31" width="18" customWidth="1"/>
    <col min="33" max="33" width="18.28515625" customWidth="1"/>
  </cols>
  <sheetData>
    <row r="1" spans="1:33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3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3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ht="90.6" customHeight="1" thickBot="1">
      <c r="A4" s="119" t="s">
        <v>5</v>
      </c>
      <c r="B4" s="118" t="s">
        <v>7</v>
      </c>
      <c r="C4" s="138" t="s">
        <v>113</v>
      </c>
      <c r="D4" s="138" t="s">
        <v>114</v>
      </c>
      <c r="E4" s="138" t="s">
        <v>115</v>
      </c>
      <c r="F4" s="138" t="s">
        <v>116</v>
      </c>
      <c r="G4" s="138" t="s">
        <v>117</v>
      </c>
      <c r="H4" s="60"/>
      <c r="I4" s="60"/>
      <c r="J4" s="60"/>
      <c r="K4" s="9"/>
      <c r="L4" s="9"/>
      <c r="M4" s="9"/>
      <c r="N4" s="9"/>
      <c r="O4" s="9"/>
      <c r="P4" s="9"/>
      <c r="Q4" s="13"/>
      <c r="R4" s="9"/>
      <c r="S4" s="9"/>
      <c r="T4" s="9"/>
      <c r="U4" s="9"/>
      <c r="V4" s="9"/>
      <c r="W4" s="9"/>
      <c r="X4" s="13"/>
      <c r="Y4" s="13"/>
      <c r="Z4" s="13"/>
      <c r="AA4" s="13"/>
      <c r="AB4" s="13"/>
      <c r="AC4" s="9"/>
      <c r="AD4" s="9"/>
      <c r="AE4" s="9"/>
      <c r="AG4" s="8"/>
    </row>
    <row r="5" spans="1:33" s="77" customFormat="1" ht="51.75" customHeight="1">
      <c r="B5" s="75"/>
      <c r="C5" s="144" t="s">
        <v>87</v>
      </c>
      <c r="D5" s="144" t="s">
        <v>84</v>
      </c>
      <c r="E5" s="144" t="s">
        <v>87</v>
      </c>
      <c r="F5" s="144" t="s">
        <v>84</v>
      </c>
      <c r="G5" s="144" t="s">
        <v>99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AD5" s="75"/>
      <c r="AE5" s="75"/>
    </row>
    <row r="6" spans="1:33" ht="18">
      <c r="A6" s="128" t="s">
        <v>96</v>
      </c>
      <c r="C6" s="107" t="s">
        <v>88</v>
      </c>
      <c r="D6" s="107" t="s">
        <v>88</v>
      </c>
      <c r="E6" s="107" t="s">
        <v>88</v>
      </c>
      <c r="F6" s="107" t="s">
        <v>88</v>
      </c>
      <c r="G6" s="107"/>
      <c r="Y6" s="7"/>
      <c r="Z6" s="7"/>
    </row>
    <row r="7" spans="1:33" ht="18">
      <c r="A7" s="128" t="s">
        <v>60</v>
      </c>
      <c r="C7" s="107" t="s">
        <v>88</v>
      </c>
      <c r="D7" s="107" t="s">
        <v>88</v>
      </c>
      <c r="E7" s="107" t="s">
        <v>88</v>
      </c>
      <c r="F7" s="107" t="s">
        <v>88</v>
      </c>
      <c r="G7" s="107"/>
      <c r="Y7" s="7"/>
      <c r="Z7" s="7"/>
    </row>
    <row r="8" spans="1:33" ht="18">
      <c r="A8" s="128" t="s">
        <v>49</v>
      </c>
      <c r="C8" s="107" t="s">
        <v>88</v>
      </c>
      <c r="D8" s="107" t="s">
        <v>88</v>
      </c>
      <c r="E8" s="107" t="s">
        <v>88</v>
      </c>
      <c r="F8" s="107" t="s">
        <v>88</v>
      </c>
      <c r="G8" s="107"/>
      <c r="Y8" s="7"/>
      <c r="Z8" s="7"/>
    </row>
    <row r="9" spans="1:33" ht="18">
      <c r="A9" s="129" t="s">
        <v>50</v>
      </c>
      <c r="C9" s="114" t="s">
        <v>98</v>
      </c>
      <c r="D9" s="114" t="s">
        <v>98</v>
      </c>
      <c r="E9" s="114" t="s">
        <v>98</v>
      </c>
      <c r="F9" s="114" t="s">
        <v>98</v>
      </c>
      <c r="G9" s="114"/>
      <c r="Y9" s="7"/>
      <c r="Z9" s="7"/>
    </row>
    <row r="10" spans="1:33" ht="18">
      <c r="A10" s="128" t="s">
        <v>26</v>
      </c>
      <c r="C10" s="107" t="s">
        <v>88</v>
      </c>
      <c r="D10" s="107" t="s">
        <v>88</v>
      </c>
      <c r="E10" s="107" t="s">
        <v>88</v>
      </c>
      <c r="F10" s="107" t="s">
        <v>88</v>
      </c>
      <c r="G10" s="114"/>
      <c r="Y10" s="7"/>
      <c r="Z10" s="7"/>
    </row>
    <row r="11" spans="1:33" ht="18">
      <c r="A11" s="128" t="s">
        <v>51</v>
      </c>
      <c r="C11" s="107" t="s">
        <v>88</v>
      </c>
      <c r="D11" s="107" t="s">
        <v>88</v>
      </c>
      <c r="E11" s="107" t="s">
        <v>88</v>
      </c>
      <c r="F11" s="107" t="s">
        <v>88</v>
      </c>
      <c r="G11" s="114"/>
      <c r="Y11" s="7"/>
      <c r="Z11" s="7"/>
    </row>
    <row r="12" spans="1:33" ht="18">
      <c r="A12" s="128" t="s">
        <v>22</v>
      </c>
      <c r="C12" s="114" t="s">
        <v>48</v>
      </c>
      <c r="D12" s="114" t="s">
        <v>48</v>
      </c>
      <c r="E12" s="114" t="s">
        <v>48</v>
      </c>
      <c r="F12" s="114" t="s">
        <v>48</v>
      </c>
      <c r="G12" s="107"/>
      <c r="Y12" s="7"/>
      <c r="Z12" s="7"/>
    </row>
    <row r="13" spans="1:33" ht="18">
      <c r="A13" s="128" t="s">
        <v>23</v>
      </c>
      <c r="C13" s="107" t="s">
        <v>88</v>
      </c>
      <c r="D13" s="114" t="s">
        <v>48</v>
      </c>
      <c r="E13" s="107" t="s">
        <v>88</v>
      </c>
      <c r="F13" s="107" t="s">
        <v>88</v>
      </c>
      <c r="G13" s="114"/>
      <c r="Y13" s="7"/>
      <c r="Z13" s="7"/>
    </row>
    <row r="14" spans="1:33" ht="18">
      <c r="A14" s="128" t="s">
        <v>52</v>
      </c>
      <c r="C14" s="107" t="s">
        <v>88</v>
      </c>
      <c r="D14" s="107" t="s">
        <v>88</v>
      </c>
      <c r="E14" s="107" t="s">
        <v>88</v>
      </c>
      <c r="F14" s="107" t="s">
        <v>88</v>
      </c>
      <c r="G14" s="107"/>
      <c r="Y14" s="7"/>
      <c r="Z14" s="7"/>
    </row>
    <row r="15" spans="1:33" ht="18">
      <c r="A15" s="128" t="s">
        <v>53</v>
      </c>
      <c r="C15" s="107" t="s">
        <v>88</v>
      </c>
      <c r="D15" s="107" t="s">
        <v>88</v>
      </c>
      <c r="E15" s="107" t="s">
        <v>88</v>
      </c>
      <c r="F15" s="107" t="s">
        <v>88</v>
      </c>
      <c r="G15" s="107"/>
      <c r="Y15" s="7"/>
      <c r="Z15" s="7"/>
    </row>
    <row r="16" spans="1:33" ht="18">
      <c r="A16" s="128" t="s">
        <v>54</v>
      </c>
      <c r="C16" s="107" t="s">
        <v>88</v>
      </c>
      <c r="D16" s="107" t="s">
        <v>88</v>
      </c>
      <c r="E16" s="107" t="s">
        <v>88</v>
      </c>
      <c r="F16" s="107" t="s">
        <v>88</v>
      </c>
      <c r="G16" s="114"/>
      <c r="Y16" s="7"/>
      <c r="Z16" s="7"/>
    </row>
    <row r="17" spans="1:127" ht="18">
      <c r="A17" s="128" t="s">
        <v>89</v>
      </c>
      <c r="C17" s="107" t="s">
        <v>88</v>
      </c>
      <c r="D17" s="107" t="s">
        <v>88</v>
      </c>
      <c r="E17" s="107" t="s">
        <v>88</v>
      </c>
      <c r="F17" s="107" t="s">
        <v>88</v>
      </c>
      <c r="G17" s="114"/>
      <c r="Y17" s="7"/>
      <c r="Z17" s="7"/>
    </row>
    <row r="18" spans="1:127" ht="15" customHeight="1">
      <c r="A18" s="128" t="s">
        <v>24</v>
      </c>
      <c r="C18" s="107" t="s">
        <v>88</v>
      </c>
      <c r="D18" s="107" t="s">
        <v>88</v>
      </c>
      <c r="E18" s="107" t="s">
        <v>88</v>
      </c>
      <c r="F18" s="107" t="s">
        <v>88</v>
      </c>
      <c r="G18" s="114"/>
      <c r="X18" s="8"/>
      <c r="Y18" s="7"/>
      <c r="Z18" s="7"/>
    </row>
    <row r="19" spans="1:127" ht="18">
      <c r="A19" s="128" t="s">
        <v>55</v>
      </c>
      <c r="C19" s="107" t="s">
        <v>88</v>
      </c>
      <c r="D19" s="107" t="s">
        <v>88</v>
      </c>
      <c r="E19" s="107" t="s">
        <v>88</v>
      </c>
      <c r="F19" s="107" t="s">
        <v>88</v>
      </c>
      <c r="G19" s="107"/>
      <c r="Y19" s="7"/>
      <c r="Z19" s="7"/>
    </row>
    <row r="20" spans="1:127" ht="18">
      <c r="A20" s="128" t="s">
        <v>90</v>
      </c>
      <c r="C20" s="107" t="s">
        <v>88</v>
      </c>
      <c r="D20" s="107" t="s">
        <v>88</v>
      </c>
      <c r="E20" s="107" t="s">
        <v>88</v>
      </c>
      <c r="F20" s="107" t="s">
        <v>88</v>
      </c>
      <c r="G20" s="107"/>
      <c r="Y20" s="7"/>
      <c r="Z20" s="7"/>
    </row>
    <row r="21" spans="1:127" ht="18">
      <c r="A21" s="128" t="s">
        <v>83</v>
      </c>
      <c r="C21" s="114" t="s">
        <v>48</v>
      </c>
      <c r="D21" s="114" t="s">
        <v>48</v>
      </c>
      <c r="E21" s="114" t="s">
        <v>48</v>
      </c>
      <c r="F21" s="114" t="s">
        <v>48</v>
      </c>
      <c r="G21" s="107"/>
      <c r="Y21" s="7"/>
      <c r="Z21" s="7"/>
    </row>
    <row r="22" spans="1:127" ht="18">
      <c r="A22" s="128" t="s">
        <v>95</v>
      </c>
      <c r="C22" s="107" t="s">
        <v>88</v>
      </c>
      <c r="D22" s="107" t="s">
        <v>88</v>
      </c>
      <c r="E22" s="107" t="s">
        <v>88</v>
      </c>
      <c r="F22" s="107" t="s">
        <v>88</v>
      </c>
      <c r="G22" s="107"/>
      <c r="Y22" s="7"/>
      <c r="Z22" s="7"/>
    </row>
    <row r="23" spans="1:127" ht="18">
      <c r="A23" s="128" t="s">
        <v>97</v>
      </c>
      <c r="C23" s="114" t="s">
        <v>48</v>
      </c>
      <c r="D23" s="114" t="s">
        <v>48</v>
      </c>
      <c r="E23" s="114" t="s">
        <v>48</v>
      </c>
      <c r="F23" s="114" t="s">
        <v>48</v>
      </c>
      <c r="G23" s="107"/>
      <c r="Y23" s="7"/>
      <c r="Z23" s="7"/>
    </row>
    <row r="24" spans="1:127" ht="18">
      <c r="A24" s="128" t="s">
        <v>61</v>
      </c>
      <c r="C24" s="107" t="s">
        <v>88</v>
      </c>
      <c r="D24" s="107" t="s">
        <v>88</v>
      </c>
      <c r="E24" s="107" t="s">
        <v>88</v>
      </c>
      <c r="F24" s="114" t="s">
        <v>48</v>
      </c>
      <c r="G24" s="114"/>
      <c r="Y24" s="7"/>
      <c r="Z24" s="7"/>
    </row>
    <row r="25" spans="1:127" ht="18">
      <c r="A25" s="128" t="s">
        <v>82</v>
      </c>
      <c r="C25" s="107" t="s">
        <v>88</v>
      </c>
      <c r="D25" s="107" t="s">
        <v>88</v>
      </c>
      <c r="E25" s="107" t="s">
        <v>88</v>
      </c>
      <c r="F25" s="107" t="s">
        <v>88</v>
      </c>
      <c r="G25" s="107"/>
      <c r="Y25" s="7"/>
      <c r="Z25" s="7"/>
    </row>
    <row r="26" spans="1:127" ht="18">
      <c r="A26" s="128" t="s">
        <v>56</v>
      </c>
      <c r="C26" s="107" t="s">
        <v>88</v>
      </c>
      <c r="D26" s="107" t="s">
        <v>88</v>
      </c>
      <c r="E26" s="107" t="s">
        <v>88</v>
      </c>
      <c r="F26" s="107" t="s">
        <v>88</v>
      </c>
      <c r="G26" s="107"/>
      <c r="Y26" s="7"/>
      <c r="Z26" s="7"/>
    </row>
    <row r="27" spans="1:127" s="16" customFormat="1" ht="15.75">
      <c r="A27" s="15" t="s">
        <v>18</v>
      </c>
      <c r="B27" s="145">
        <f>COUNTIF(B6:B26,"sim")</f>
        <v>0</v>
      </c>
      <c r="C27" s="103">
        <f t="shared" ref="C27:F27" si="0">COUNTIF(C6:C26,"sim")</f>
        <v>17</v>
      </c>
      <c r="D27" s="103">
        <f t="shared" si="0"/>
        <v>16</v>
      </c>
      <c r="E27" s="103">
        <f t="shared" si="0"/>
        <v>17</v>
      </c>
      <c r="F27" s="103">
        <f t="shared" si="0"/>
        <v>16</v>
      </c>
      <c r="G27" s="103">
        <f t="shared" ref="G27" si="1">COUNTIF(G6:G26,"sim")</f>
        <v>0</v>
      </c>
      <c r="N27" s="16">
        <f t="shared" ref="N27:AS27" si="2">COUNTIF(N6:N26,"sim")</f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ref="AT27:BY27" si="3">COUNTIF(AT6:AT26,"sim")</f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ref="BZ27:DE27" si="4">COUNTIF(BZ6:BZ26,"sim")</f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ref="DF27:DW27" si="5">COUNTIF(DF6:DF26,"sim")</f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  <c r="DW27" s="16">
        <f t="shared" si="5"/>
        <v>0</v>
      </c>
    </row>
    <row r="28" spans="1:127" s="18" customFormat="1" ht="15.75">
      <c r="A28" s="17" t="s">
        <v>19</v>
      </c>
      <c r="B28" s="146">
        <f>COUNTIF(B6:B26,"não")</f>
        <v>0</v>
      </c>
      <c r="C28" s="104">
        <f t="shared" ref="C28:F28" si="6">COUNTIF(C6:C26,"não")</f>
        <v>0</v>
      </c>
      <c r="D28" s="104">
        <f t="shared" si="6"/>
        <v>0</v>
      </c>
      <c r="E28" s="104">
        <f t="shared" si="6"/>
        <v>0</v>
      </c>
      <c r="F28" s="104">
        <f t="shared" si="6"/>
        <v>0</v>
      </c>
      <c r="G28" s="104">
        <f t="shared" ref="G28" si="7">COUNTIF(G6:G26,"não")</f>
        <v>0</v>
      </c>
      <c r="N28" s="18">
        <f t="shared" ref="N28:AS28" si="8">COUNTIF(N6:N27,"não")</f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si="8"/>
        <v>0</v>
      </c>
      <c r="AT28" s="18">
        <f t="shared" ref="AT28:BY28" si="9">COUNTIF(AT6:AT27,"não")</f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si="9"/>
        <v>0</v>
      </c>
      <c r="BZ28" s="18">
        <f t="shared" ref="BZ28:DE28" si="10">COUNTIF(BZ6:BZ27,"não")</f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si="10"/>
        <v>0</v>
      </c>
      <c r="DF28" s="18">
        <f t="shared" ref="DF28:DW28" si="11">COUNTIF(DF6:DF27,"não")</f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  <c r="DW28" s="18">
        <f t="shared" si="11"/>
        <v>0</v>
      </c>
    </row>
    <row r="29" spans="1:127" ht="15.75">
      <c r="A29" s="14" t="s">
        <v>11</v>
      </c>
      <c r="B29" s="147">
        <f>COUNTIF(B6:B26,"ausente")</f>
        <v>0</v>
      </c>
      <c r="C29" s="40">
        <f t="shared" ref="C29:F29" si="12">COUNTIF(C6:C26,"ausente")</f>
        <v>3</v>
      </c>
      <c r="D29" s="40">
        <f t="shared" si="12"/>
        <v>4</v>
      </c>
      <c r="E29" s="40">
        <f t="shared" si="12"/>
        <v>3</v>
      </c>
      <c r="F29" s="40">
        <f t="shared" si="12"/>
        <v>4</v>
      </c>
      <c r="G29" s="40">
        <f t="shared" ref="G29" si="13">COUNTIF(G6:G26,"ausente")</f>
        <v>0</v>
      </c>
      <c r="N29">
        <f t="shared" ref="N29:AS29" si="14">COUNTIF(N6:N28,"ausente")</f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si="14"/>
        <v>0</v>
      </c>
      <c r="AT29">
        <f t="shared" ref="AT29:BY29" si="15">COUNTIF(AT6:AT28,"ausente")</f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si="15"/>
        <v>0</v>
      </c>
      <c r="BZ29">
        <f t="shared" ref="BZ29:DE29" si="16">COUNTIF(BZ6:BZ28,"ausente")</f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si="16"/>
        <v>0</v>
      </c>
      <c r="DF29">
        <f t="shared" ref="DF29:DW29" si="17">COUNTIF(DF6:DF28,"ausente")</f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  <c r="DW29">
        <f t="shared" si="17"/>
        <v>0</v>
      </c>
    </row>
    <row r="30" spans="1:127" s="20" customFormat="1" ht="15.75">
      <c r="A30" s="19" t="s">
        <v>20</v>
      </c>
      <c r="B30" s="148">
        <f>COUNTIF(B6:B26,"abstenção")</f>
        <v>0</v>
      </c>
      <c r="C30" s="105">
        <f t="shared" ref="C30:F30" si="18">COUNTIF(C6:C26,"abstenção")</f>
        <v>0</v>
      </c>
      <c r="D30" s="105">
        <f t="shared" si="18"/>
        <v>0</v>
      </c>
      <c r="E30" s="105">
        <f t="shared" si="18"/>
        <v>0</v>
      </c>
      <c r="F30" s="105">
        <f t="shared" si="18"/>
        <v>0</v>
      </c>
      <c r="G30" s="105">
        <f t="shared" ref="G30" si="19">COUNTIF(G6:G26,"abstenção")</f>
        <v>0</v>
      </c>
      <c r="N30" s="20">
        <f t="shared" ref="N30:AS30" si="20">COUNTIF(N10:N29,"abstenção")</f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si="20"/>
        <v>0</v>
      </c>
      <c r="AT30" s="20">
        <f t="shared" ref="AT30:BY30" si="21">COUNTIF(AT10:AT29,"abstenção")</f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si="21"/>
        <v>0</v>
      </c>
      <c r="BM30" s="20">
        <f t="shared" si="21"/>
        <v>0</v>
      </c>
      <c r="BN30" s="20">
        <f t="shared" si="21"/>
        <v>0</v>
      </c>
      <c r="BO30" s="20">
        <f t="shared" si="21"/>
        <v>0</v>
      </c>
      <c r="BP30" s="20">
        <f t="shared" si="21"/>
        <v>0</v>
      </c>
      <c r="BQ30" s="20">
        <f t="shared" si="21"/>
        <v>0</v>
      </c>
      <c r="BR30" s="20">
        <f t="shared" si="21"/>
        <v>0</v>
      </c>
      <c r="BS30" s="20">
        <f t="shared" si="21"/>
        <v>0</v>
      </c>
      <c r="BT30" s="20">
        <f t="shared" si="21"/>
        <v>0</v>
      </c>
      <c r="BU30" s="20">
        <f t="shared" si="21"/>
        <v>0</v>
      </c>
      <c r="BV30" s="20">
        <f t="shared" si="21"/>
        <v>0</v>
      </c>
      <c r="BW30" s="20">
        <f t="shared" si="21"/>
        <v>0</v>
      </c>
      <c r="BX30" s="20">
        <f t="shared" si="21"/>
        <v>0</v>
      </c>
      <c r="BY30" s="20">
        <f t="shared" si="21"/>
        <v>0</v>
      </c>
      <c r="BZ30" s="20">
        <f t="shared" ref="BZ30:DE30" si="22">COUNTIF(BZ10:BZ29,"abstenção")</f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ref="DF30:DW30" si="23">COUNTIF(DF10:DF29,"abstenção")</f>
        <v>0</v>
      </c>
      <c r="DG30" s="20">
        <f t="shared" si="23"/>
        <v>0</v>
      </c>
      <c r="DH30" s="20">
        <f t="shared" si="23"/>
        <v>0</v>
      </c>
      <c r="DI30" s="20">
        <f t="shared" si="23"/>
        <v>0</v>
      </c>
      <c r="DJ30" s="20">
        <f t="shared" si="23"/>
        <v>0</v>
      </c>
      <c r="DK30" s="20">
        <f t="shared" si="23"/>
        <v>0</v>
      </c>
      <c r="DL30" s="20">
        <f t="shared" si="23"/>
        <v>0</v>
      </c>
      <c r="DM30" s="20">
        <f t="shared" si="23"/>
        <v>0</v>
      </c>
      <c r="DN30" s="20">
        <f t="shared" si="23"/>
        <v>0</v>
      </c>
      <c r="DO30" s="20">
        <f t="shared" si="23"/>
        <v>0</v>
      </c>
      <c r="DP30" s="20">
        <f t="shared" si="23"/>
        <v>0</v>
      </c>
      <c r="DQ30" s="20">
        <f t="shared" si="23"/>
        <v>0</v>
      </c>
      <c r="DR30" s="20">
        <f t="shared" si="23"/>
        <v>0</v>
      </c>
      <c r="DS30" s="20">
        <f t="shared" si="23"/>
        <v>0</v>
      </c>
      <c r="DT30" s="20">
        <f t="shared" si="23"/>
        <v>0</v>
      </c>
      <c r="DU30" s="20">
        <f t="shared" si="23"/>
        <v>0</v>
      </c>
      <c r="DV30" s="20">
        <f t="shared" si="23"/>
        <v>0</v>
      </c>
      <c r="DW30" s="20">
        <f t="shared" si="2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C26" sqref="C26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102</v>
      </c>
      <c r="B2" s="2"/>
    </row>
    <row r="3" spans="1:3" ht="15.75" thickBot="1">
      <c r="A3" s="120" t="s">
        <v>103</v>
      </c>
      <c r="B3" s="2"/>
    </row>
    <row r="4" spans="1:3" ht="78.75" customHeight="1" thickBot="1">
      <c r="A4" s="119" t="s">
        <v>5</v>
      </c>
      <c r="B4" s="111" t="s">
        <v>21</v>
      </c>
      <c r="C4" s="138" t="s">
        <v>118</v>
      </c>
    </row>
    <row r="5" spans="1:3" s="6" customFormat="1" ht="60.75" customHeight="1">
      <c r="A5" s="121"/>
      <c r="B5" s="111"/>
      <c r="C5" s="113" t="s">
        <v>87</v>
      </c>
    </row>
    <row r="6" spans="1:3" ht="15.75">
      <c r="A6" s="126" t="s">
        <v>96</v>
      </c>
      <c r="C6" s="107" t="s">
        <v>88</v>
      </c>
    </row>
    <row r="7" spans="1:3" ht="15.75">
      <c r="A7" s="126" t="s">
        <v>60</v>
      </c>
      <c r="C7" s="114" t="s">
        <v>48</v>
      </c>
    </row>
    <row r="8" spans="1:3" ht="15.75">
      <c r="A8" s="126" t="s">
        <v>49</v>
      </c>
      <c r="C8" s="107" t="s">
        <v>88</v>
      </c>
    </row>
    <row r="9" spans="1:3" ht="15.75">
      <c r="A9" s="127" t="s">
        <v>50</v>
      </c>
      <c r="C9" s="114" t="s">
        <v>98</v>
      </c>
    </row>
    <row r="10" spans="1:3" ht="15.75">
      <c r="A10" s="126" t="s">
        <v>26</v>
      </c>
      <c r="C10" s="107" t="s">
        <v>88</v>
      </c>
    </row>
    <row r="11" spans="1:3" ht="15.75">
      <c r="A11" s="126" t="s">
        <v>51</v>
      </c>
      <c r="C11" s="114" t="s">
        <v>48</v>
      </c>
    </row>
    <row r="12" spans="1:3" ht="15.75">
      <c r="A12" s="126" t="s">
        <v>22</v>
      </c>
      <c r="C12" s="114" t="s">
        <v>48</v>
      </c>
    </row>
    <row r="13" spans="1:3" ht="15.75">
      <c r="A13" s="126" t="s">
        <v>23</v>
      </c>
      <c r="C13" s="107" t="s">
        <v>88</v>
      </c>
    </row>
    <row r="14" spans="1:3" ht="15.75">
      <c r="A14" s="126" t="s">
        <v>52</v>
      </c>
      <c r="C14" s="107" t="s">
        <v>88</v>
      </c>
    </row>
    <row r="15" spans="1:3" ht="15.75">
      <c r="A15" s="126" t="s">
        <v>53</v>
      </c>
      <c r="B15" s="137"/>
      <c r="C15" s="107" t="s">
        <v>88</v>
      </c>
    </row>
    <row r="16" spans="1:3" ht="15.75">
      <c r="A16" s="126" t="s">
        <v>54</v>
      </c>
      <c r="C16" s="107" t="s">
        <v>88</v>
      </c>
    </row>
    <row r="17" spans="1:3" ht="15.75">
      <c r="A17" s="126" t="s">
        <v>89</v>
      </c>
      <c r="C17" s="107" t="s">
        <v>88</v>
      </c>
    </row>
    <row r="18" spans="1:3" ht="15.75">
      <c r="A18" s="126" t="s">
        <v>24</v>
      </c>
      <c r="C18" s="107" t="s">
        <v>88</v>
      </c>
    </row>
    <row r="19" spans="1:3" ht="15.75">
      <c r="A19" s="126" t="s">
        <v>55</v>
      </c>
      <c r="C19" s="107" t="s">
        <v>88</v>
      </c>
    </row>
    <row r="20" spans="1:3" ht="15.75">
      <c r="A20" s="126" t="s">
        <v>90</v>
      </c>
      <c r="C20" s="107" t="s">
        <v>88</v>
      </c>
    </row>
    <row r="21" spans="1:3" ht="15.75">
      <c r="A21" s="126" t="s">
        <v>83</v>
      </c>
      <c r="C21" s="114" t="s">
        <v>48</v>
      </c>
    </row>
    <row r="22" spans="1:3" ht="15.75">
      <c r="A22" s="126" t="s">
        <v>95</v>
      </c>
      <c r="C22" s="107" t="s">
        <v>88</v>
      </c>
    </row>
    <row r="23" spans="1:3" ht="15.75">
      <c r="A23" s="126" t="s">
        <v>97</v>
      </c>
      <c r="C23" s="114" t="s">
        <v>48</v>
      </c>
    </row>
    <row r="24" spans="1:3" ht="15.75">
      <c r="A24" s="126" t="s">
        <v>61</v>
      </c>
      <c r="C24" s="114" t="s">
        <v>48</v>
      </c>
    </row>
    <row r="25" spans="1:3" ht="15.75">
      <c r="A25" s="126" t="s">
        <v>82</v>
      </c>
      <c r="C25" s="107" t="s">
        <v>88</v>
      </c>
    </row>
    <row r="26" spans="1:3" ht="15.75">
      <c r="A26" s="126" t="s">
        <v>56</v>
      </c>
      <c r="C26" s="107" t="s">
        <v>88</v>
      </c>
    </row>
    <row r="27" spans="1:3">
      <c r="C27" s="114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14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6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102</v>
      </c>
      <c r="B2" s="2"/>
      <c r="C2" s="54"/>
      <c r="D2" s="54"/>
      <c r="E2" s="54"/>
    </row>
    <row r="3" spans="1:9" ht="15.75" thickBot="1">
      <c r="A3" s="120" t="s">
        <v>103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2026-08-17T19:31:06Z</dcterms:modified>
</cp:coreProperties>
</file>