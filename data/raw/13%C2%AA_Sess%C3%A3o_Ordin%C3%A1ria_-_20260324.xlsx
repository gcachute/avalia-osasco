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64100A7-12C5-4606-90AF-706F7AA7771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F27" i="2"/>
  <c r="C28" i="10"/>
  <c r="C29" i="10"/>
  <c r="C30" i="10"/>
  <c r="C31" i="10"/>
  <c r="F28" i="2"/>
  <c r="F29" i="2"/>
  <c r="F30" i="2"/>
  <c r="C27" i="3"/>
  <c r="C28" i="3"/>
  <c r="C29" i="3"/>
  <c r="C30" i="3"/>
  <c r="C27" i="2"/>
  <c r="C28" i="2"/>
  <c r="C29" i="2"/>
  <c r="C30" i="2"/>
  <c r="D28" i="10"/>
  <c r="D29" i="10"/>
  <c r="D30" i="10"/>
  <c r="D31" i="10"/>
  <c r="G27" i="2"/>
  <c r="G28" i="2"/>
  <c r="G29" i="2"/>
  <c r="G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<sst xmlns="http://schemas.openxmlformats.org/spreadsheetml/2006/main" count="426" uniqueCount="136">
  <si>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</si>
  <si>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</si>
  <si>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</si>
  <si>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</si>
  <si>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</si>
  <si>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</si>
  <si>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</si>
  <si>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</si>
  <si>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</si>
  <si>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</si>
  <si>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</si>
  <si>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</si>
  <si>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</si>
  <si>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</si>
  <si>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</si>
  <si>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</si>
  <si>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</si>
  <si>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</si>
  <si>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</si>
  <si>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</si>
  <si>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</si>
  <si>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</si>
  <si>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</si>
  <si>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</si>
  <si>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</si>
  <si>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</si>
  <si>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</si>
  <si>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</si>
  <si>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</si>
  <si>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</si>
  <si>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</si>
  <si>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</si>
  <si>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</si>
  <si>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</si>
  <si>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</si>
  <si>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</si>
  <si>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</si>
  <si>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</si>
  <si>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</si>
  <si>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</si>
  <si>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</si>
  <si>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</si>
  <si>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</si>
  <si>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</si>
  <si>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</si>
  <si>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</si>
  <si>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</si>
  <si>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</si>
  <si>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</si>
  <si>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</si>
  <si>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</si>
  <si>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</si>
  <si>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</si>
  <si>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</si>
  <si>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</si>
  <si>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</si>
  <si>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</si>
  <si>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</si>
  <si>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</si>
  <si>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</si>
  <si>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</si>
  <si>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</si>
  <si>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</si>
  <si>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</si>
  <si>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</si>
  <si>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</si>
  <si>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</si>
  <si>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</si>
  <si>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</si>
  <si>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</si>
  <si>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</si>
  <si>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</si>
  <si>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</si>
  <si>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</si>
  <si>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</si>
  <si>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</si>
  <si>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</si>
  <si>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</si>
  <si>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</si>
  <si>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</si>
  <si>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</si>
  <si>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</si>
  <si>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</si>
  <si>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</si>
  <si>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</si>
  <si>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</si>
  <si>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</si>
  <si>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</si>
  <si>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</si>
  <si>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</si>
  <si>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</si>
  <si>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</si>
  <si>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</si>
  <si>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</si>
  <si>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</si>
  <si>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</si>
  <si>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</si>
  <si>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r>
      <t xml:space="preserve">MOÇÃO DE REPÚDIO Nº 39/2026 – STEPHANE ROSSI – </t>
    </r>
    <r>
      <rPr>
        <sz val="11"/>
        <color theme="1"/>
        <rFont val="Arial"/>
        <family val="2"/>
      </rPr>
      <t>Pela eleição da deputada federal Erika Hilton para a presidência da Comissão de Defesa dos Direitos da Mulher da Câmara dos Deputados.</t>
    </r>
  </si>
  <si>
    <r>
      <t xml:space="preserve">PROJETO DE LEI N.º 203/2025 – ELSA OLIVEIRA – </t>
    </r>
    <r>
      <rPr>
        <sz val="14"/>
        <color theme="1"/>
        <rFont val="Arial"/>
        <family val="2"/>
      </rPr>
      <t>Institui o Dia das Artes Marciais no Município.</t>
    </r>
  </si>
  <si>
    <r>
      <t>MOÇÃO DE APLAUSO Nº 36/2026 – ALEXANDRE CAPRIOTTI –</t>
    </r>
    <r>
      <rPr>
        <sz val="11"/>
        <color theme="1"/>
        <rFont val="Arial"/>
        <family val="2"/>
      </rPr>
      <t xml:space="preserve"> À Sra. Crorilza Capriotti, em reconhecimento à sua trajetória de vida, dedicação à educação e exemplo de superação.</t>
    </r>
  </si>
  <si>
    <r>
      <t xml:space="preserve">MOÇÃO DE RECONHECIMENTO Nº 45/2026 – GUILHERME PRADO – </t>
    </r>
    <r>
      <rPr>
        <sz val="11"/>
        <color theme="1"/>
        <rFont val="Arial"/>
        <family val="2"/>
      </rPr>
      <t>À Sra. Alessandra Durães Barbosa, Diretora do Departamento Municipal de Engenharia de Trânsito e Mobilidade da Secretaria de Transportes e Mobilidade Urbana de Osasco, pela atuação técnica e pelos relevantes serviços prestados ao planejamento da mobilidade urbana no Município.</t>
    </r>
  </si>
  <si>
    <r>
      <t xml:space="preserve">MOÇÃO DE RECONHECIMENTO Nº 46/2026 – GUILHERME PRADO – </t>
    </r>
    <r>
      <rPr>
        <sz val="11"/>
        <color theme="1"/>
        <rFont val="Arial"/>
        <family val="2"/>
      </rPr>
      <t>Ao Sr. Valdir da Silva, Diretor do Departamento Municipal de Trânsito da Secretaria de Transportes e Mobilidade Urbana de Osasco, pelo trabalho desenvolvido em favor da organização e segurança viária da cidade.</t>
    </r>
  </si>
  <si>
    <t>não havendo quorum regimental, será pautado na próxima sessão.</t>
  </si>
  <si>
    <r>
      <t xml:space="preserve">PROJETO DE LEI Nº 37/2026 – PREFEITO DO MUNICÍPIO DE OSASCO – </t>
    </r>
    <r>
      <rPr>
        <sz val="14"/>
        <color theme="1"/>
        <rFont val="Arial"/>
        <family val="2"/>
      </rPr>
      <t>Dispõe sobre a concessão de subsídio financeiro para custeio do sistema de transporte coletivo público de passageiros do Município de Osasco no ano de 2026.</t>
    </r>
  </si>
  <si>
    <r>
      <t xml:space="preserve">PROJETO DE LEI N.º 117/2025 – LÚCIA DA SAÚDE - </t>
    </r>
    <r>
      <rPr>
        <sz val="14"/>
        <color theme="1"/>
        <rFont val="Arial"/>
        <family val="2"/>
      </rPr>
      <t xml:space="preserve">Dispõe sobre a obrigatoriedade de profissional habilitado com curso de primeiros socorros e suporte básico à vida nas academias de ginástica do Município de Osasco. </t>
    </r>
  </si>
  <si>
    <r>
      <t>PROJETO DE LEI Nº 25/2024 – RALFI SILVA -</t>
    </r>
    <r>
      <rPr>
        <sz val="11"/>
        <color theme="1"/>
        <rFont val="Arial"/>
        <family val="2"/>
      </rPr>
      <t xml:space="preserve"> Institui a “Caminhada Azul-OsasTEA”, como forma de conscientização sobre o Autismo.</t>
    </r>
  </si>
  <si>
    <r>
      <t xml:space="preserve">PROJETO DE DECRETO LEGISLATIVO Nº 93/2025 - DÉLBIO TERUEL - </t>
    </r>
    <r>
      <rPr>
        <sz val="11"/>
        <color theme="1"/>
        <rFont val="Arial"/>
        <family val="2"/>
      </rPr>
      <t>Dispõe sobre a concessão do Cartão de Prata ao senhor Fábio Rodrigues da Silva – “Babu”, em reconhecimento aos relevantes serviços prestados ao Município de Osasco.</t>
    </r>
  </si>
  <si>
    <r>
      <t xml:space="preserve">PROJETO DE DECRETO LEGISLATIVO Nº 97/2025 – LAÉRCIO MENDONÇA - </t>
    </r>
    <r>
      <rPr>
        <sz val="11"/>
        <color theme="1"/>
        <rFont val="Arial"/>
        <family val="2"/>
      </rPr>
      <t>Concede o Cartão de Prata ao artista Jota.pê.</t>
    </r>
  </si>
  <si>
    <t>13ª SESSÃO ORDINÁRIA</t>
  </si>
  <si>
    <t>DIA 24 DE MARÇO DE 2026 - TERÇA-FEIRA</t>
  </si>
  <si>
    <t>Ofício Prolegis nº 202603059342 – Prefeito do Município de Osasco – Informa a sanção de Lei nº 5.459, de 17 de março de 2026, que institui a Semana Municipal de Combate à Automutilação e ao Suicídio de Crianças e Adolescentes, de autoria da vereadora Stephane Rossi.</t>
  </si>
  <si>
    <t>Ofício Prolegis nº 202603060694 – Prefeito do Município de Osasco – Informa a sanção de Lei nº 5.460, de 18 de março de 2026, que dispõe sobre a prorrogação para adesão ao Programa de Parcelamento Especial de Osasco, previsto na Lei nº 5.447, de 22 de dezembro de 2025, de autoria do Executivo.</t>
  </si>
  <si>
    <t>Decretos nº 15.038 a 15.043, de março de 2026 - Prefeito do Município de Osasco, que dispõem sobre abertura de crédito adicional suplementar ao orçamento vigente e dá outras providências.</t>
  </si>
  <si>
    <t>Projeto de Lei nº 19/2026 – Ralfi Silva - Autoriza o Poder Executivo Municipal a instituir programa de incentivo à doação voluntária de sangue mediante conversão de multas de trânsito de natureza leve ou média, e dá outras providências.</t>
  </si>
  <si>
    <t>Projeto de Lei nº 52/2026 – Ralfi Silva - Dispõe sobre a identificação de animais comunitários e autoriza a utilização de coleiras refletivas em cães e gatos em situação de rua no Município de Osasco e dá outras providências.</t>
  </si>
  <si>
    <t>Projeto de Lei nº 53/2026 – Ralfi Silva – Institui no calendário oficial do Município de Osasco a Celebração Reinafé.</t>
  </si>
  <si>
    <t>Projeto de Lei nº 54/2026 – Ralfi Silva – Dispõe sobre a regulamentação de canis e gatis no Município de Osasco e dá outras providências.</t>
  </si>
  <si>
    <t>Projeto de Lei nº 55/2026 – Batista Comunidade - Institui o programa de vacinação domiciliar para pessoas com Transtorno do Espectro Autista (TEA) no município de Osasco, e dá outras providências.</t>
  </si>
  <si>
    <t>Projeto de Lei nº 56/2026 – Gabriel Saúde - Dispõe sobre o direito à instalação de estação de recarga individual para veículos elétricos em edificações residenciais e comerciais no âmbito do Município de Osasco, em consonância com a Lei Estadual nº 18.403, de 18 de fevereiro de 2026, e dá outras providências.</t>
  </si>
  <si>
    <t>Projeto de Lei nº 58/2026 – Heber do Juntoz - Dispõe sobre a ampliação dos serviços de Psicologia e Serviço Social na rede pública de educação básica do Município de Osasco.</t>
  </si>
  <si>
    <t>Projeto de Lei nº 59/2026 – Pedrinho Cantagessi - Dispõe do “Programa Farmácia Amiga” sobre a autorização para dispensação de medicamentos da rede pública municipal por farmácias privadas conveniadas, mediante apresentação de receitas oriundas do Sistema Único de Saúde (SUS), e dá outras providências.</t>
  </si>
  <si>
    <t>Projeto de Lei nº 60/2026 – Pedrinho Cantagessi - Dispõe sobre diretrizes para a dispensação de medicamentos prescritos por médicos da rede privada no âmbito da rede pública municipal de saúde de Osasco, e dá outras providências.</t>
  </si>
  <si>
    <t>Projeto de Lei nº 62/2026 – Delbio Teruel - Altera a Lei nº 5.110, de 12 de maio de 2021, que dispõe sobre a denominação do Hospital da Criança Dr. Celso Antônio Giglio, no Município de Osasco.</t>
  </si>
  <si>
    <t xml:space="preserve">Projeto de Lei – Prefeitura do Município de Osasco – Altera a lei Nº 5.157 de 15 de dezembro de 2021, que dispõe sobre o Programa Nosso Futuro e dá outras providências. </t>
  </si>
  <si>
    <r>
      <t>MOÇÃO DE CONGRATULAÇÕES Nº 38/2026 – ALEXANDRE</t>
    </r>
    <r>
      <rPr>
        <sz val="11"/>
        <color theme="1"/>
        <rFont val="Arial"/>
        <family val="2"/>
      </rPr>
      <t xml:space="preserve"> CAPRIOTTI – À Vitória Silvestre, pela nova missão à frente da Secretaria Executiva de Proteção da Fauna e Bem-Estar Animal, área de grande relevância para o município.</t>
    </r>
  </si>
  <si>
    <t>pela ausência da autora, será pautada na próxima sessão.</t>
  </si>
  <si>
    <r>
      <t>MOÇÃO DE RECONHECIMENTO Nº 40/2026 – GABRIEL SAÚDE –</t>
    </r>
    <r>
      <rPr>
        <sz val="11"/>
        <color theme="1"/>
        <rFont val="Arial"/>
        <family val="2"/>
      </rPr>
      <t xml:space="preserve"> Ao senhor Fábio Salgueiro Christovão, por sua trajetória de vida marcada pelo trabalho, fé e, sobretudo, pela dedicação à causa das Pessoas com Deficiência (PCD).</t>
    </r>
  </si>
  <si>
    <r>
      <t>MOÇÃO DE RECONHECIMENTO Nº 42/2026 – GUILHERME PRADO –</t>
    </r>
    <r>
      <rPr>
        <sz val="11"/>
        <color theme="1"/>
        <rFont val="Arial"/>
        <family val="2"/>
      </rPr>
      <t xml:space="preserve"> Ao Sr. Walker Bruno Nogueira, Diretor do Departamento Municipal de Transportes da Secretaria de Transportes e Mobilidade Urbana de Osasco, pela dedicação e contribuição ao aprimoramento do sistema de transportes do Município.</t>
    </r>
  </si>
  <si>
    <r>
      <t>MOÇÃO DE APOIO Nº 43/2026 – RALFI –</t>
    </r>
    <r>
      <rPr>
        <sz val="11"/>
        <color theme="1"/>
        <rFont val="Arial"/>
        <family val="2"/>
      </rPr>
      <t xml:space="preserve"> Ao pedido de federalização do denominado “Caso Orelha”, ocorrido em Florianópolis, como forma de fortalecimento do combate à violência contra os animais no Brasil.</t>
    </r>
  </si>
  <si>
    <r>
      <t>MOÇÃO DE RECONHECIMENTO Nº 49/2026 – RALFI –</t>
    </r>
    <r>
      <rPr>
        <sz val="11"/>
        <color theme="1"/>
        <rFont val="Arial"/>
        <family val="2"/>
      </rPr>
      <t xml:space="preserve"> À Sra. Monalisa Rocha de Sousa, Diretora Operacional do Pronto Socorro Dr. Osmar Mesquita, pelos relevantes serviços prestados ao longo de sua trajetória profissional.</t>
    </r>
  </si>
  <si>
    <r>
      <t xml:space="preserve">MOÇÃO DE RECONHECIMENTO Nº 51/2026 – BATISTA COMUNIDADE – </t>
    </r>
    <r>
      <rPr>
        <sz val="11"/>
        <color theme="1"/>
        <rFont val="Arial"/>
        <family val="2"/>
      </rPr>
      <t>Ao Sr. José Ernesto Masali, pelos relevantes serviços prestados à cidade de Osasco.</t>
    </r>
  </si>
  <si>
    <r>
      <t xml:space="preserve">MOÇÃO DE APLAUSO Nº 52/2026 – ALEXANDRE CAPRIOTTI – </t>
    </r>
    <r>
      <rPr>
        <sz val="11"/>
        <color theme="1"/>
        <rFont val="Arial"/>
        <family val="2"/>
      </rPr>
      <t>À GCM Dorigon, pela relevante atuação em ação educativa no Centro de Convivência para Crianças e Adolescentes, promovendo valores de cidadania e respeito.</t>
    </r>
  </si>
  <si>
    <r>
      <t xml:space="preserve">MOÇÃO DE APLAUSO Nº 53/2026 – GABRIEL SAÚDE – </t>
    </r>
    <r>
      <rPr>
        <sz val="11"/>
        <color theme="1"/>
        <rFont val="Arial"/>
        <family val="2"/>
      </rPr>
      <t>À Equipe de Assessoria de Inclusão da Gerência do Atendimento Educacional Especializado – AEE, da Secretaria de Educação de Osasco, em reconhecimento ao trabalho de excelência, compromisso técnico e dedicação na promoção da educação inclusiva em nosso município.</t>
    </r>
  </si>
  <si>
    <r>
      <t xml:space="preserve">MOÇÃO DE RECONHECIMENTO Nº 54/2026 – JOSIAS DA JUCO – </t>
    </r>
    <r>
      <rPr>
        <sz val="11"/>
        <color theme="1"/>
        <rFont val="Arial"/>
        <family val="2"/>
      </rPr>
      <t>Ao Dr. Rogério Naim Sawaia por sua notável trajetória acadêmica, científica e assistencial, contribuindo de forma ímpar para o desenvolvimento da medicina e para a saúde da população osasquense.</t>
    </r>
  </si>
  <si>
    <r>
      <t xml:space="preserve">MOÇÃO DE REPÚDIO Nº 55/2026 – HEBER DO JUNTOZ – </t>
    </r>
    <r>
      <rPr>
        <sz val="11"/>
        <color theme="1"/>
        <rFont val="Arial"/>
        <family val="2"/>
      </rPr>
      <t>Ao Projeto de Lei nº 5.942/2025, que cria o SENATUR, e ao Requerimento de Urgência nº 5.139/2025, por ameaçarem a continuidade das atividades do Sesc e do Senac, instituições que completam 80 anos de serviços reconhecidos em educação profissional, cultura, saúde, esporte, assistência social e lazer.</t>
    </r>
  </si>
  <si>
    <r>
      <t xml:space="preserve">MOÇÃO DE CONGRATULAÇÕES Nº 56/2026 – ELSA OLIVEIRA – </t>
    </r>
    <r>
      <rPr>
        <sz val="11"/>
        <color theme="1"/>
        <rFont val="Arial"/>
        <family val="2"/>
      </rPr>
      <t>Ao Restaurante Fogão de Ouro, pela conquista do 1º lugar no concurso gastronômico “Sabores de Osasco - Edição 2026”.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</si>
</sst>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zoomScale="70" zoomScaleNormal="70" workbookViewId="0">
      <selection activeCell="J26" sqref="J2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108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109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1</v>
      </c>
      <c r="G6" s="62" t="s">
        <v>52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2</v>
      </c>
      <c r="K7" s="102" t="s">
        <v>53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2</v>
      </c>
      <c r="K18" s="102" t="s">
        <v>53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1</v>
      </c>
      <c r="G22" s="62" t="s">
        <v>52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13</v>
      </c>
      <c r="C26" s="96" t="s">
        <v>46</v>
      </c>
      <c r="D26" s="98"/>
      <c r="E26" s="96" t="s">
        <v>46</v>
      </c>
      <c r="F26" s="98">
        <v>18</v>
      </c>
      <c r="G26" s="96" t="s">
        <v>46</v>
      </c>
      <c r="H26" s="100"/>
      <c r="I26" s="101"/>
      <c r="J26" s="98">
        <v>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47</v>
      </c>
      <c r="D27" s="98"/>
      <c r="E27" s="96" t="s">
        <v>47</v>
      </c>
      <c r="F27" s="98">
        <v>3</v>
      </c>
      <c r="G27" s="96" t="s">
        <v>47</v>
      </c>
      <c r="H27" s="100"/>
      <c r="I27" s="96"/>
      <c r="J27" s="98">
        <v>15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66</v>
      </c>
      <c r="V32" s="12"/>
      <c r="W32" s="12"/>
    </row>
    <row r="33" spans="1:23" ht="18">
      <c r="A33" s="34" t="s">
        <v>56</v>
      </c>
      <c r="V33" s="12"/>
      <c r="W33" s="12"/>
    </row>
    <row r="34" spans="1:23" ht="18">
      <c r="A34" s="34" t="s">
        <v>25</v>
      </c>
      <c r="V34" s="12"/>
      <c r="W34" s="12"/>
    </row>
    <row r="35" spans="1:23" ht="18">
      <c r="A35" s="34" t="s">
        <v>60</v>
      </c>
      <c r="V35" s="12"/>
      <c r="W35" s="12"/>
    </row>
    <row r="36" spans="1:23" ht="18">
      <c r="A36" s="34" t="s">
        <v>67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88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H39"/>
  <sheetViews>
    <sheetView workbookViewId="0">
      <pane xSplit="1" topLeftCell="B1" activePane="topRight" state="frozen"/>
      <selection pane="topRight" activeCell="AD16" sqref="AD16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34" width="22.7109375" style="22" customWidth="1"/>
    <col min="35" max="16384" width="9.140625" style="22"/>
  </cols>
  <sheetData>
    <row r="1" spans="1:3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4" ht="15">
      <c r="A2" s="76" t="s">
        <v>108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34" ht="17.25" customHeight="1">
      <c r="A3" s="76" t="s">
        <v>109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34" ht="63" customHeight="1">
      <c r="A4" s="51" t="str">
        <f>'[1]MOÇÃO E REQUERIMENTO'!B7</f>
        <v>EXPEDIENTE</v>
      </c>
      <c r="B4" s="50" t="s">
        <v>45</v>
      </c>
      <c r="C4" s="117" t="s">
        <v>110</v>
      </c>
      <c r="D4" s="117" t="s">
        <v>111</v>
      </c>
      <c r="E4" s="117" t="s">
        <v>112</v>
      </c>
      <c r="F4" s="117" t="s">
        <v>113</v>
      </c>
      <c r="G4" s="117" t="s">
        <v>114</v>
      </c>
      <c r="H4" s="117" t="s">
        <v>115</v>
      </c>
      <c r="I4" s="117" t="s">
        <v>116</v>
      </c>
      <c r="J4" s="117" t="s">
        <v>117</v>
      </c>
      <c r="K4" s="117" t="s">
        <v>118</v>
      </c>
      <c r="L4" s="117" t="s">
        <v>119</v>
      </c>
      <c r="M4" s="117" t="s">
        <v>120</v>
      </c>
      <c r="N4" s="117" t="s">
        <v>121</v>
      </c>
      <c r="O4" s="117" t="s">
        <v>122</v>
      </c>
      <c r="P4" s="117" t="s">
        <v>123</v>
      </c>
      <c r="Q4" s="112" t="s">
        <v>34</v>
      </c>
      <c r="R4" s="124"/>
      <c r="S4" s="50" t="s">
        <v>27</v>
      </c>
      <c r="T4" s="84" t="s">
        <v>99</v>
      </c>
      <c r="U4" s="84" t="s">
        <v>124</v>
      </c>
      <c r="V4" s="84" t="s">
        <v>97</v>
      </c>
      <c r="W4" s="84" t="s">
        <v>126</v>
      </c>
      <c r="X4" s="84" t="s">
        <v>127</v>
      </c>
      <c r="Y4" s="84" t="s">
        <v>128</v>
      </c>
      <c r="Z4" s="84" t="s">
        <v>100</v>
      </c>
      <c r="AA4" s="84" t="s">
        <v>101</v>
      </c>
      <c r="AB4" s="84" t="s">
        <v>129</v>
      </c>
      <c r="AC4" s="84" t="s">
        <v>130</v>
      </c>
      <c r="AD4" s="84" t="s">
        <v>131</v>
      </c>
      <c r="AE4" s="84" t="s">
        <v>132</v>
      </c>
      <c r="AF4" s="84" t="s">
        <v>133</v>
      </c>
      <c r="AG4" s="84" t="s">
        <v>134</v>
      </c>
      <c r="AH4" s="84" t="s">
        <v>135</v>
      </c>
    </row>
    <row r="5" spans="1:34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3"/>
      <c r="T5" s="113" t="s">
        <v>95</v>
      </c>
      <c r="U5" s="118" t="s">
        <v>96</v>
      </c>
      <c r="V5" s="118" t="s">
        <v>125</v>
      </c>
      <c r="W5" s="113" t="s">
        <v>95</v>
      </c>
      <c r="X5" s="118" t="s">
        <v>96</v>
      </c>
      <c r="Y5" s="118" t="s">
        <v>96</v>
      </c>
      <c r="Z5" s="118" t="s">
        <v>96</v>
      </c>
      <c r="AA5" s="118" t="s">
        <v>96</v>
      </c>
      <c r="AB5" s="113" t="s">
        <v>95</v>
      </c>
      <c r="AC5" s="118" t="s">
        <v>96</v>
      </c>
      <c r="AD5" s="113" t="s">
        <v>95</v>
      </c>
      <c r="AE5" s="118" t="s">
        <v>96</v>
      </c>
      <c r="AF5" s="118" t="s">
        <v>96</v>
      </c>
      <c r="AG5" s="118" t="s">
        <v>96</v>
      </c>
      <c r="AH5" s="113" t="s">
        <v>95</v>
      </c>
    </row>
    <row r="6" spans="1:34" ht="15.75">
      <c r="A6" s="127" t="s">
        <v>51</v>
      </c>
      <c r="S6" s="23"/>
    </row>
    <row r="7" spans="1:34" ht="15.75">
      <c r="A7" s="127" t="s">
        <v>66</v>
      </c>
      <c r="S7" s="23"/>
    </row>
    <row r="8" spans="1:34" ht="15.75">
      <c r="A8" s="127" t="s">
        <v>54</v>
      </c>
      <c r="S8" s="23"/>
    </row>
    <row r="9" spans="1:34" ht="15.75">
      <c r="A9" s="128" t="s">
        <v>55</v>
      </c>
      <c r="S9" s="23"/>
    </row>
    <row r="10" spans="1:34" ht="15.75">
      <c r="A10" s="127" t="s">
        <v>28</v>
      </c>
      <c r="S10" s="23"/>
    </row>
    <row r="11" spans="1:34" ht="15.75">
      <c r="A11" s="127" t="s">
        <v>56</v>
      </c>
      <c r="S11" s="23"/>
    </row>
    <row r="12" spans="1:34" ht="15.75">
      <c r="A12" s="127" t="s">
        <v>22</v>
      </c>
      <c r="S12" s="23"/>
    </row>
    <row r="13" spans="1:34" ht="15.75">
      <c r="A13" s="127" t="s">
        <v>23</v>
      </c>
      <c r="S13" s="23"/>
    </row>
    <row r="14" spans="1:34" ht="15.75">
      <c r="A14" s="127" t="s">
        <v>24</v>
      </c>
      <c r="S14" s="23"/>
    </row>
    <row r="15" spans="1:34" ht="15.75">
      <c r="A15" s="127" t="s">
        <v>57</v>
      </c>
      <c r="S15" s="23"/>
    </row>
    <row r="16" spans="1:34" ht="15.75">
      <c r="A16" s="127" t="s">
        <v>58</v>
      </c>
      <c r="S16" s="23"/>
    </row>
    <row r="17" spans="1:19" ht="15.75">
      <c r="A17" s="127" t="s">
        <v>59</v>
      </c>
      <c r="S17" s="23"/>
    </row>
    <row r="18" spans="1:19" ht="15.75">
      <c r="A18" s="127" t="s">
        <v>25</v>
      </c>
      <c r="S18" s="23"/>
    </row>
    <row r="19" spans="1:19" ht="15.75">
      <c r="A19" s="127" t="s">
        <v>60</v>
      </c>
      <c r="S19" s="23"/>
    </row>
    <row r="20" spans="1:19" ht="15.75">
      <c r="A20" s="127" t="s">
        <v>94</v>
      </c>
      <c r="S20" s="23"/>
    </row>
    <row r="21" spans="1:19" ht="15.75">
      <c r="A21" s="127" t="s">
        <v>26</v>
      </c>
      <c r="S21" s="23"/>
    </row>
    <row r="22" spans="1:19" ht="15.75">
      <c r="A22" s="127" t="s">
        <v>61</v>
      </c>
      <c r="S22" s="23"/>
    </row>
    <row r="23" spans="1:19" ht="15.75">
      <c r="A23" s="127" t="s">
        <v>67</v>
      </c>
      <c r="S23" s="23"/>
    </row>
    <row r="24" spans="1:19" ht="15.75">
      <c r="A24" s="127" t="s">
        <v>49</v>
      </c>
      <c r="S24" s="23"/>
    </row>
    <row r="25" spans="1:19" ht="15.75">
      <c r="A25" s="127" t="s">
        <v>88</v>
      </c>
      <c r="S25" s="23"/>
    </row>
    <row r="26" spans="1:19" ht="15.75">
      <c r="A26" s="127" t="s">
        <v>62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G4" sqref="G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108</v>
      </c>
      <c r="B2" s="49"/>
      <c r="C2" s="74"/>
    </row>
    <row r="3" spans="1:47" ht="17.25" customHeight="1">
      <c r="A3" s="76" t="s">
        <v>109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103</v>
      </c>
      <c r="F4" s="140" t="s">
        <v>98</v>
      </c>
      <c r="G4" s="140" t="s">
        <v>104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37</v>
      </c>
      <c r="B5" s="78"/>
      <c r="C5" s="144"/>
      <c r="D5" s="79"/>
      <c r="E5" s="146" t="s">
        <v>102</v>
      </c>
      <c r="F5" s="146" t="s">
        <v>102</v>
      </c>
      <c r="G5" s="146" t="s">
        <v>102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51</v>
      </c>
      <c r="C6" s="107"/>
      <c r="E6" s="107"/>
      <c r="F6" s="107"/>
      <c r="G6" s="114"/>
      <c r="H6" s="143"/>
    </row>
    <row r="7" spans="1:47" ht="20.25">
      <c r="A7" s="46" t="s">
        <v>66</v>
      </c>
      <c r="C7" s="107"/>
      <c r="E7" s="107"/>
      <c r="F7" s="107"/>
      <c r="G7" s="114"/>
    </row>
    <row r="8" spans="1:47" ht="20.25">
      <c r="A8" s="46" t="s">
        <v>54</v>
      </c>
      <c r="C8" s="107"/>
      <c r="E8" s="107"/>
      <c r="F8" s="107"/>
      <c r="G8" s="107"/>
    </row>
    <row r="9" spans="1:47" ht="20.25">
      <c r="A9" s="82" t="s">
        <v>55</v>
      </c>
      <c r="C9" s="114"/>
      <c r="E9" s="114"/>
      <c r="F9" s="114"/>
      <c r="G9" s="114"/>
    </row>
    <row r="10" spans="1:47" ht="20.25">
      <c r="A10" s="46" t="s">
        <v>28</v>
      </c>
      <c r="C10" s="114"/>
      <c r="E10" s="107"/>
      <c r="F10" s="107"/>
      <c r="G10" s="107"/>
    </row>
    <row r="11" spans="1:47" ht="20.25">
      <c r="A11" s="46" t="s">
        <v>56</v>
      </c>
      <c r="C11" s="114"/>
      <c r="E11" s="107"/>
      <c r="F11" s="107"/>
      <c r="G11" s="107"/>
    </row>
    <row r="12" spans="1:47" ht="20.25">
      <c r="A12" s="46" t="s">
        <v>22</v>
      </c>
      <c r="C12" s="107"/>
      <c r="E12" s="107"/>
      <c r="F12" s="107"/>
      <c r="G12" s="107"/>
    </row>
    <row r="13" spans="1:47" ht="20.25">
      <c r="A13" s="46" t="s">
        <v>23</v>
      </c>
      <c r="C13" s="114"/>
      <c r="E13" s="114"/>
      <c r="F13" s="114"/>
      <c r="G13" s="114"/>
    </row>
    <row r="14" spans="1:47" ht="20.25">
      <c r="A14" s="46" t="s">
        <v>24</v>
      </c>
      <c r="C14" s="107"/>
      <c r="E14" s="107"/>
      <c r="F14" s="107"/>
      <c r="G14" s="107"/>
    </row>
    <row r="15" spans="1:47" ht="20.25">
      <c r="A15" s="46" t="s">
        <v>57</v>
      </c>
      <c r="C15" s="114"/>
      <c r="E15" s="107"/>
      <c r="F15" s="107"/>
      <c r="G15" s="107"/>
    </row>
    <row r="16" spans="1:47" ht="20.25">
      <c r="A16" s="46" t="s">
        <v>58</v>
      </c>
      <c r="C16" s="107"/>
      <c r="E16" s="107"/>
      <c r="F16" s="107"/>
      <c r="G16" s="107"/>
    </row>
    <row r="17" spans="1:132" ht="20.25">
      <c r="A17" s="46" t="s">
        <v>59</v>
      </c>
      <c r="C17" s="145"/>
      <c r="E17" s="107"/>
      <c r="F17" s="107"/>
      <c r="G17" s="107"/>
    </row>
    <row r="18" spans="1:132" ht="20.25">
      <c r="A18" s="46" t="s">
        <v>25</v>
      </c>
      <c r="C18" s="107"/>
      <c r="E18" s="107"/>
      <c r="F18" s="107"/>
      <c r="G18" s="107"/>
    </row>
    <row r="19" spans="1:132" ht="20.25">
      <c r="A19" s="46" t="s">
        <v>60</v>
      </c>
      <c r="C19" s="107"/>
      <c r="E19" s="107"/>
      <c r="F19" s="107"/>
      <c r="G19" s="107"/>
    </row>
    <row r="20" spans="1:132" ht="20.25">
      <c r="A20" s="46" t="s">
        <v>94</v>
      </c>
      <c r="C20" s="107"/>
      <c r="E20" s="107"/>
      <c r="F20" s="107"/>
      <c r="G20" s="107"/>
    </row>
    <row r="21" spans="1:132" ht="20.25">
      <c r="A21" s="46" t="s">
        <v>26</v>
      </c>
      <c r="C21" s="107"/>
      <c r="E21" s="107"/>
      <c r="F21" s="107"/>
      <c r="G21" s="107"/>
    </row>
    <row r="22" spans="1:132" ht="20.25">
      <c r="A22" s="46" t="s">
        <v>61</v>
      </c>
      <c r="C22" s="107"/>
      <c r="E22" s="107"/>
      <c r="F22" s="107"/>
      <c r="G22" s="107"/>
    </row>
    <row r="23" spans="1:132" ht="20.25">
      <c r="A23" s="46" t="s">
        <v>67</v>
      </c>
      <c r="C23" s="114"/>
      <c r="E23" s="107"/>
      <c r="F23" s="107"/>
      <c r="G23" s="107"/>
    </row>
    <row r="24" spans="1:132" ht="20.25">
      <c r="A24" s="46" t="s">
        <v>49</v>
      </c>
      <c r="C24" s="107"/>
      <c r="E24" s="107"/>
      <c r="F24" s="107"/>
      <c r="G24" s="107"/>
    </row>
    <row r="25" spans="1:132" ht="20.25">
      <c r="A25" s="46" t="s">
        <v>88</v>
      </c>
      <c r="C25" s="107"/>
      <c r="E25" s="107"/>
      <c r="F25" s="107"/>
      <c r="G25" s="107"/>
    </row>
    <row r="26" spans="1:132" ht="20.25">
      <c r="A26" s="46" t="s">
        <v>62</v>
      </c>
      <c r="C26" s="107"/>
      <c r="E26" s="107"/>
      <c r="F26" s="107"/>
      <c r="G26" s="107"/>
    </row>
    <row r="27" spans="1:132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0</v>
      </c>
      <c r="F27" s="103">
        <f>COUNTIF(F6:F26,"sim")</f>
        <v>0</v>
      </c>
      <c r="G27" s="103">
        <f t="shared" ref="G27" si="1">COUNTIF(G6:G26,"sim")</f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 s="104">
        <f t="shared" ref="F28:G28" si="4">COUNTIF(F6:F26,"não")</f>
        <v>0</v>
      </c>
      <c r="G28" s="104">
        <f t="shared" si="4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 t="shared" ref="C29" si="5">COUNTIF(C6:C26,"ausente")</f>
        <v>0</v>
      </c>
      <c r="E29" s="40">
        <f t="shared" ref="E29" si="6">COUNTIF(E6:E26,"ausente")</f>
        <v>0</v>
      </c>
      <c r="F29" s="40">
        <f t="shared" ref="F29:G29" si="7">COUNTIF(F6:F26,"ausente")</f>
        <v>0</v>
      </c>
      <c r="G29" s="40">
        <f t="shared" si="7"/>
        <v>0</v>
      </c>
    </row>
    <row r="30" spans="1:132" s="20" customFormat="1" ht="15.75">
      <c r="A30" s="19" t="s">
        <v>20</v>
      </c>
      <c r="B30"/>
      <c r="C30" s="105">
        <f t="shared" ref="C30" si="8">COUNTIF(C6:C26,"abstenção")</f>
        <v>0</v>
      </c>
      <c r="D30"/>
      <c r="E30" s="105">
        <f t="shared" ref="E30" si="9">COUNTIF(E6:E26,"abstenção")</f>
        <v>0</v>
      </c>
      <c r="F30" s="105">
        <f t="shared" ref="F30:G30" si="10">COUNTIF(F6:F26,"abstenção")</f>
        <v>0</v>
      </c>
      <c r="G30" s="105">
        <f t="shared" si="10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105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6" t="s">
        <v>102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07"/>
      <c r="U15" s="7"/>
      <c r="V15" s="7"/>
    </row>
    <row r="16" spans="1:29" ht="18">
      <c r="A16" s="129" t="s">
        <v>58</v>
      </c>
      <c r="C16" s="114"/>
      <c r="U16" s="7"/>
      <c r="V16" s="7"/>
    </row>
    <row r="17" spans="1:123" ht="15" customHeight="1">
      <c r="A17" s="129" t="s">
        <v>59</v>
      </c>
      <c r="C17" s="145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B4" sqref="B4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108</v>
      </c>
      <c r="B2" s="2"/>
    </row>
    <row r="3" spans="1:4" ht="15.75" thickBot="1">
      <c r="A3" s="121" t="s">
        <v>109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106</v>
      </c>
      <c r="D4" s="139" t="s">
        <v>107</v>
      </c>
    </row>
    <row r="5" spans="1:4" s="6" customFormat="1" ht="60.75" customHeight="1">
      <c r="A5" s="122"/>
      <c r="B5" s="111"/>
      <c r="C5" s="146" t="s">
        <v>102</v>
      </c>
      <c r="D5" s="146" t="s">
        <v>102</v>
      </c>
    </row>
    <row r="6" spans="1:4" ht="15.75">
      <c r="A6" s="127" t="s">
        <v>51</v>
      </c>
      <c r="C6" s="107"/>
      <c r="D6" s="107"/>
    </row>
    <row r="7" spans="1:4" ht="15.75">
      <c r="A7" s="127" t="s">
        <v>66</v>
      </c>
      <c r="C7" s="107"/>
      <c r="D7" s="107"/>
    </row>
    <row r="8" spans="1:4" ht="15.75">
      <c r="A8" s="127" t="s">
        <v>54</v>
      </c>
      <c r="C8" s="107"/>
      <c r="D8" s="107"/>
    </row>
    <row r="9" spans="1:4" ht="15.75">
      <c r="A9" s="128" t="s">
        <v>55</v>
      </c>
      <c r="C9" s="107"/>
      <c r="D9" s="107"/>
    </row>
    <row r="10" spans="1:4" ht="15.75">
      <c r="A10" s="127" t="s">
        <v>28</v>
      </c>
      <c r="C10" s="107"/>
      <c r="D10" s="107"/>
    </row>
    <row r="11" spans="1:4" ht="15.75">
      <c r="A11" s="127" t="s">
        <v>56</v>
      </c>
      <c r="C11" s="114"/>
      <c r="D11" s="114"/>
    </row>
    <row r="12" spans="1:4" ht="15.75">
      <c r="A12" s="127" t="s">
        <v>22</v>
      </c>
      <c r="C12" s="107"/>
      <c r="D12" s="107"/>
    </row>
    <row r="13" spans="1:4" ht="15.75">
      <c r="A13" s="127" t="s">
        <v>23</v>
      </c>
      <c r="B13" s="138"/>
      <c r="C13" s="114"/>
      <c r="D13" s="114"/>
    </row>
    <row r="14" spans="1:4" ht="15.75">
      <c r="A14" s="127" t="s">
        <v>24</v>
      </c>
      <c r="C14" s="107"/>
      <c r="D14" s="107"/>
    </row>
    <row r="15" spans="1:4" ht="15.75">
      <c r="A15" s="127" t="s">
        <v>57</v>
      </c>
      <c r="C15" s="107"/>
      <c r="D15" s="107"/>
    </row>
    <row r="16" spans="1:4" ht="15.75">
      <c r="A16" s="127" t="s">
        <v>58</v>
      </c>
      <c r="C16" s="114"/>
      <c r="D16" s="114"/>
    </row>
    <row r="17" spans="1:4" ht="15.75">
      <c r="A17" s="127" t="s">
        <v>59</v>
      </c>
      <c r="C17" s="107"/>
      <c r="D17" s="107"/>
    </row>
    <row r="18" spans="1:4" ht="15.75">
      <c r="A18" s="127" t="s">
        <v>25</v>
      </c>
      <c r="C18" s="107"/>
      <c r="D18" s="107"/>
    </row>
    <row r="19" spans="1:4" ht="15.75">
      <c r="A19" s="127" t="s">
        <v>60</v>
      </c>
      <c r="C19" s="107"/>
      <c r="D19" s="107"/>
    </row>
    <row r="20" spans="1:4" ht="15.75">
      <c r="A20" s="127" t="s">
        <v>94</v>
      </c>
      <c r="C20" s="107"/>
      <c r="D20" s="107"/>
    </row>
    <row r="21" spans="1:4" ht="15.75">
      <c r="A21" s="127" t="s">
        <v>26</v>
      </c>
      <c r="C21" s="114"/>
      <c r="D21" s="114"/>
    </row>
    <row r="22" spans="1:4" ht="15.75">
      <c r="A22" s="127" t="s">
        <v>61</v>
      </c>
      <c r="C22" s="107"/>
      <c r="D22" s="107"/>
    </row>
    <row r="23" spans="1:4" ht="15.75">
      <c r="A23" s="127" t="s">
        <v>67</v>
      </c>
      <c r="C23" s="107"/>
      <c r="D23" s="107"/>
    </row>
    <row r="24" spans="1:4" ht="15.75">
      <c r="A24" s="127" t="s">
        <v>49</v>
      </c>
      <c r="C24" s="107"/>
      <c r="D24" s="107"/>
    </row>
    <row r="25" spans="1:4" ht="15.75">
      <c r="A25" s="127" t="s">
        <v>88</v>
      </c>
      <c r="C25" s="107"/>
      <c r="D25" s="107"/>
    </row>
    <row r="26" spans="1:4" ht="15.75">
      <c r="A26" s="127" t="s">
        <v>62</v>
      </c>
      <c r="C26" s="107"/>
      <c r="D26" s="107"/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0</v>
      </c>
      <c r="D28" s="103">
        <f t="shared" si="0"/>
        <v>0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0</v>
      </c>
      <c r="D30" s="40">
        <f t="shared" si="2"/>
        <v>0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108</v>
      </c>
      <c r="B2" s="2"/>
      <c r="C2" s="54"/>
      <c r="D2" s="54"/>
      <c r="E2" s="54"/>
    </row>
    <row r="3" spans="1:10" ht="15.75" thickBot="1">
      <c r="A3" s="121" t="s">
        <v>109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108</v>
      </c>
      <c r="B2" s="2"/>
    </row>
    <row r="3" spans="1:23">
      <c r="A3" s="76" t="s">
        <v>109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2026-03-26T15:21:32Z</dcterms:modified>
</cp:coreProperties>
</file>