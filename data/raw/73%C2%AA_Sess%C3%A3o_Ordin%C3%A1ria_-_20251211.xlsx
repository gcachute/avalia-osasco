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053262A6-CB42-45E4-A0A6-BCBC581AE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3" l="1"/>
  <c r="D27" i="3"/>
  <c r="E27" i="3"/>
  <c r="G27" i="3"/>
  <c r="D28" i="3"/>
  <c r="E28" i="3"/>
  <c r="F28" i="3"/>
  <c r="G28" i="3"/>
  <c r="D29" i="3"/>
  <c r="E29" i="3"/>
  <c r="F29" i="3"/>
  <c r="G29" i="3"/>
  <c r="D30" i="3"/>
  <c r="E30" i="3"/>
  <c r="F30" i="3"/>
  <c r="G30" i="3"/>
  <c r="E27" i="2"/>
  <c r="E28" i="2"/>
  <c r="E29" i="2"/>
  <c r="E30" i="2"/>
  <c r="C28" i="10"/>
  <c r="C29" i="10"/>
  <c r="C30" i="10"/>
  <c r="C31" i="10"/>
  <c r="C27" i="3"/>
  <c r="C28" i="3"/>
  <c r="C29" i="3"/>
  <c r="C30" i="3"/>
  <c r="A4" i="14"/>
  <c r="F27" i="2"/>
  <c r="F28" i="2"/>
  <c r="F29" i="2"/>
  <c r="F30" i="2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W27" i="3" l="1"/>
  <c r="DW28" i="3" s="1"/>
  <c r="DW29" i="3" s="1"/>
  <c r="DW30" i="3" s="1"/>
  <c r="DV27" i="3"/>
  <c r="DV28" i="3" s="1"/>
  <c r="DV29" i="3" s="1"/>
  <c r="DV30" i="3" s="1"/>
  <c r="DU27" i="3"/>
  <c r="DU28" i="3" s="1"/>
  <c r="DT27" i="3"/>
  <c r="DS27" i="3"/>
  <c r="DS28" i="3" s="1"/>
  <c r="DS29" i="3" s="1"/>
  <c r="DS30" i="3" s="1"/>
  <c r="DR27" i="3"/>
  <c r="DR28" i="3" s="1"/>
  <c r="DR29" i="3" s="1"/>
  <c r="DR30" i="3" s="1"/>
  <c r="DQ27" i="3"/>
  <c r="DQ28" i="3" s="1"/>
  <c r="DQ29" i="3" s="1"/>
  <c r="DQ30" i="3" s="1"/>
  <c r="DP27" i="3"/>
  <c r="DO27" i="3"/>
  <c r="DO28" i="3" s="1"/>
  <c r="DN27" i="3"/>
  <c r="DN28" i="3" s="1"/>
  <c r="DM27" i="3"/>
  <c r="DM28" i="3" s="1"/>
  <c r="DL27" i="3"/>
  <c r="DL28" i="3" s="1"/>
  <c r="DK27" i="3"/>
  <c r="DK28" i="3" s="1"/>
  <c r="DK29" i="3" s="1"/>
  <c r="DJ27" i="3"/>
  <c r="DJ28" i="3" s="1"/>
  <c r="DJ29" i="3" s="1"/>
  <c r="DJ30" i="3" s="1"/>
  <c r="DI27" i="3"/>
  <c r="DI28" i="3" s="1"/>
  <c r="DH27" i="3"/>
  <c r="DH28" i="3" s="1"/>
  <c r="DG27" i="3"/>
  <c r="DG28" i="3" s="1"/>
  <c r="DG29" i="3" s="1"/>
  <c r="DF27" i="3"/>
  <c r="DF28" i="3" s="1"/>
  <c r="DE27" i="3"/>
  <c r="DE28" i="3" s="1"/>
  <c r="DE29" i="3" s="1"/>
  <c r="DD27" i="3"/>
  <c r="DD28" i="3" s="1"/>
  <c r="DD29" i="3" s="1"/>
  <c r="DD30" i="3" s="1"/>
  <c r="DC27" i="3"/>
  <c r="DC28" i="3" s="1"/>
  <c r="DB27" i="3"/>
  <c r="DB28" i="3" s="1"/>
  <c r="DB29" i="3" s="1"/>
  <c r="DB30" i="3" s="1"/>
  <c r="DA27" i="3"/>
  <c r="DA28" i="3" s="1"/>
  <c r="CZ27" i="3"/>
  <c r="CY27" i="3"/>
  <c r="CY28" i="3" s="1"/>
  <c r="CY29" i="3" s="1"/>
  <c r="CX27" i="3"/>
  <c r="CX28" i="3" s="1"/>
  <c r="CW27" i="3"/>
  <c r="CW28" i="3" s="1"/>
  <c r="CW29" i="3" s="1"/>
  <c r="CW30" i="3" s="1"/>
  <c r="CV27" i="3"/>
  <c r="CV28" i="3" s="1"/>
  <c r="CV29" i="3" s="1"/>
  <c r="CV30" i="3" s="1"/>
  <c r="CU27" i="3"/>
  <c r="CU28" i="3" s="1"/>
  <c r="CT27" i="3"/>
  <c r="CT28" i="3" s="1"/>
  <c r="CT29" i="3" s="1"/>
  <c r="CT30" i="3" s="1"/>
  <c r="CS27" i="3"/>
  <c r="CS28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O29" i="3" s="1"/>
  <c r="CN27" i="3"/>
  <c r="CN28" i="3" s="1"/>
  <c r="CM27" i="3"/>
  <c r="CM28" i="3" s="1"/>
  <c r="CL27" i="3"/>
  <c r="CL28" i="3" s="1"/>
  <c r="CL29" i="3" s="1"/>
  <c r="CL30" i="3" s="1"/>
  <c r="CK27" i="3"/>
  <c r="CK28" i="3" s="1"/>
  <c r="CJ27" i="3"/>
  <c r="CJ28" i="3" s="1"/>
  <c r="CI27" i="3"/>
  <c r="CH27" i="3"/>
  <c r="CH28" i="3" s="1"/>
  <c r="CG27" i="3"/>
  <c r="CG28" i="3" s="1"/>
  <c r="CG29" i="3" s="1"/>
  <c r="CG30" i="3" s="1"/>
  <c r="CF27" i="3"/>
  <c r="CE27" i="3"/>
  <c r="CE28" i="3" s="1"/>
  <c r="CD27" i="3"/>
  <c r="CD28" i="3" s="1"/>
  <c r="CD29" i="3" s="1"/>
  <c r="CD30" i="3" s="1"/>
  <c r="CC27" i="3"/>
  <c r="CC28" i="3" s="1"/>
  <c r="CB27" i="3"/>
  <c r="CB28" i="3" s="1"/>
  <c r="CB29" i="3" s="1"/>
  <c r="CA27" i="3"/>
  <c r="CA28" i="3" s="1"/>
  <c r="CA29" i="3" s="1"/>
  <c r="BZ27" i="3"/>
  <c r="BZ28" i="3" s="1"/>
  <c r="BY27" i="3"/>
  <c r="BY28" i="3" s="1"/>
  <c r="BX27" i="3"/>
  <c r="BX28" i="3" s="1"/>
  <c r="BW27" i="3"/>
  <c r="BW28" i="3" s="1"/>
  <c r="BV27" i="3"/>
  <c r="BV28" i="3" s="1"/>
  <c r="BV29" i="3" s="1"/>
  <c r="BV30" i="3" s="1"/>
  <c r="BU27" i="3"/>
  <c r="BU28" i="3" s="1"/>
  <c r="BT27" i="3"/>
  <c r="BT28" i="3" s="1"/>
  <c r="BS27" i="3"/>
  <c r="BS28" i="3" s="1"/>
  <c r="BR27" i="3"/>
  <c r="BR28" i="3" s="1"/>
  <c r="BQ27" i="3"/>
  <c r="BQ28" i="3" s="1"/>
  <c r="BQ29" i="3" s="1"/>
  <c r="BP27" i="3"/>
  <c r="BO27" i="3"/>
  <c r="BO28" i="3" s="1"/>
  <c r="BO29" i="3" s="1"/>
  <c r="BN27" i="3"/>
  <c r="BN28" i="3" s="1"/>
  <c r="BN29" i="3" s="1"/>
  <c r="BN30" i="3" s="1"/>
  <c r="BM27" i="3"/>
  <c r="BM28" i="3" s="1"/>
  <c r="BL27" i="3"/>
  <c r="BL28" i="3" s="1"/>
  <c r="BK27" i="3"/>
  <c r="BK28" i="3" s="1"/>
  <c r="BK29" i="3" s="1"/>
  <c r="BK30" i="3" s="1"/>
  <c r="BJ27" i="3"/>
  <c r="BJ28" i="3" s="1"/>
  <c r="BI27" i="3"/>
  <c r="BI28" i="3" s="1"/>
  <c r="BI29" i="3" s="1"/>
  <c r="BI30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E27" i="3"/>
  <c r="BE28" i="3" s="1"/>
  <c r="BD27" i="3"/>
  <c r="BD28" i="3" s="1"/>
  <c r="BD29" i="3" s="1"/>
  <c r="BC27" i="3"/>
  <c r="BC28" i="3" s="1"/>
  <c r="BC29" i="3" s="1"/>
  <c r="BB27" i="3"/>
  <c r="BB28" i="3" s="1"/>
  <c r="BB29" i="3" s="1"/>
  <c r="BB30" i="3" s="1"/>
  <c r="BA27" i="3"/>
  <c r="BA28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U27" i="3"/>
  <c r="AU28" i="3" s="1"/>
  <c r="AT27" i="3"/>
  <c r="AT28" i="3" s="1"/>
  <c r="AS27" i="3"/>
  <c r="AS28" i="3" s="1"/>
  <c r="AS29" i="3" s="1"/>
  <c r="AS30" i="3" s="1"/>
  <c r="AR27" i="3"/>
  <c r="AR28" i="3" s="1"/>
  <c r="AR29" i="3" s="1"/>
  <c r="AQ27" i="3"/>
  <c r="AQ28" i="3" s="1"/>
  <c r="AQ29" i="3" s="1"/>
  <c r="AQ30" i="3" s="1"/>
  <c r="AP27" i="3"/>
  <c r="AP28" i="3" s="1"/>
  <c r="AO27" i="3"/>
  <c r="AO28" i="3" s="1"/>
  <c r="AN27" i="3"/>
  <c r="AN28" i="3" s="1"/>
  <c r="AM27" i="3"/>
  <c r="AM28" i="3" s="1"/>
  <c r="AM29" i="3" s="1"/>
  <c r="AL27" i="3"/>
  <c r="AL28" i="3" s="1"/>
  <c r="AL29" i="3" s="1"/>
  <c r="AK27" i="3"/>
  <c r="AK28" i="3" s="1"/>
  <c r="AK29" i="3" s="1"/>
  <c r="AJ27" i="3"/>
  <c r="AI27" i="3"/>
  <c r="AI28" i="3" s="1"/>
  <c r="AI29" i="3" s="1"/>
  <c r="AI30" i="3" s="1"/>
  <c r="AH27" i="3"/>
  <c r="AH28" i="3" s="1"/>
  <c r="AG27" i="3"/>
  <c r="AG28" i="3" s="1"/>
  <c r="AG29" i="3" s="1"/>
  <c r="AG30" i="3" s="1"/>
  <c r="AF27" i="3"/>
  <c r="AF28" i="3" s="1"/>
  <c r="AF29" i="3" s="1"/>
  <c r="AE27" i="3"/>
  <c r="AE28" i="3" s="1"/>
  <c r="AD27" i="3"/>
  <c r="AD28" i="3" s="1"/>
  <c r="AC27" i="3"/>
  <c r="AC28" i="3" s="1"/>
  <c r="AB27" i="3"/>
  <c r="AB28" i="3" s="1"/>
  <c r="AB29" i="3" s="1"/>
  <c r="AB30" i="3" s="1"/>
  <c r="AA27" i="3"/>
  <c r="AA28" i="3" s="1"/>
  <c r="AA29" i="3" s="1"/>
  <c r="AA30" i="3" s="1"/>
  <c r="Z27" i="3"/>
  <c r="Z28" i="3" s="1"/>
  <c r="Y27" i="3"/>
  <c r="X27" i="3"/>
  <c r="W27" i="3"/>
  <c r="W28" i="3" s="1"/>
  <c r="W29" i="3" s="1"/>
  <c r="V27" i="3"/>
  <c r="V28" i="3" s="1"/>
  <c r="U27" i="3"/>
  <c r="U28" i="3" s="1"/>
  <c r="U29" i="3" s="1"/>
  <c r="U30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DF29" i="3" l="1"/>
  <c r="DF30" i="3" s="1"/>
  <c r="BZ29" i="3"/>
  <c r="BZ30" i="3" s="1"/>
  <c r="CP29" i="3"/>
  <c r="CP30" i="3" s="1"/>
  <c r="AT29" i="3"/>
  <c r="AT30" i="3" s="1"/>
  <c r="DA29" i="3"/>
  <c r="DA30" i="3" s="1"/>
  <c r="BR29" i="3"/>
  <c r="BR30" i="3" s="1"/>
  <c r="BU29" i="3"/>
  <c r="BU30" i="3" s="1"/>
  <c r="BJ29" i="3"/>
  <c r="BJ30" i="3" s="1"/>
  <c r="CC29" i="3"/>
  <c r="CC30" i="3" s="1"/>
  <c r="V29" i="3"/>
  <c r="V30" i="3" s="1"/>
  <c r="AE29" i="3"/>
  <c r="AE30" i="3" s="1"/>
  <c r="BW29" i="3"/>
  <c r="BW30" i="3" s="1"/>
  <c r="AU29" i="3"/>
  <c r="AU30" i="3" s="1"/>
  <c r="CS29" i="3"/>
  <c r="CS30" i="3" s="1"/>
  <c r="CZ28" i="3"/>
  <c r="CZ29" i="3" s="1"/>
  <c r="CZ30" i="3" s="1"/>
  <c r="DT28" i="3"/>
  <c r="DT29" i="3" s="1"/>
  <c r="DT30" i="3" s="1"/>
  <c r="CK29" i="3"/>
  <c r="CK30" i="3" s="1"/>
  <c r="AJ28" i="3"/>
  <c r="AJ29" i="3" s="1"/>
  <c r="AJ30" i="3" s="1"/>
  <c r="CF28" i="3"/>
  <c r="CF29" i="3" s="1"/>
  <c r="CF30" i="3" s="1"/>
  <c r="CJ29" i="3"/>
  <c r="CJ30" i="3" s="1"/>
  <c r="AC29" i="3"/>
  <c r="AC30" i="3" s="1"/>
  <c r="AN29" i="3"/>
  <c r="AN30" i="3" s="1"/>
  <c r="BP28" i="3"/>
  <c r="BP29" i="3" s="1"/>
  <c r="BP30" i="3" s="1"/>
  <c r="DP28" i="3"/>
  <c r="DP29" i="3" s="1"/>
  <c r="DP30" i="3" s="1"/>
  <c r="BL29" i="3"/>
  <c r="BL30" i="3" s="1"/>
  <c r="BS29" i="3"/>
  <c r="BS30" i="3" s="1"/>
  <c r="AK30" i="3"/>
  <c r="CY30" i="3"/>
  <c r="DI29" i="3"/>
  <c r="DI30" i="3" s="1"/>
  <c r="Y28" i="3"/>
  <c r="Y29" i="3" s="1"/>
  <c r="Y30" i="3" s="1"/>
  <c r="AV29" i="3"/>
  <c r="AV30" i="3" s="1"/>
  <c r="CI28" i="3"/>
  <c r="CI29" i="3" s="1"/>
  <c r="CI30" i="3" s="1"/>
  <c r="P29" i="3"/>
  <c r="P30" i="3" s="1"/>
  <c r="T29" i="3"/>
  <c r="T30" i="3" s="1"/>
  <c r="DH29" i="3"/>
  <c r="DH30" i="3" s="1"/>
  <c r="DL29" i="3"/>
  <c r="DL30" i="3" s="1"/>
  <c r="N29" i="3"/>
  <c r="N30" i="3" s="1"/>
  <c r="DC29" i="3"/>
  <c r="DC30" i="3" s="1"/>
  <c r="DN29" i="3"/>
  <c r="DN30" i="3" s="1"/>
  <c r="BY29" i="3"/>
  <c r="BY30" i="3" s="1"/>
  <c r="CM29" i="3"/>
  <c r="CM30" i="3" s="1"/>
  <c r="CE29" i="3"/>
  <c r="CE30" i="3" s="1"/>
  <c r="W30" i="3"/>
  <c r="DO29" i="3"/>
  <c r="DO30" i="3" s="1"/>
  <c r="AR30" i="3"/>
  <c r="DE30" i="3"/>
  <c r="CX29" i="3"/>
  <c r="CX30" i="3" s="1"/>
  <c r="CH29" i="3"/>
  <c r="CH30" i="3" s="1"/>
  <c r="AD29" i="3"/>
  <c r="AD30" i="3" s="1"/>
  <c r="CU29" i="3"/>
  <c r="CU30" i="3" s="1"/>
  <c r="X28" i="3"/>
  <c r="X29" i="3" s="1"/>
  <c r="X30" i="3" s="1"/>
  <c r="DG30" i="3"/>
  <c r="AO29" i="3"/>
  <c r="AO30" i="3" s="1"/>
  <c r="AF30" i="3"/>
  <c r="AL30" i="3"/>
  <c r="BM29" i="3"/>
  <c r="BM30" i="3" s="1"/>
  <c r="AM30" i="3"/>
  <c r="BX29" i="3"/>
  <c r="BX30" i="3" s="1"/>
  <c r="CR29" i="3"/>
  <c r="CR30" i="3" s="1"/>
  <c r="BD30" i="3"/>
  <c r="BC30" i="3"/>
  <c r="BQ30" i="3"/>
  <c r="CO30" i="3"/>
  <c r="Z29" i="3"/>
  <c r="Z30" i="3" s="1"/>
  <c r="BT29" i="3"/>
  <c r="BT30" i="3" s="1"/>
  <c r="AW29" i="3"/>
  <c r="AW30" i="3" s="1"/>
  <c r="CN29" i="3"/>
  <c r="CN30" i="3" s="1"/>
  <c r="BO30" i="3"/>
  <c r="AH29" i="3"/>
  <c r="AH30" i="3" s="1"/>
  <c r="BE29" i="3"/>
  <c r="BE30" i="3" s="1"/>
  <c r="DU29" i="3"/>
  <c r="DU30" i="3" s="1"/>
  <c r="DM29" i="3"/>
  <c r="DM30" i="3" s="1"/>
  <c r="DK30" i="3"/>
  <c r="R29" i="3"/>
  <c r="R30" i="3" s="1"/>
  <c r="AY29" i="3"/>
  <c r="AY30" i="3" s="1"/>
  <c r="CB30" i="3"/>
  <c r="CA30" i="3"/>
  <c r="AP29" i="3"/>
  <c r="AP30" i="3" s="1"/>
  <c r="BA29" i="3"/>
  <c r="BA30" i="3" s="1"/>
  <c r="BF29" i="3"/>
  <c r="BF30" i="3" s="1"/>
</calcChain>
</file>

<file path=xl/sharedStrings.xml><?xml version="1.0" encoding="utf-8"?>
<sst xmlns="http://schemas.openxmlformats.org/spreadsheetml/2006/main" count="522" uniqueCount="135">
  <si>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</si>
  <si>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</si>
  <si>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</si>
  <si>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</si>
  <si>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</si>
  <si>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</si>
  <si>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</si>
  <si>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</si>
  <si>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</si>
  <si>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</si>
  <si>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</si>
  <si>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</si>
  <si>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</si>
  <si>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</si>
  <si>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</si>
  <si>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</si>
  <si>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</si>
  <si>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</si>
  <si>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</si>
  <si>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</si>
  <si>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</si>
  <si>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</si>
  <si>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</si>
  <si>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</si>
  <si>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</si>
  <si>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</si>
  <si>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</si>
  <si>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</si>
  <si>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</si>
  <si>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</si>
  <si>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</si>
  <si>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</si>
  <si>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</si>
  <si>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</si>
  <si>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</si>
  <si>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</si>
  <si>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</si>
  <si>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</si>
  <si>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</si>
  <si>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</si>
  <si>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</si>
  <si>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</si>
  <si>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</si>
  <si>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</si>
  <si>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</si>
  <si>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</si>
  <si>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</si>
  <si>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</si>
  <si>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</si>
  <si>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</si>
  <si>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</si>
  <si>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</si>
  <si>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</si>
  <si>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</si>
  <si>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</si>
  <si>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</si>
  <si>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</si>
  <si>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</si>
  <si>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</si>
  <si>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</si>
  <si>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</si>
  <si>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</si>
  <si>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</si>
  <si>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</si>
  <si>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</si>
  <si>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</si>
  <si>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</si>
  <si>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</si>
  <si>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</si>
  <si>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</si>
  <si>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</si>
  <si>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</si>
  <si>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</si>
  <si>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</si>
  <si>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</si>
  <si>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</si>
  <si>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</si>
  <si>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</si>
  <si>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</si>
  <si>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</si>
  <si>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</si>
  <si>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</si>
  <si>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</si>
  <si>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</si>
  <si>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</si>
  <si>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</si>
  <si>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</si>
  <si>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</si>
  <si>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</si>
  <si>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</si>
  <si>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</si>
  <si>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</si>
  <si>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</si>
  <si>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</si>
  <si>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</si>
  <si>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</si>
  <si>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</si>
  <si>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</si>
  <si>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r>
      <t xml:space="preserve">MOÇÃO DE APOIO Nº 597/2025 – STEPHANE ROSSI – </t>
    </r>
    <r>
      <rPr>
        <sz val="11"/>
        <color theme="1"/>
        <rFont val="Arial"/>
        <family val="2"/>
      </rPr>
      <t>À recente decisão do Superior Tribunal de Justiça que reconheceu a aplicação simultânea e complementar da Lei Henry Borel e da Lei Maria da Penha, nos casos de violência praticada contra meninas.</t>
    </r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</si>
  <si>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</si>
  <si>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pela ausência do autor, será pautada na próxima sessão.</t>
  </si>
  <si>
    <r>
      <t xml:space="preserve">MOÇÃO DE CONGRATULAÇÕES Nº 608/2025 – DELBIO TERUEL – </t>
    </r>
    <r>
      <rPr>
        <sz val="11"/>
        <color theme="1"/>
        <rFont val="Arial"/>
        <family val="2"/>
      </rPr>
      <t>À Equipe Audax Osasco Categorias de Iniciação Sub-7, Sub-8, Sub-9 e Sub-10, em reconhecimento pelas recentes e expressivas conquistas que enaltecem o esporte osasquense.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</si>
  <si>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</si>
  <si>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73ª SESSÃO ORDINÁRIA</t>
  </si>
  <si>
    <t>DIA 11 DE DEZEMBRO DE 2025 - QUINTA-FEIRA</t>
  </si>
  <si>
    <t>Projeto de Lei Complementar nº 18/2025 – Prefeito do Município de Osasco – Dispõe sobre a extinção do Convênio com a Fundação Instituto Tecnológico de Osasco – FITO referente ao Programa Mundo da Criança, com a redistribuição dos cargos de Professor de Desenvolvimento Infantil, e dá outras providências.</t>
  </si>
  <si>
    <t>Projeto de Lei Complementar nº 19/2025 – Prefeito do Município de Osasco – Altera o § 1º do art. 3º da Lei Complementar nº 258, de 27 de dezembro de 2012, que dispõe sobre a criação de fundos de previdência, revoga sua redação anterior e dá nova disciplina à revisão da segregação de massas no âmbito do IPMO.</t>
  </si>
  <si>
    <t>Decretos nº 14.934, 14.937, 14.939, 14.940 e 14.945 de novembro de 2025 - Prefeito do Município de Osasco – Dispõe sobre abertura de crédito adicional especial ao orçamento vigente e dá outras providências.</t>
  </si>
  <si>
    <t>Decretos nº 14.935, 14.936, 14.938, 14.941 ao 14.944 e 14.14.948 de novembro de 2025 - Prefeito do Município de Osasco – Dispõe sobre abertura de crédito adicional suplementar ao orçamento vigente e dá outras providências.</t>
  </si>
  <si>
    <t>Projeto de Lei nº 224/2025 – Paulo Júnior – Dispõe sobre a proibição do atendimento a bonecos hiper-realistas em unidades de saúde públicas no Município de Osasco, bem como da sua utilização nos assentos preferenciais do transporte coletivo municipal, e dá outras providências.</t>
  </si>
  <si>
    <t>Projeto de Lei nº 225/2025 – Laércio Mendonça – Institui o 'Dia Municipal do DJ' no Calendário Oficial do Município de Osasco e dá outras providências.</t>
  </si>
  <si>
    <t>Projeto de Decreto Legislativo nº 90/2025 – Laércio Mendonça – Concede placa comemorativa ao Colégio São Gabriel.</t>
  </si>
  <si>
    <t>Projeto de Decreto Legislativo nº 96/2025 – Laércio Mendonça – Dispõe sobre a concessão da Medalha Antônio Raposo Tavares e do Diploma Cidade de Osasco ao artista Jota.pê, em reconhecimento à sua destacada trajetória artística, contribuição à cultura brasileira e projeção positiva do nome de Osasco no cenário nacional e internacional.</t>
  </si>
  <si>
    <t>Projeto de Decreto Legislativo nº 97/2025 – Laércio Mendonça – Concede o Cartão de Prata ao artista Jota.pê, em reconhecimento à sua destacada trajetória artística, às premiações nacionais e internacionais conquistadas e à relevante contribuição para a valorização da cultura brasileira e para a projeção do nome de Osasco.</t>
  </si>
  <si>
    <t>Projeto de Decreto Legislativo nº 98/2025 – Alexandre Capriotti – Dispõe sobre a concessão da Medalha Antônio Raposo Tavares e Diploma Cidade de Osasco ao senhor Amarildo Rodrigues.</t>
  </si>
  <si>
    <t>Projeto de Decreto Legislativo nº 99/2025 – Délbio Teruel – Dispõe sobre a concessão de Placa Comemorativa ao Alternativa Autoposto e dá outras providências.</t>
  </si>
  <si>
    <r>
      <t xml:space="preserve">MOÇÃO DE AGRADECIMENTO Nº 593/2025 – CANTOR GOLEIRO – </t>
    </r>
    <r>
      <rPr>
        <sz val="11"/>
        <color theme="1"/>
        <rFont val="Arial"/>
        <family val="2"/>
      </rPr>
      <t>Ao Sr. Prefeito Gerson Pessoa pela conclusão da obra de combate às enchentes na Avenida Bandeirantes, no Jardim Aliança.</t>
    </r>
  </si>
  <si>
    <r>
      <t xml:space="preserve">MOÇÃO DE APOIO Nº 596/2025 – GABRIEL SAÚDE – </t>
    </r>
    <r>
      <rPr>
        <sz val="11"/>
        <color theme="1"/>
        <rFont val="Arial"/>
        <family val="2"/>
      </rPr>
      <t>Ao Dia Internacional das Pessoas com Deficiência, celebrado no dia 3 de dezembro.</t>
    </r>
  </si>
  <si>
    <t>pela ausência da autora, será pautada na próxima sessão.</t>
  </si>
  <si>
    <r>
      <t>MOÇÃO DE CONGRATULAÇÕES Nº 606/2025 – DELBIO TERUEL –</t>
    </r>
    <r>
      <rPr>
        <sz val="11"/>
        <color theme="1"/>
        <rFont val="Arial"/>
        <family val="2"/>
      </rPr>
      <t xml:space="preserve"> À Equipe Audax Osasco Categoria de Base Série A1 Sub 12, para manifestar congratulações desta Câmara pela conquista do Campeonato Paulista de Futsal 2025 – Categorias de Base Série A1 Sub-12.</t>
    </r>
  </si>
  <si>
    <r>
      <t xml:space="preserve">MOÇÃO DE RECONHECIMENTO Nº 609/2025 – ELSA OLIVEIRA – </t>
    </r>
    <r>
      <rPr>
        <sz val="11"/>
        <color theme="1"/>
        <rFont val="Arial"/>
        <family val="2"/>
      </rPr>
      <t>À Jornalista Nancy Nasser, profissional de destacada atuação na comunicação, na vida social e no desenvolvimento institucional da cidade de Osasco.</t>
    </r>
  </si>
  <si>
    <r>
      <t xml:space="preserve">MOÇÃO DE APLAUSO Nº 610/2025 – GUILHERME PRADO – </t>
    </r>
    <r>
      <rPr>
        <sz val="11"/>
        <color theme="1"/>
        <rFont val="Arial"/>
        <family val="2"/>
      </rPr>
      <t>À 7ª edição da Corrida Maluca OZ, evento que, desde 2021, tornou-se uma das celebrações culturais mais autênticas e queridas pela população de Osasco, e que nasceu a partir da amizade de Wendell Beraldo Pereira e Tiago Rogério Tomaz.</t>
    </r>
  </si>
  <si>
    <r>
      <t xml:space="preserve">MOÇÃO DE RECONHECIMENTO Nº 611/2025 – RODOLFO CARA – </t>
    </r>
    <r>
      <rPr>
        <sz val="11"/>
        <color theme="1"/>
        <rFont val="Arial"/>
        <family val="2"/>
      </rPr>
      <t>Ao Sr. Adriano Gomes dos Reis por sua relevante contribuição social, profissional e comunitária ao município de Osasco.</t>
    </r>
  </si>
  <si>
    <r>
      <t xml:space="preserve">MOÇÃO DE APLAUSO Nº 612/2025 – STEPHANE ROSSI – </t>
    </r>
    <r>
      <rPr>
        <sz val="11"/>
        <color theme="1"/>
        <rFont val="Arial"/>
        <family val="2"/>
      </rPr>
      <t>Em celebração ao Dia do Palhaço, comemorado em 10 de dezembro, em especial ao Palhaço Pam Pam – Mateus Esperança, artista que se destaca pela dedicação, sensibilidade e compromisso com a arte do riso.</t>
    </r>
  </si>
  <si>
    <r>
      <t xml:space="preserve">MOÇÃO DE RECONHECIMENTO Nº 613/2025 – ELÂNIA SILVA – </t>
    </r>
    <r>
      <rPr>
        <sz val="11"/>
        <color theme="1"/>
        <rFont val="Arial"/>
        <family val="2"/>
      </rPr>
      <t>Ao Senhor Gabriel Menezes, mais conhecido como MENA, muralista e artista plástico que se destacou por suas pinturas com cores vibrantes em importantes prédios da cidade de São Paulo e pelo mundo.</t>
    </r>
  </si>
  <si>
    <r>
      <t>PROJETO DE LEI Nº 140/2025 - STEPHANE ROSSI –</t>
    </r>
    <r>
      <rPr>
        <sz val="14"/>
        <color theme="1"/>
        <rFont val="Arial"/>
        <family val="2"/>
      </rPr>
      <t xml:space="preserve"> Institui o Dia Municipal da Acessibilidade Digital.</t>
    </r>
  </si>
  <si>
    <t>APROVADO
VOTAÇÃO SIMBÓLICA</t>
  </si>
  <si>
    <r>
      <t>PROJETO DE LEI Nº 171/2025 – GABRIEL SAÚDE -</t>
    </r>
    <r>
      <rPr>
        <sz val="14"/>
        <color theme="1"/>
        <rFont val="Arial"/>
        <family val="2"/>
      </rPr>
      <t xml:space="preserve"> Veda a nomeação de pessoa condenada, por sentença criminal com trânsito em julgado e fundamentada na Lei Federal nº 11.340, de 7 de agosto de 2006 (Lei Maria da Penha), para exercer cargo ou emprego público no Município de Osasco, inclusive nos âmbitos do Poder Legislativo e da Administração Indireta.</t>
    </r>
  </si>
  <si>
    <r>
      <t>PROJETO DE LEI Nº 47/2025 - SÉRGIO FONTELLAS –</t>
    </r>
    <r>
      <rPr>
        <sz val="11"/>
        <color theme="1"/>
        <rFont val="Arial"/>
        <family val="2"/>
      </rPr>
      <t xml:space="preserve"> Institui a Campanha Outubrinho Rosa. </t>
    </r>
  </si>
  <si>
    <t>EMENDA N. 1/2025, DA CCJ  AO PROJETO DE LEI Nº 47/2025.</t>
  </si>
  <si>
    <r>
      <t xml:space="preserve">APROVADA
</t>
    </r>
    <r>
      <rPr>
        <b/>
        <sz val="12"/>
        <color rgb="FF00B050"/>
        <rFont val="Arial"/>
        <family val="2"/>
      </rPr>
      <t>VOTAÇÃO SIMBÓLICA</t>
    </r>
  </si>
  <si>
    <r>
      <t xml:space="preserve">PROJETO DE LEI Nº 32/2025 - RALFI – </t>
    </r>
    <r>
      <rPr>
        <sz val="11"/>
        <color theme="1"/>
        <rFont val="Arial"/>
        <family val="2"/>
      </rPr>
      <t>Assegura o ingresso e a permanência de cães de assistência a pessoas com deficiência ou transtorno do espectro autista – TEA em locais de uso público ou privado.</t>
    </r>
  </si>
  <si>
    <t>EMENDA N. 1/2025, - RALFI SILVA AO PROJETO DE LEI Nº 32/2025.</t>
  </si>
  <si>
    <r>
      <t xml:space="preserve">PROJETO DE LEI Nº 119/2025 - JOSIAS DA JUCO – </t>
    </r>
    <r>
      <rPr>
        <sz val="11"/>
        <color theme="1"/>
        <rFont val="Arial"/>
        <family val="2"/>
      </rPr>
      <t>Dispõe sobre a implantação de código tipo QR Code nas placas de denominação de ruas, praças, logradouros e equipamentos públicos do Município de Osasco.</t>
    </r>
  </si>
  <si>
    <r>
      <t xml:space="preserve">PROJETO DE DECRETO LEGISLATIVO Nº 61/2025 - LAÉRCIO MENDONÇA – </t>
    </r>
    <r>
      <rPr>
        <sz val="11"/>
        <color theme="1"/>
        <rFont val="Arial"/>
        <family val="2"/>
      </rPr>
      <t>Dispõe sobre a concessão de Cartão de Prata à empresa Rei dos Pisos e seu proprietário, Sr. Roberto Bochoglonian.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</si>
</sst>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zoomScale="70" zoomScaleNormal="70" workbookViewId="0">
      <selection activeCell="AE13" sqref="AE1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103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104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2</v>
      </c>
      <c r="G14" s="102" t="s">
        <v>53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2</v>
      </c>
      <c r="G16" s="102" t="s">
        <v>53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96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69</v>
      </c>
      <c r="B22" s="88">
        <v>1</v>
      </c>
      <c r="C22" s="62" t="s">
        <v>52</v>
      </c>
      <c r="D22" s="63"/>
      <c r="E22" s="62"/>
      <c r="F22" s="88">
        <v>1</v>
      </c>
      <c r="G22" s="62" t="s">
        <v>52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91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12</v>
      </c>
      <c r="C26" s="96" t="s">
        <v>46</v>
      </c>
      <c r="D26" s="98"/>
      <c r="E26" s="96" t="s">
        <v>46</v>
      </c>
      <c r="F26" s="98">
        <v>16</v>
      </c>
      <c r="G26" s="96" t="s">
        <v>46</v>
      </c>
      <c r="H26" s="100"/>
      <c r="I26" s="101"/>
      <c r="J26" s="98">
        <v>16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47</v>
      </c>
      <c r="D27" s="98"/>
      <c r="E27" s="96" t="s">
        <v>47</v>
      </c>
      <c r="F27" s="98">
        <v>5</v>
      </c>
      <c r="G27" s="96" t="s">
        <v>47</v>
      </c>
      <c r="H27" s="100"/>
      <c r="I27" s="96"/>
      <c r="J27" s="98">
        <v>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28</v>
      </c>
      <c r="V32" s="12"/>
      <c r="W32" s="12"/>
    </row>
    <row r="33" spans="1:23" ht="18">
      <c r="A33" s="34" t="s">
        <v>56</v>
      </c>
      <c r="V33" s="12"/>
      <c r="W33" s="12"/>
    </row>
    <row r="34" spans="1:23" ht="18">
      <c r="A34" s="34" t="s">
        <v>60</v>
      </c>
      <c r="V34" s="12"/>
      <c r="W34" s="12"/>
    </row>
    <row r="35" spans="1:23" ht="18">
      <c r="A35" s="34" t="s">
        <v>23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91</v>
      </c>
      <c r="V42" s="12"/>
      <c r="W42" s="12"/>
    </row>
    <row r="43" spans="1:23" ht="18">
      <c r="A43" s="34" t="s">
        <v>57</v>
      </c>
      <c r="V43" s="12"/>
      <c r="W43" s="12"/>
    </row>
    <row r="44" spans="1:23" ht="18">
      <c r="A44" s="34" t="s">
        <v>49</v>
      </c>
      <c r="V44" s="12"/>
      <c r="W44" s="12"/>
    </row>
    <row r="45" spans="1:23" ht="18">
      <c r="A45" s="34"/>
      <c r="V45" s="12"/>
      <c r="W45" s="12"/>
    </row>
    <row r="46" spans="1:23" ht="18">
      <c r="A46" s="34"/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39"/>
  <sheetViews>
    <sheetView workbookViewId="0">
      <pane xSplit="1" topLeftCell="B1" activePane="topRight" state="frozen"/>
      <selection pane="topRight" activeCell="X14" sqref="X14"/>
    </sheetView>
  </sheetViews>
  <sheetFormatPr defaultColWidth="9.140625" defaultRowHeight="12.75"/>
  <cols>
    <col min="1" max="1" width="47.7109375" style="22" customWidth="1"/>
    <col min="2" max="13" width="23.7109375" style="22" customWidth="1"/>
    <col min="14" max="14" width="19" style="22" customWidth="1"/>
    <col min="15" max="15" width="26.28515625" style="22" customWidth="1"/>
    <col min="16" max="16" width="22.140625" style="22" customWidth="1"/>
    <col min="17" max="26" width="22.7109375" style="22" customWidth="1"/>
    <col min="27" max="16384" width="9.140625" style="22"/>
  </cols>
  <sheetData>
    <row r="1" spans="1:26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26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6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26" ht="63" customHeight="1">
      <c r="A4" s="51" t="str">
        <f>'[1]MOÇÃO E REQUERIMENTO'!B7</f>
        <v>EXPEDIENTE</v>
      </c>
      <c r="B4" s="50" t="s">
        <v>45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7" t="s">
        <v>115</v>
      </c>
      <c r="N4" s="112" t="s">
        <v>34</v>
      </c>
      <c r="O4" s="124"/>
      <c r="P4" s="50" t="s">
        <v>27</v>
      </c>
      <c r="Q4" s="84" t="s">
        <v>116</v>
      </c>
      <c r="R4" s="84" t="s">
        <v>117</v>
      </c>
      <c r="S4" s="84" t="s">
        <v>98</v>
      </c>
      <c r="T4" s="84" t="s">
        <v>119</v>
      </c>
      <c r="U4" s="84" t="s">
        <v>101</v>
      </c>
      <c r="V4" s="84" t="s">
        <v>120</v>
      </c>
      <c r="W4" s="84" t="s">
        <v>121</v>
      </c>
      <c r="X4" s="84" t="s">
        <v>122</v>
      </c>
      <c r="Y4" s="84" t="s">
        <v>123</v>
      </c>
      <c r="Z4" s="84" t="s">
        <v>124</v>
      </c>
    </row>
    <row r="5" spans="1:26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113"/>
      <c r="Q5" s="113" t="s">
        <v>65</v>
      </c>
      <c r="R5" s="118" t="s">
        <v>100</v>
      </c>
      <c r="S5" s="118" t="s">
        <v>118</v>
      </c>
      <c r="T5" s="113" t="s">
        <v>65</v>
      </c>
      <c r="U5" s="113" t="s">
        <v>65</v>
      </c>
      <c r="V5" s="118" t="s">
        <v>100</v>
      </c>
      <c r="W5" s="113" t="s">
        <v>65</v>
      </c>
      <c r="X5" s="118" t="s">
        <v>100</v>
      </c>
      <c r="Y5" s="113" t="s">
        <v>65</v>
      </c>
      <c r="Z5" s="118" t="s">
        <v>118</v>
      </c>
    </row>
    <row r="6" spans="1:26" ht="15.75">
      <c r="A6" s="127" t="s">
        <v>51</v>
      </c>
      <c r="P6" s="23"/>
    </row>
    <row r="7" spans="1:26" ht="15.75">
      <c r="A7" s="127" t="s">
        <v>68</v>
      </c>
      <c r="P7" s="23"/>
    </row>
    <row r="8" spans="1:26" ht="15.75">
      <c r="A8" s="127" t="s">
        <v>54</v>
      </c>
      <c r="P8" s="23"/>
    </row>
    <row r="9" spans="1:26" ht="15.75">
      <c r="A9" s="128" t="s">
        <v>55</v>
      </c>
      <c r="P9" s="23"/>
    </row>
    <row r="10" spans="1:26" ht="15.75">
      <c r="A10" s="127" t="s">
        <v>28</v>
      </c>
      <c r="P10" s="23"/>
    </row>
    <row r="11" spans="1:26" ht="15.75">
      <c r="A11" s="127" t="s">
        <v>56</v>
      </c>
      <c r="P11" s="23"/>
    </row>
    <row r="12" spans="1:26" ht="15.75">
      <c r="A12" s="127" t="s">
        <v>22</v>
      </c>
      <c r="P12" s="23"/>
    </row>
    <row r="13" spans="1:26" ht="15.75">
      <c r="A13" s="127" t="s">
        <v>23</v>
      </c>
      <c r="P13" s="23"/>
    </row>
    <row r="14" spans="1:26" ht="15.75">
      <c r="A14" s="127" t="s">
        <v>24</v>
      </c>
      <c r="P14" s="23"/>
    </row>
    <row r="15" spans="1:26" ht="15.75">
      <c r="A15" s="127" t="s">
        <v>57</v>
      </c>
      <c r="P15" s="23"/>
    </row>
    <row r="16" spans="1:26" ht="15.75">
      <c r="A16" s="127" t="s">
        <v>58</v>
      </c>
      <c r="P16" s="23"/>
    </row>
    <row r="17" spans="1:16" ht="15.75">
      <c r="A17" s="127" t="s">
        <v>59</v>
      </c>
      <c r="P17" s="23"/>
    </row>
    <row r="18" spans="1:16" ht="15.75">
      <c r="A18" s="127" t="s">
        <v>25</v>
      </c>
      <c r="P18" s="23"/>
    </row>
    <row r="19" spans="1:16" ht="15.75">
      <c r="A19" s="127" t="s">
        <v>60</v>
      </c>
      <c r="P19" s="23"/>
    </row>
    <row r="20" spans="1:16" ht="15.75">
      <c r="A20" s="127" t="s">
        <v>96</v>
      </c>
      <c r="P20" s="23"/>
    </row>
    <row r="21" spans="1:16" ht="15.75">
      <c r="A21" s="127" t="s">
        <v>26</v>
      </c>
      <c r="P21" s="23"/>
    </row>
    <row r="22" spans="1:16" ht="15.75">
      <c r="A22" s="127" t="s">
        <v>61</v>
      </c>
      <c r="P22" s="23"/>
    </row>
    <row r="23" spans="1:16" ht="15.75">
      <c r="A23" s="127" t="s">
        <v>69</v>
      </c>
      <c r="P23" s="23"/>
    </row>
    <row r="24" spans="1:16" ht="15.75">
      <c r="A24" s="127" t="s">
        <v>49</v>
      </c>
      <c r="P24" s="23"/>
    </row>
    <row r="25" spans="1:16" ht="15.75">
      <c r="A25" s="127" t="s">
        <v>91</v>
      </c>
      <c r="P25" s="23"/>
    </row>
    <row r="26" spans="1:16" ht="15.75">
      <c r="A26" s="127" t="s">
        <v>62</v>
      </c>
      <c r="P26" s="23"/>
    </row>
    <row r="27" spans="1:16" s="25" customFormat="1">
      <c r="A27" s="24" t="s">
        <v>18</v>
      </c>
    </row>
    <row r="28" spans="1:16" s="27" customFormat="1">
      <c r="A28" s="26" t="s">
        <v>19</v>
      </c>
    </row>
    <row r="29" spans="1:16">
      <c r="A29" s="28" t="s">
        <v>11</v>
      </c>
    </row>
    <row r="30" spans="1:16" s="30" customFormat="1">
      <c r="A30" s="29" t="s">
        <v>20</v>
      </c>
    </row>
    <row r="32" spans="1:1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103</v>
      </c>
      <c r="B2" s="49"/>
      <c r="C2" s="74"/>
    </row>
    <row r="3" spans="1:46" ht="17.25" customHeight="1">
      <c r="A3" s="76" t="s">
        <v>104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125</v>
      </c>
      <c r="F4" s="140" t="s">
        <v>127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42"/>
      <c r="D5" s="79"/>
      <c r="E5" s="144" t="s">
        <v>126</v>
      </c>
      <c r="F5" s="144" t="s">
        <v>70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/>
      <c r="F6" s="107" t="s">
        <v>66</v>
      </c>
    </row>
    <row r="7" spans="1:46" ht="20.25">
      <c r="A7" s="46" t="s">
        <v>68</v>
      </c>
      <c r="C7" s="107"/>
      <c r="E7" s="107"/>
      <c r="F7" s="107" t="s">
        <v>66</v>
      </c>
    </row>
    <row r="8" spans="1:46" ht="20.25">
      <c r="A8" s="46" t="s">
        <v>54</v>
      </c>
      <c r="C8" s="107"/>
      <c r="E8" s="107"/>
      <c r="F8" s="107" t="s">
        <v>66</v>
      </c>
    </row>
    <row r="9" spans="1:46" ht="20.25">
      <c r="A9" s="82" t="s">
        <v>55</v>
      </c>
      <c r="C9" s="114"/>
      <c r="E9" s="114"/>
      <c r="F9" s="114" t="s">
        <v>97</v>
      </c>
    </row>
    <row r="10" spans="1:46" ht="20.25">
      <c r="A10" s="46" t="s">
        <v>28</v>
      </c>
      <c r="C10" s="107"/>
      <c r="E10" s="107"/>
      <c r="F10" s="107" t="s">
        <v>66</v>
      </c>
    </row>
    <row r="11" spans="1:46" ht="20.25">
      <c r="A11" s="46" t="s">
        <v>56</v>
      </c>
      <c r="C11" s="107"/>
      <c r="E11" s="107"/>
      <c r="F11" s="114" t="s">
        <v>53</v>
      </c>
    </row>
    <row r="12" spans="1:46" ht="20.25">
      <c r="A12" s="46" t="s">
        <v>22</v>
      </c>
      <c r="C12" s="107"/>
      <c r="E12" s="107"/>
      <c r="F12" s="107" t="s">
        <v>66</v>
      </c>
    </row>
    <row r="13" spans="1:46" ht="20.25">
      <c r="A13" s="46" t="s">
        <v>23</v>
      </c>
      <c r="C13" s="114"/>
      <c r="E13" s="114"/>
      <c r="F13" s="114" t="s">
        <v>53</v>
      </c>
    </row>
    <row r="14" spans="1:46" ht="20.25">
      <c r="A14" s="46" t="s">
        <v>24</v>
      </c>
      <c r="C14" s="107"/>
      <c r="E14" s="107"/>
      <c r="F14" s="107" t="s">
        <v>66</v>
      </c>
    </row>
    <row r="15" spans="1:46" ht="20.25">
      <c r="A15" s="46" t="s">
        <v>57</v>
      </c>
      <c r="C15" s="107"/>
      <c r="E15" s="107"/>
      <c r="F15" s="107" t="s">
        <v>66</v>
      </c>
    </row>
    <row r="16" spans="1:46" ht="20.25">
      <c r="A16" s="46" t="s">
        <v>58</v>
      </c>
      <c r="C16" s="107"/>
      <c r="E16" s="107"/>
      <c r="F16" s="107" t="s">
        <v>66</v>
      </c>
    </row>
    <row r="17" spans="1:131" ht="20.25">
      <c r="A17" s="46" t="s">
        <v>59</v>
      </c>
      <c r="C17" s="114"/>
      <c r="E17" s="114"/>
      <c r="F17" s="114" t="s">
        <v>53</v>
      </c>
    </row>
    <row r="18" spans="1:131" ht="20.25">
      <c r="A18" s="46" t="s">
        <v>25</v>
      </c>
      <c r="C18" s="107"/>
      <c r="E18" s="107"/>
      <c r="F18" s="107" t="s">
        <v>66</v>
      </c>
    </row>
    <row r="19" spans="1:131" ht="20.25">
      <c r="A19" s="46" t="s">
        <v>60</v>
      </c>
      <c r="C19" s="107"/>
      <c r="E19" s="107"/>
      <c r="F19" s="107" t="s">
        <v>66</v>
      </c>
    </row>
    <row r="20" spans="1:131" ht="20.25">
      <c r="A20" s="46" t="s">
        <v>96</v>
      </c>
      <c r="C20" s="107"/>
      <c r="E20" s="107"/>
      <c r="F20" s="107" t="s">
        <v>66</v>
      </c>
    </row>
    <row r="21" spans="1:131" ht="20.25">
      <c r="A21" s="46" t="s">
        <v>26</v>
      </c>
      <c r="C21" s="107"/>
      <c r="E21" s="107"/>
      <c r="F21" s="114" t="s">
        <v>53</v>
      </c>
    </row>
    <row r="22" spans="1:131" ht="20.25">
      <c r="A22" s="46" t="s">
        <v>61</v>
      </c>
      <c r="C22" s="114"/>
      <c r="E22" s="114"/>
      <c r="F22" s="107" t="s">
        <v>66</v>
      </c>
    </row>
    <row r="23" spans="1:131" ht="20.25">
      <c r="A23" s="46" t="s">
        <v>69</v>
      </c>
      <c r="C23" s="114"/>
      <c r="E23" s="107"/>
      <c r="F23" s="107" t="s">
        <v>66</v>
      </c>
    </row>
    <row r="24" spans="1:131" ht="20.25">
      <c r="A24" s="46" t="s">
        <v>49</v>
      </c>
      <c r="C24" s="107"/>
      <c r="E24" s="107"/>
      <c r="F24" s="114" t="s">
        <v>53</v>
      </c>
    </row>
    <row r="25" spans="1:131" ht="20.25">
      <c r="A25" s="46" t="s">
        <v>91</v>
      </c>
      <c r="C25" s="107"/>
      <c r="E25" s="107"/>
      <c r="F25" s="107" t="s">
        <v>66</v>
      </c>
    </row>
    <row r="26" spans="1:131" ht="20.25">
      <c r="A26" s="46" t="s">
        <v>62</v>
      </c>
      <c r="C26" s="107"/>
      <c r="E26" s="107"/>
      <c r="F26" s="107" t="s">
        <v>66</v>
      </c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0</v>
      </c>
      <c r="F27" s="103">
        <f t="shared" si="1"/>
        <v>15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0</v>
      </c>
      <c r="F29" s="40">
        <f t="shared" si="5"/>
        <v>5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W37"/>
  <sheetViews>
    <sheetView zoomScale="90" zoomScaleNormal="90" workbookViewId="0">
      <pane xSplit="1" topLeftCell="B1" activePane="topRight" state="frozen"/>
      <selection pane="topRight" activeCell="J4" sqref="J4"/>
    </sheetView>
  </sheetViews>
  <sheetFormatPr defaultRowHeight="15"/>
  <cols>
    <col min="1" max="1" width="46.85546875" customWidth="1"/>
    <col min="2" max="7" width="30.42578125" customWidth="1"/>
    <col min="8" max="8" width="17.42578125" customWidth="1"/>
    <col min="9" max="9" width="16.85546875" customWidth="1"/>
    <col min="10" max="10" width="29.85546875" customWidth="1"/>
    <col min="11" max="11" width="29.28515625" customWidth="1"/>
    <col min="12" max="12" width="25.7109375" customWidth="1"/>
    <col min="13" max="13" width="28" customWidth="1"/>
    <col min="14" max="14" width="28.140625" customWidth="1"/>
    <col min="15" max="15" width="30.5703125" customWidth="1"/>
    <col min="16" max="16" width="26.7109375" customWidth="1"/>
    <col min="17" max="18" width="29.28515625" customWidth="1"/>
    <col min="19" max="19" width="29.42578125" customWidth="1"/>
    <col min="20" max="21" width="28.7109375" customWidth="1"/>
    <col min="22" max="22" width="28.140625" customWidth="1"/>
    <col min="23" max="23" width="25.7109375" customWidth="1"/>
    <col min="24" max="24" width="21.28515625" customWidth="1"/>
    <col min="25" max="25" width="19.5703125" customWidth="1"/>
    <col min="26" max="26" width="18.28515625" customWidth="1"/>
    <col min="27" max="27" width="17.28515625" customWidth="1"/>
    <col min="28" max="28" width="18.140625" customWidth="1"/>
    <col min="29" max="29" width="22" customWidth="1"/>
    <col min="30" max="30" width="16.140625" customWidth="1"/>
    <col min="31" max="31" width="18" customWidth="1"/>
    <col min="33" max="33" width="18.28515625" customWidth="1"/>
  </cols>
  <sheetData>
    <row r="1" spans="1:33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3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33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3" ht="90.6" customHeight="1" thickBot="1">
      <c r="A4" s="120" t="s">
        <v>5</v>
      </c>
      <c r="B4" s="119" t="s">
        <v>7</v>
      </c>
      <c r="C4" s="139" t="s">
        <v>128</v>
      </c>
      <c r="D4" s="139" t="s">
        <v>129</v>
      </c>
      <c r="E4" s="139" t="s">
        <v>131</v>
      </c>
      <c r="F4" s="139" t="s">
        <v>132</v>
      </c>
      <c r="G4" s="139" t="s">
        <v>133</v>
      </c>
      <c r="H4" s="60"/>
      <c r="I4" s="60"/>
      <c r="J4" s="60"/>
      <c r="K4" s="9"/>
      <c r="L4" s="9"/>
      <c r="M4" s="9"/>
      <c r="N4" s="9"/>
      <c r="O4" s="9"/>
      <c r="P4" s="9"/>
      <c r="Q4" s="13"/>
      <c r="R4" s="9"/>
      <c r="S4" s="9"/>
      <c r="T4" s="9"/>
      <c r="U4" s="9"/>
      <c r="V4" s="9"/>
      <c r="W4" s="9"/>
      <c r="X4" s="13"/>
      <c r="Y4" s="13"/>
      <c r="Z4" s="13"/>
      <c r="AA4" s="13"/>
      <c r="AB4" s="13"/>
      <c r="AC4" s="9"/>
      <c r="AD4" s="9"/>
      <c r="AE4" s="9"/>
      <c r="AG4" s="8"/>
    </row>
    <row r="5" spans="1:33" s="77" customFormat="1" ht="51.75" customHeight="1">
      <c r="B5" s="75"/>
      <c r="C5" s="144" t="s">
        <v>102</v>
      </c>
      <c r="D5" s="144" t="s">
        <v>130</v>
      </c>
      <c r="E5" s="144" t="s">
        <v>70</v>
      </c>
      <c r="F5" s="144" t="s">
        <v>65</v>
      </c>
      <c r="G5" s="144" t="s">
        <v>70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AD5" s="75"/>
      <c r="AE5" s="75"/>
    </row>
    <row r="6" spans="1:33" ht="18">
      <c r="A6" s="129" t="s">
        <v>51</v>
      </c>
      <c r="C6" s="107"/>
      <c r="D6" s="107"/>
      <c r="E6" s="107" t="s">
        <v>66</v>
      </c>
      <c r="F6" s="107" t="s">
        <v>66</v>
      </c>
      <c r="G6" s="107" t="s">
        <v>66</v>
      </c>
      <c r="Y6" s="7"/>
      <c r="Z6" s="7"/>
    </row>
    <row r="7" spans="1:33" ht="18">
      <c r="A7" s="129" t="s">
        <v>68</v>
      </c>
      <c r="C7" s="107"/>
      <c r="D7" s="107"/>
      <c r="E7" s="107" t="s">
        <v>66</v>
      </c>
      <c r="F7" s="107" t="s">
        <v>66</v>
      </c>
      <c r="G7" s="107" t="s">
        <v>66</v>
      </c>
      <c r="Y7" s="7"/>
      <c r="Z7" s="7"/>
    </row>
    <row r="8" spans="1:33" ht="18">
      <c r="A8" s="129" t="s">
        <v>54</v>
      </c>
      <c r="C8" s="107"/>
      <c r="D8" s="107"/>
      <c r="E8" s="107" t="s">
        <v>66</v>
      </c>
      <c r="F8" s="107" t="s">
        <v>66</v>
      </c>
      <c r="G8" s="107" t="s">
        <v>66</v>
      </c>
      <c r="Y8" s="7"/>
      <c r="Z8" s="7"/>
    </row>
    <row r="9" spans="1:33" ht="18">
      <c r="A9" s="130" t="s">
        <v>55</v>
      </c>
      <c r="C9" s="114"/>
      <c r="D9" s="114"/>
      <c r="E9" s="114" t="s">
        <v>97</v>
      </c>
      <c r="F9" s="114" t="s">
        <v>97</v>
      </c>
      <c r="G9" s="114" t="s">
        <v>97</v>
      </c>
      <c r="Y9" s="7"/>
      <c r="Z9" s="7"/>
    </row>
    <row r="10" spans="1:33" ht="18">
      <c r="A10" s="129" t="s">
        <v>28</v>
      </c>
      <c r="C10" s="107"/>
      <c r="D10" s="107"/>
      <c r="E10" s="107" t="s">
        <v>66</v>
      </c>
      <c r="F10" s="107" t="s">
        <v>66</v>
      </c>
      <c r="G10" s="107" t="s">
        <v>66</v>
      </c>
      <c r="Y10" s="7"/>
      <c r="Z10" s="7"/>
    </row>
    <row r="11" spans="1:33" ht="18">
      <c r="A11" s="129" t="s">
        <v>56</v>
      </c>
      <c r="C11" s="107"/>
      <c r="D11" s="107"/>
      <c r="E11" s="114" t="s">
        <v>53</v>
      </c>
      <c r="F11" s="114" t="s">
        <v>53</v>
      </c>
      <c r="G11" s="114" t="s">
        <v>53</v>
      </c>
      <c r="Y11" s="7"/>
      <c r="Z11" s="7"/>
    </row>
    <row r="12" spans="1:33" ht="18">
      <c r="A12" s="129" t="s">
        <v>22</v>
      </c>
      <c r="C12" s="107"/>
      <c r="D12" s="107"/>
      <c r="E12" s="107" t="s">
        <v>66</v>
      </c>
      <c r="F12" s="107" t="s">
        <v>66</v>
      </c>
      <c r="G12" s="107" t="s">
        <v>66</v>
      </c>
      <c r="Y12" s="7"/>
      <c r="Z12" s="7"/>
    </row>
    <row r="13" spans="1:33" ht="18">
      <c r="A13" s="129" t="s">
        <v>23</v>
      </c>
      <c r="C13" s="107"/>
      <c r="D13" s="114"/>
      <c r="E13" s="114" t="s">
        <v>53</v>
      </c>
      <c r="F13" s="114" t="s">
        <v>53</v>
      </c>
      <c r="G13" s="114" t="s">
        <v>53</v>
      </c>
      <c r="Y13" s="7"/>
      <c r="Z13" s="7"/>
    </row>
    <row r="14" spans="1:33" ht="18">
      <c r="A14" s="129" t="s">
        <v>24</v>
      </c>
      <c r="C14" s="107"/>
      <c r="D14" s="107"/>
      <c r="E14" s="107" t="s">
        <v>66</v>
      </c>
      <c r="F14" s="107" t="s">
        <v>66</v>
      </c>
      <c r="G14" s="107" t="s">
        <v>66</v>
      </c>
      <c r="Y14" s="7"/>
      <c r="Z14" s="7"/>
    </row>
    <row r="15" spans="1:33" ht="18">
      <c r="A15" s="129" t="s">
        <v>57</v>
      </c>
      <c r="C15" s="107"/>
      <c r="D15" s="107"/>
      <c r="E15" s="107" t="s">
        <v>66</v>
      </c>
      <c r="F15" s="107" t="s">
        <v>66</v>
      </c>
      <c r="G15" s="107" t="s">
        <v>66</v>
      </c>
      <c r="Y15" s="7"/>
      <c r="Z15" s="7"/>
    </row>
    <row r="16" spans="1:33" ht="18">
      <c r="A16" s="129" t="s">
        <v>58</v>
      </c>
      <c r="C16" s="107"/>
      <c r="D16" s="107"/>
      <c r="E16" s="107" t="s">
        <v>66</v>
      </c>
      <c r="F16" s="107" t="s">
        <v>66</v>
      </c>
      <c r="G16" s="107" t="s">
        <v>66</v>
      </c>
      <c r="Y16" s="7"/>
      <c r="Z16" s="7"/>
    </row>
    <row r="17" spans="1:127" ht="15" customHeight="1">
      <c r="A17" s="129" t="s">
        <v>59</v>
      </c>
      <c r="C17" s="107"/>
      <c r="D17" s="114"/>
      <c r="E17" s="114" t="s">
        <v>53</v>
      </c>
      <c r="F17" s="114" t="s">
        <v>53</v>
      </c>
      <c r="G17" s="114" t="s">
        <v>53</v>
      </c>
      <c r="X17" s="8"/>
      <c r="Y17" s="7"/>
      <c r="Z17" s="7"/>
    </row>
    <row r="18" spans="1:127" ht="18">
      <c r="A18" s="129" t="s">
        <v>25</v>
      </c>
      <c r="C18" s="107"/>
      <c r="D18" s="107"/>
      <c r="E18" s="107" t="s">
        <v>66</v>
      </c>
      <c r="F18" s="107" t="s">
        <v>66</v>
      </c>
      <c r="G18" s="107" t="s">
        <v>66</v>
      </c>
      <c r="Y18" s="7"/>
      <c r="Z18" s="7"/>
    </row>
    <row r="19" spans="1:127" ht="18">
      <c r="A19" s="129" t="s">
        <v>60</v>
      </c>
      <c r="C19" s="107"/>
      <c r="D19" s="107"/>
      <c r="E19" s="107" t="s">
        <v>66</v>
      </c>
      <c r="F19" s="107" t="s">
        <v>66</v>
      </c>
      <c r="G19" s="107" t="s">
        <v>66</v>
      </c>
      <c r="Y19" s="7"/>
      <c r="Z19" s="7"/>
    </row>
    <row r="20" spans="1:127" ht="18">
      <c r="A20" s="129" t="s">
        <v>96</v>
      </c>
      <c r="C20" s="107"/>
      <c r="D20" s="107"/>
      <c r="E20" s="107" t="s">
        <v>66</v>
      </c>
      <c r="F20" s="107" t="s">
        <v>66</v>
      </c>
      <c r="G20" s="107" t="s">
        <v>66</v>
      </c>
      <c r="Y20" s="7"/>
      <c r="Z20" s="7"/>
    </row>
    <row r="21" spans="1:127" ht="18">
      <c r="A21" s="129" t="s">
        <v>26</v>
      </c>
      <c r="C21" s="107"/>
      <c r="D21" s="107"/>
      <c r="E21" s="114" t="s">
        <v>53</v>
      </c>
      <c r="F21" s="114" t="s">
        <v>53</v>
      </c>
      <c r="G21" s="114" t="s">
        <v>53</v>
      </c>
      <c r="Y21" s="7"/>
      <c r="Z21" s="7"/>
    </row>
    <row r="22" spans="1:127" ht="18">
      <c r="A22" s="129" t="s">
        <v>61</v>
      </c>
      <c r="C22" s="107"/>
      <c r="D22" s="107"/>
      <c r="E22" s="107" t="s">
        <v>66</v>
      </c>
      <c r="F22" s="107" t="s">
        <v>66</v>
      </c>
      <c r="G22" s="107" t="s">
        <v>66</v>
      </c>
      <c r="Y22" s="7"/>
      <c r="Z22" s="7"/>
    </row>
    <row r="23" spans="1:127" ht="18">
      <c r="A23" s="129" t="s">
        <v>69</v>
      </c>
      <c r="C23" s="107"/>
      <c r="D23" s="107"/>
      <c r="E23" s="107" t="s">
        <v>66</v>
      </c>
      <c r="F23" s="107" t="s">
        <v>66</v>
      </c>
      <c r="G23" s="107" t="s">
        <v>66</v>
      </c>
      <c r="Y23" s="7"/>
      <c r="Z23" s="7"/>
    </row>
    <row r="24" spans="1:127" ht="18">
      <c r="A24" s="129" t="s">
        <v>49</v>
      </c>
      <c r="C24" s="107"/>
      <c r="D24" s="107"/>
      <c r="E24" s="114" t="s">
        <v>53</v>
      </c>
      <c r="F24" s="114" t="s">
        <v>53</v>
      </c>
      <c r="G24" s="114" t="s">
        <v>53</v>
      </c>
      <c r="Y24" s="7"/>
      <c r="Z24" s="7"/>
    </row>
    <row r="25" spans="1:127" ht="18">
      <c r="A25" s="129" t="s">
        <v>91</v>
      </c>
      <c r="C25" s="107"/>
      <c r="D25" s="107"/>
      <c r="E25" s="107" t="s">
        <v>66</v>
      </c>
      <c r="F25" s="107" t="s">
        <v>66</v>
      </c>
      <c r="G25" s="107" t="s">
        <v>66</v>
      </c>
      <c r="Y25" s="7"/>
      <c r="Z25" s="7"/>
    </row>
    <row r="26" spans="1:127" ht="18">
      <c r="A26" s="129" t="s">
        <v>62</v>
      </c>
      <c r="C26" s="107"/>
      <c r="D26" s="107"/>
      <c r="E26" s="107" t="s">
        <v>66</v>
      </c>
      <c r="F26" s="107" t="s">
        <v>66</v>
      </c>
      <c r="G26" s="107" t="s">
        <v>66</v>
      </c>
      <c r="Y26" s="7"/>
      <c r="Z26" s="7"/>
    </row>
    <row r="27" spans="1:127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D27" s="103">
        <f t="shared" ref="D27:G27" si="2">COUNTIF(D6:D26,"sim")</f>
        <v>0</v>
      </c>
      <c r="E27" s="103">
        <f t="shared" si="2"/>
        <v>15</v>
      </c>
      <c r="F27" s="103">
        <f>COUNTIF(F6:F26,"sim")</f>
        <v>15</v>
      </c>
      <c r="G27" s="103">
        <f t="shared" si="2"/>
        <v>15</v>
      </c>
      <c r="N27" s="16">
        <f t="shared" ref="N27:AS27" si="3">COUNTIF(N6:N26,"sim")</f>
        <v>0</v>
      </c>
      <c r="O27" s="16">
        <f t="shared" si="3"/>
        <v>0</v>
      </c>
      <c r="P27" s="16">
        <f t="shared" si="3"/>
        <v>0</v>
      </c>
      <c r="Q27" s="16">
        <f t="shared" si="3"/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ref="AT27:BY27" si="4">COUNTIF(AT6:AT26,"sim")</f>
        <v>0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ref="BZ27:DE27" si="5">COUNTIF(BZ6:BZ26,"sim")</f>
        <v>0</v>
      </c>
      <c r="CA27" s="16">
        <f t="shared" si="5"/>
        <v>0</v>
      </c>
      <c r="CB27" s="16">
        <f t="shared" si="5"/>
        <v>0</v>
      </c>
      <c r="CC27" s="16">
        <f t="shared" si="5"/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ref="DF27:DW27" si="6">COUNTIF(DF6:DF26,"sim")</f>
        <v>0</v>
      </c>
      <c r="DG27" s="16">
        <f t="shared" si="6"/>
        <v>0</v>
      </c>
      <c r="DH27" s="16">
        <f t="shared" si="6"/>
        <v>0</v>
      </c>
      <c r="DI27" s="16">
        <f t="shared" si="6"/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  <c r="DU27" s="16">
        <f t="shared" si="6"/>
        <v>0</v>
      </c>
      <c r="DV27" s="16">
        <f t="shared" si="6"/>
        <v>0</v>
      </c>
      <c r="DW27" s="16">
        <f t="shared" si="6"/>
        <v>0</v>
      </c>
    </row>
    <row r="28" spans="1:127" s="18" customFormat="1" ht="15.75">
      <c r="A28" s="17" t="s">
        <v>19</v>
      </c>
      <c r="B28" s="18">
        <f t="shared" ref="B28" si="7">COUNTIF(B6:B26,"não")</f>
        <v>0</v>
      </c>
      <c r="C28" s="104">
        <f t="shared" ref="C28" si="8">COUNTIF(C6:C26,"não")</f>
        <v>0</v>
      </c>
      <c r="D28" s="104">
        <f t="shared" ref="D28:G28" si="9">COUNTIF(D6:D26,"não")</f>
        <v>0</v>
      </c>
      <c r="E28" s="104">
        <f t="shared" si="9"/>
        <v>0</v>
      </c>
      <c r="F28" s="104">
        <f t="shared" si="9"/>
        <v>0</v>
      </c>
      <c r="G28" s="104">
        <f t="shared" si="9"/>
        <v>0</v>
      </c>
      <c r="N28" s="18">
        <f t="shared" ref="N28:AS28" si="10">COUNTIF(N6:N27,"não")</f>
        <v>0</v>
      </c>
      <c r="O28" s="18">
        <f t="shared" si="10"/>
        <v>0</v>
      </c>
      <c r="P28" s="18">
        <f t="shared" si="10"/>
        <v>0</v>
      </c>
      <c r="Q28" s="18">
        <f t="shared" si="10"/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si="10"/>
        <v>0</v>
      </c>
      <c r="AR28" s="18">
        <f t="shared" si="10"/>
        <v>0</v>
      </c>
      <c r="AS28" s="18">
        <f t="shared" si="10"/>
        <v>0</v>
      </c>
      <c r="AT28" s="18">
        <f t="shared" ref="AT28:BY28" si="11">COUNTIF(AT6:AT27,"não")</f>
        <v>0</v>
      </c>
      <c r="AU28" s="18">
        <f t="shared" si="11"/>
        <v>0</v>
      </c>
      <c r="AV28" s="18">
        <f t="shared" si="11"/>
        <v>0</v>
      </c>
      <c r="AW28" s="18">
        <f t="shared" si="11"/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si="11"/>
        <v>0</v>
      </c>
      <c r="BX28" s="18">
        <f t="shared" si="11"/>
        <v>0</v>
      </c>
      <c r="BY28" s="18">
        <f t="shared" si="11"/>
        <v>0</v>
      </c>
      <c r="BZ28" s="18">
        <f t="shared" ref="BZ28:DE28" si="12">COUNTIF(BZ6:BZ27,"não")</f>
        <v>0</v>
      </c>
      <c r="CA28" s="18">
        <f t="shared" si="12"/>
        <v>0</v>
      </c>
      <c r="CB28" s="18">
        <f t="shared" si="12"/>
        <v>0</v>
      </c>
      <c r="CC28" s="18">
        <f t="shared" si="12"/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si="12"/>
        <v>0</v>
      </c>
      <c r="DD28" s="18">
        <f t="shared" si="12"/>
        <v>0</v>
      </c>
      <c r="DE28" s="18">
        <f t="shared" si="12"/>
        <v>0</v>
      </c>
      <c r="DF28" s="18">
        <f t="shared" ref="DF28:DW28" si="13">COUNTIF(DF6:DF27,"não")</f>
        <v>0</v>
      </c>
      <c r="DG28" s="18">
        <f t="shared" si="13"/>
        <v>0</v>
      </c>
      <c r="DH28" s="18">
        <f t="shared" si="13"/>
        <v>0</v>
      </c>
      <c r="DI28" s="18">
        <f t="shared" si="13"/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  <c r="DU28" s="18">
        <f t="shared" si="13"/>
        <v>0</v>
      </c>
      <c r="DV28" s="18">
        <f t="shared" si="13"/>
        <v>0</v>
      </c>
      <c r="DW28" s="18">
        <f t="shared" si="13"/>
        <v>0</v>
      </c>
    </row>
    <row r="29" spans="1:127" ht="15.75">
      <c r="A29" s="14" t="s">
        <v>11</v>
      </c>
      <c r="B29">
        <f t="shared" ref="B29" si="14">COUNTIF(B6:B26,"ausente")</f>
        <v>0</v>
      </c>
      <c r="C29" s="40">
        <f t="shared" ref="C29" si="15">COUNTIF(C6:C26,"ausente")</f>
        <v>0</v>
      </c>
      <c r="D29" s="40">
        <f t="shared" ref="D29:G29" si="16">COUNTIF(D6:D26,"ausente")</f>
        <v>0</v>
      </c>
      <c r="E29" s="40">
        <f t="shared" si="16"/>
        <v>5</v>
      </c>
      <c r="F29" s="40">
        <f t="shared" si="16"/>
        <v>5</v>
      </c>
      <c r="G29" s="40">
        <f t="shared" si="16"/>
        <v>5</v>
      </c>
      <c r="N29">
        <f t="shared" ref="N29:AS29" si="17">COUNTIF(N6:N28,"ausente")</f>
        <v>0</v>
      </c>
      <c r="O29">
        <f t="shared" si="17"/>
        <v>0</v>
      </c>
      <c r="P29">
        <f t="shared" si="17"/>
        <v>0</v>
      </c>
      <c r="Q29">
        <f t="shared" si="17"/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si="17"/>
        <v>0</v>
      </c>
      <c r="AR29">
        <f t="shared" si="17"/>
        <v>0</v>
      </c>
      <c r="AS29">
        <f t="shared" si="17"/>
        <v>0</v>
      </c>
      <c r="AT29">
        <f t="shared" ref="AT29:BY29" si="18">COUNTIF(AT6:AT28,"ausente")</f>
        <v>0</v>
      </c>
      <c r="AU29">
        <f t="shared" si="18"/>
        <v>0</v>
      </c>
      <c r="AV29">
        <f t="shared" si="18"/>
        <v>0</v>
      </c>
      <c r="AW29">
        <f t="shared" si="18"/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si="18"/>
        <v>0</v>
      </c>
      <c r="BX29">
        <f t="shared" si="18"/>
        <v>0</v>
      </c>
      <c r="BY29">
        <f t="shared" si="18"/>
        <v>0</v>
      </c>
      <c r="BZ29">
        <f t="shared" ref="BZ29:DE29" si="19">COUNTIF(BZ6:BZ28,"ausente")</f>
        <v>0</v>
      </c>
      <c r="CA29">
        <f t="shared" si="19"/>
        <v>0</v>
      </c>
      <c r="CB29">
        <f t="shared" si="19"/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si="19"/>
        <v>0</v>
      </c>
      <c r="DD29">
        <f t="shared" si="19"/>
        <v>0</v>
      </c>
      <c r="DE29">
        <f t="shared" si="19"/>
        <v>0</v>
      </c>
      <c r="DF29">
        <f t="shared" ref="DF29:DW29" si="20">COUNTIF(DF6:DF28,"ausente")</f>
        <v>0</v>
      </c>
      <c r="DG29">
        <f t="shared" si="20"/>
        <v>0</v>
      </c>
      <c r="DH29">
        <f t="shared" si="20"/>
        <v>0</v>
      </c>
      <c r="DI29">
        <f t="shared" si="20"/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  <c r="DU29">
        <f t="shared" si="20"/>
        <v>0</v>
      </c>
      <c r="DV29">
        <f t="shared" si="20"/>
        <v>0</v>
      </c>
      <c r="DW29">
        <f t="shared" si="20"/>
        <v>0</v>
      </c>
    </row>
    <row r="30" spans="1:127" s="20" customFormat="1" ht="15.75">
      <c r="A30" s="19" t="s">
        <v>20</v>
      </c>
      <c r="B30" s="20">
        <f t="shared" ref="B30" si="21">COUNTIF(B6:B26,"abstenção")</f>
        <v>0</v>
      </c>
      <c r="C30" s="105">
        <f t="shared" ref="C30" si="22">COUNTIF(C6:C26,"abstenção")</f>
        <v>0</v>
      </c>
      <c r="D30" s="105">
        <f t="shared" ref="D30:G30" si="23">COUNTIF(D6:D26,"abstenção")</f>
        <v>0</v>
      </c>
      <c r="E30" s="105">
        <f t="shared" si="23"/>
        <v>0</v>
      </c>
      <c r="F30" s="105">
        <f t="shared" si="23"/>
        <v>0</v>
      </c>
      <c r="G30" s="105">
        <f t="shared" si="23"/>
        <v>0</v>
      </c>
      <c r="N30" s="20">
        <f t="shared" ref="N30:AS30" si="24">COUNTIF(N10:N29,"abstenção")</f>
        <v>0</v>
      </c>
      <c r="O30" s="20">
        <f t="shared" si="24"/>
        <v>0</v>
      </c>
      <c r="P30" s="20">
        <f t="shared" si="24"/>
        <v>0</v>
      </c>
      <c r="Q30" s="20">
        <f t="shared" si="24"/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si="24"/>
        <v>0</v>
      </c>
      <c r="AR30" s="20">
        <f t="shared" si="24"/>
        <v>0</v>
      </c>
      <c r="AS30" s="20">
        <f t="shared" si="24"/>
        <v>0</v>
      </c>
      <c r="AT30" s="20">
        <f t="shared" ref="AT30:BL30" si="25">COUNTIF(AT10:AT29,"abstenção")</f>
        <v>0</v>
      </c>
      <c r="AU30" s="20">
        <f t="shared" si="25"/>
        <v>0</v>
      </c>
      <c r="AV30" s="20">
        <f t="shared" si="25"/>
        <v>0</v>
      </c>
      <c r="AW30" s="20">
        <f t="shared" si="25"/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si="25"/>
        <v>0</v>
      </c>
      <c r="BK30" s="20">
        <f t="shared" si="25"/>
        <v>0</v>
      </c>
      <c r="BL30" s="20">
        <f t="shared" si="25"/>
        <v>0</v>
      </c>
      <c r="BM30" s="20">
        <f t="shared" ref="BM30:DW30" si="26">COUNTIF(BM10:BM29,"abstenção")</f>
        <v>0</v>
      </c>
      <c r="BN30" s="20">
        <f t="shared" si="26"/>
        <v>0</v>
      </c>
      <c r="BO30" s="20">
        <f t="shared" si="26"/>
        <v>0</v>
      </c>
      <c r="BP30" s="20">
        <f t="shared" si="26"/>
        <v>0</v>
      </c>
      <c r="BQ30" s="20">
        <f t="shared" si="26"/>
        <v>0</v>
      </c>
      <c r="BR30" s="20">
        <f t="shared" si="26"/>
        <v>0</v>
      </c>
      <c r="BS30" s="20">
        <f t="shared" si="26"/>
        <v>0</v>
      </c>
      <c r="BT30" s="20">
        <f t="shared" si="26"/>
        <v>0</v>
      </c>
      <c r="BU30" s="20">
        <f t="shared" si="26"/>
        <v>0</v>
      </c>
      <c r="BV30" s="20">
        <f t="shared" si="26"/>
        <v>0</v>
      </c>
      <c r="BW30" s="20">
        <f t="shared" si="26"/>
        <v>0</v>
      </c>
      <c r="BX30" s="20">
        <f t="shared" si="26"/>
        <v>0</v>
      </c>
      <c r="BY30" s="20">
        <f t="shared" si="26"/>
        <v>0</v>
      </c>
      <c r="BZ30" s="20">
        <f t="shared" si="26"/>
        <v>0</v>
      </c>
      <c r="CA30" s="20">
        <f t="shared" si="26"/>
        <v>0</v>
      </c>
      <c r="CB30" s="20">
        <f t="shared" si="26"/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si="26"/>
        <v>0</v>
      </c>
      <c r="DI30" s="20">
        <f t="shared" si="26"/>
        <v>0</v>
      </c>
      <c r="DJ30" s="20">
        <f t="shared" si="26"/>
        <v>0</v>
      </c>
      <c r="DK30" s="20">
        <f t="shared" si="26"/>
        <v>0</v>
      </c>
      <c r="DL30" s="20">
        <f t="shared" si="26"/>
        <v>0</v>
      </c>
      <c r="DM30" s="20">
        <f t="shared" si="26"/>
        <v>0</v>
      </c>
      <c r="DN30" s="20">
        <f t="shared" si="26"/>
        <v>0</v>
      </c>
      <c r="DO30" s="20">
        <f t="shared" si="26"/>
        <v>0</v>
      </c>
      <c r="DP30" s="20">
        <f t="shared" si="26"/>
        <v>0</v>
      </c>
      <c r="DQ30" s="20">
        <f t="shared" si="26"/>
        <v>0</v>
      </c>
      <c r="DR30" s="20">
        <f t="shared" si="26"/>
        <v>0</v>
      </c>
      <c r="DS30" s="20">
        <f t="shared" si="26"/>
        <v>0</v>
      </c>
      <c r="DT30" s="20">
        <f t="shared" si="26"/>
        <v>0</v>
      </c>
      <c r="DU30" s="20">
        <f t="shared" si="26"/>
        <v>0</v>
      </c>
      <c r="DV30" s="20">
        <f t="shared" si="26"/>
        <v>0</v>
      </c>
      <c r="DW30" s="20">
        <f t="shared" si="26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H8" sqref="H8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103</v>
      </c>
      <c r="B2" s="2"/>
    </row>
    <row r="3" spans="1:3" ht="15.75" thickBot="1">
      <c r="A3" s="121" t="s">
        <v>104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134</v>
      </c>
    </row>
    <row r="5" spans="1:3" s="6" customFormat="1" ht="60.75" customHeight="1">
      <c r="A5" s="122"/>
      <c r="B5" s="111"/>
      <c r="C5" s="144" t="s">
        <v>70</v>
      </c>
    </row>
    <row r="6" spans="1:3" ht="15.75">
      <c r="A6" s="127" t="s">
        <v>51</v>
      </c>
      <c r="C6" s="107" t="s">
        <v>66</v>
      </c>
    </row>
    <row r="7" spans="1:3" ht="15.75">
      <c r="A7" s="127" t="s">
        <v>68</v>
      </c>
      <c r="C7" s="107" t="s">
        <v>66</v>
      </c>
    </row>
    <row r="8" spans="1:3" ht="15.75">
      <c r="A8" s="127" t="s">
        <v>54</v>
      </c>
      <c r="C8" s="107" t="s">
        <v>66</v>
      </c>
    </row>
    <row r="9" spans="1:3" ht="15.75">
      <c r="A9" s="128" t="s">
        <v>55</v>
      </c>
      <c r="C9" s="107" t="s">
        <v>66</v>
      </c>
    </row>
    <row r="10" spans="1:3" ht="15.75">
      <c r="A10" s="127" t="s">
        <v>28</v>
      </c>
      <c r="C10" s="107" t="s">
        <v>66</v>
      </c>
    </row>
    <row r="11" spans="1:3" ht="15.75">
      <c r="A11" s="127" t="s">
        <v>56</v>
      </c>
      <c r="C11" s="114" t="s">
        <v>53</v>
      </c>
    </row>
    <row r="12" spans="1:3" ht="15.75">
      <c r="A12" s="127" t="s">
        <v>22</v>
      </c>
      <c r="C12" s="107" t="s">
        <v>66</v>
      </c>
    </row>
    <row r="13" spans="1:3" ht="15.75">
      <c r="A13" s="127" t="s">
        <v>23</v>
      </c>
      <c r="B13" s="138"/>
      <c r="C13" s="114" t="s">
        <v>53</v>
      </c>
    </row>
    <row r="14" spans="1:3" ht="15.75">
      <c r="A14" s="127" t="s">
        <v>24</v>
      </c>
      <c r="C14" s="107" t="s">
        <v>66</v>
      </c>
    </row>
    <row r="15" spans="1:3" ht="15.75">
      <c r="A15" s="127" t="s">
        <v>57</v>
      </c>
      <c r="C15" s="107" t="s">
        <v>66</v>
      </c>
    </row>
    <row r="16" spans="1:3" ht="15.75">
      <c r="A16" s="127" t="s">
        <v>58</v>
      </c>
      <c r="C16" s="107" t="s">
        <v>66</v>
      </c>
    </row>
    <row r="17" spans="1:3" ht="15.75">
      <c r="A17" s="127" t="s">
        <v>59</v>
      </c>
      <c r="C17" s="114" t="s">
        <v>53</v>
      </c>
    </row>
    <row r="18" spans="1:3" ht="15.75">
      <c r="A18" s="127" t="s">
        <v>25</v>
      </c>
      <c r="C18" s="107" t="s">
        <v>66</v>
      </c>
    </row>
    <row r="19" spans="1:3" ht="15.75">
      <c r="A19" s="127" t="s">
        <v>60</v>
      </c>
      <c r="C19" s="107" t="s">
        <v>66</v>
      </c>
    </row>
    <row r="20" spans="1:3" ht="15.75">
      <c r="A20" s="127" t="s">
        <v>96</v>
      </c>
      <c r="C20" s="107" t="s">
        <v>66</v>
      </c>
    </row>
    <row r="21" spans="1:3" ht="15.75">
      <c r="A21" s="127" t="s">
        <v>26</v>
      </c>
      <c r="C21" s="114" t="s">
        <v>53</v>
      </c>
    </row>
    <row r="22" spans="1:3" ht="15.75">
      <c r="A22" s="127" t="s">
        <v>61</v>
      </c>
      <c r="C22" s="107" t="s">
        <v>66</v>
      </c>
    </row>
    <row r="23" spans="1:3" ht="15.75">
      <c r="A23" s="127" t="s">
        <v>69</v>
      </c>
      <c r="C23" s="107" t="s">
        <v>66</v>
      </c>
    </row>
    <row r="24" spans="1:3" ht="15.75">
      <c r="A24" s="127" t="s">
        <v>49</v>
      </c>
      <c r="C24" s="114" t="s">
        <v>53</v>
      </c>
    </row>
    <row r="25" spans="1:3" ht="15.75">
      <c r="A25" s="127" t="s">
        <v>91</v>
      </c>
      <c r="C25" s="107" t="s">
        <v>66</v>
      </c>
    </row>
    <row r="26" spans="1:3" ht="15.75">
      <c r="A26" s="127" t="s">
        <v>62</v>
      </c>
      <c r="C26" s="107" t="s">
        <v>66</v>
      </c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16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5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103</v>
      </c>
      <c r="B2" s="2"/>
      <c r="C2" s="54"/>
      <c r="D2" s="54"/>
      <c r="E2" s="54"/>
    </row>
    <row r="3" spans="1:10" ht="15.75" thickBot="1">
      <c r="A3" s="121" t="s">
        <v>104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92</v>
      </c>
      <c r="G4" s="143" t="s">
        <v>93</v>
      </c>
      <c r="H4" s="143" t="s">
        <v>94</v>
      </c>
      <c r="I4" s="143" t="s">
        <v>95</v>
      </c>
      <c r="J4" s="143" t="s">
        <v>99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68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96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69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91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71</v>
      </c>
      <c r="E4" s="106" t="s">
        <v>72</v>
      </c>
      <c r="F4" s="106" t="s">
        <v>73</v>
      </c>
      <c r="G4" s="106" t="s">
        <v>74</v>
      </c>
      <c r="H4" s="106" t="s">
        <v>75</v>
      </c>
      <c r="I4" s="106" t="s">
        <v>76</v>
      </c>
      <c r="J4" s="106" t="s">
        <v>77</v>
      </c>
      <c r="K4" s="106" t="s">
        <v>78</v>
      </c>
      <c r="L4" s="106" t="s">
        <v>79</v>
      </c>
      <c r="M4" s="106" t="s">
        <v>80</v>
      </c>
      <c r="N4" s="106" t="s">
        <v>81</v>
      </c>
      <c r="O4" s="106" t="s">
        <v>82</v>
      </c>
      <c r="P4" s="106" t="s">
        <v>83</v>
      </c>
      <c r="Q4" s="106" t="s">
        <v>84</v>
      </c>
      <c r="R4" s="106" t="s">
        <v>85</v>
      </c>
      <c r="S4" s="106" t="s">
        <v>86</v>
      </c>
      <c r="T4" s="106" t="s">
        <v>87</v>
      </c>
      <c r="U4" s="106" t="s">
        <v>88</v>
      </c>
      <c r="V4" s="106" t="s">
        <v>89</v>
      </c>
      <c r="W4" s="106" t="s">
        <v>90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96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91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2025-12-16T13:29:52Z</dcterms:modified>
</cp:coreProperties>
</file>