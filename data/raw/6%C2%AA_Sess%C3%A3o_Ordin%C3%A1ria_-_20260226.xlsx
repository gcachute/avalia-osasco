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85B35A95-899E-4E94-B6A5-7B14E8AF2E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C28" i="3"/>
  <c r="C29" i="3"/>
  <c r="C30" i="3"/>
  <c r="C28" i="10"/>
  <c r="C29" i="10"/>
  <c r="C30" i="10"/>
  <c r="C31" i="10"/>
  <c r="E27" i="2"/>
  <c r="E28" i="2"/>
  <c r="E29" i="2"/>
  <c r="E30" i="2"/>
  <c r="D28" i="10"/>
  <c r="D29" i="10"/>
  <c r="D30" i="10"/>
  <c r="D31" i="10"/>
  <c r="D27" i="3"/>
  <c r="D28" i="3"/>
  <c r="D29" i="3"/>
  <c r="D30" i="3"/>
  <c r="A4" i="14" l="1"/>
  <c r="C27" i="2" l="1"/>
  <c r="C28" i="2"/>
  <c r="C29" i="2"/>
  <c r="C30" i="2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<sst xmlns="http://schemas.openxmlformats.org/spreadsheetml/2006/main" count="467" uniqueCount="121">
  <si>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</si>
  <si>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</si>
  <si>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</si>
  <si>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</si>
  <si>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</si>
  <si>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</si>
  <si>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</si>
  <si>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</si>
  <si>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</si>
  <si>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</si>
  <si>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</si>
  <si>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</si>
  <si>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</si>
  <si>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</si>
  <si>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</si>
  <si>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</si>
  <si>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</si>
  <si>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</si>
  <si>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</si>
  <si>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</si>
  <si>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</si>
  <si>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</si>
  <si>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</si>
  <si>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</si>
  <si>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</si>
  <si>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</si>
  <si>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</si>
  <si>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</si>
  <si>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</si>
  <si>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</si>
  <si>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</si>
  <si>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</si>
  <si>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</si>
  <si>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</si>
  <si>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</si>
  <si>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</si>
  <si>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</si>
  <si>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</si>
  <si>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</si>
  <si>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</si>
  <si>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</si>
  <si>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</si>
  <si>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</si>
  <si>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</si>
  <si>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</si>
  <si>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</si>
  <si>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</si>
  <si>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</si>
  <si>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</si>
  <si>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</si>
  <si>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</si>
  <si>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</si>
  <si>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</si>
  <si>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</si>
  <si>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</si>
  <si>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</si>
  <si>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</si>
  <si>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</si>
  <si>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</si>
  <si>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</si>
  <si>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</si>
  <si>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</si>
  <si>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</si>
  <si>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</si>
  <si>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</si>
  <si>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</si>
  <si>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</si>
  <si>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</si>
  <si>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</si>
  <si>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</si>
  <si>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</si>
  <si>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</si>
  <si>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</si>
  <si>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</si>
  <si>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</si>
  <si>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</si>
  <si>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</si>
  <si>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</si>
  <si>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</si>
  <si>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</si>
  <si>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</si>
  <si>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</si>
  <si>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</si>
  <si>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</si>
  <si>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</si>
  <si>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</si>
  <si>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</si>
  <si>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</si>
  <si>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</si>
  <si>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</si>
  <si>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</si>
  <si>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</si>
  <si>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</si>
  <si>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</si>
  <si>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Lúcia da Saúde</t>
  </si>
  <si>
    <t>APROVADA</t>
  </si>
  <si>
    <r>
      <t xml:space="preserve">MOÇÃO DE RECONHECIMENTO Nº 10/2026 – RALFI SILVA – </t>
    </r>
    <r>
      <rPr>
        <sz val="11"/>
        <color theme="1"/>
        <rFont val="Arial"/>
        <family val="2"/>
      </rPr>
      <t>Ao General Peternelli, pelos relevantes serviços prestados à sociedade e pelo exemplo de liderança, disciplina e compromisso com os valores cívicos.</t>
    </r>
  </si>
  <si>
    <t>pela ausência do autor, será pautada na próxima sessão.</t>
  </si>
  <si>
    <t>APROVADO</t>
  </si>
  <si>
    <t>sim</t>
  </si>
  <si>
    <t>na presidência</t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</si>
  <si>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</si>
  <si>
    <r>
      <t>PROJETO DE LEI Nº 180/2025 – STEPHANE ROSSI –</t>
    </r>
    <r>
      <rPr>
        <sz val="11"/>
        <color theme="1"/>
        <rFont val="Arial"/>
        <family val="2"/>
      </rPr>
      <t xml:space="preserve"> Institui a Semana Municipal de Combate à Automutilação e ao Suicídio de Crianças e Adolescentes.</t>
    </r>
  </si>
  <si>
    <t>6ª SESSÃO ORDINÁRIA</t>
  </si>
  <si>
    <t>DIA 26 DE FEVEREIRO DE 2026 - QUINTA-FEIRA</t>
  </si>
  <si>
    <t>Justificativa de ausência do Vereador Fábio Chirinhan.</t>
  </si>
  <si>
    <t>Justificativa de ausência do Vereador Josias da Juco.</t>
  </si>
  <si>
    <r>
      <t>Projeto de Lei nº 25/2026 – Alexandre Capriotti –</t>
    </r>
    <r>
      <rPr>
        <sz val="12"/>
        <color rgb="FF000000"/>
        <rFont val="Calibri"/>
        <family val="2"/>
      </rPr>
      <t xml:space="preserve"> Institui no Calendário Oficial do Município de Osasco o “Dia Municipal da Corrida de Rua” e dá outras providências.</t>
    </r>
  </si>
  <si>
    <r>
      <t>Projeto de Lei nº 26/2026 – Pedrinho Cantagessi –</t>
    </r>
    <r>
      <rPr>
        <sz val="12"/>
        <color rgb="FF000000"/>
        <rFont val="Calibri"/>
        <family val="2"/>
      </rPr>
      <t xml:space="preserve"> Institui o Dia Municipal da Alfabetização e cria o Programa Municipal de Soletração no Município de Osasco, e dá outras providências.</t>
    </r>
  </si>
  <si>
    <r>
      <t xml:space="preserve">Projeto de Lei nº 27/2026 – Laércio Mendonça – </t>
    </r>
    <r>
      <rPr>
        <sz val="12"/>
        <color rgb="FF000000"/>
        <rFont val="Calibri"/>
        <family val="2"/>
      </rPr>
      <t>Institui o Dia Municipal do Porteiro no âmbito do Município de Osasco e dá outras providências.</t>
    </r>
  </si>
  <si>
    <t>Projeto de Decreto Legislativo nº 11/2026 – Rodrigo Gansinho – Dispõe sobre a concessão de Placa Comemorativa à CAMILA BRAIT.</t>
  </si>
  <si>
    <r>
      <t xml:space="preserve">MOÇÃO DE APLAUSO Nº 13/2026 – GABRIEL SAÚDE – </t>
    </r>
    <r>
      <rPr>
        <sz val="11"/>
        <color theme="1"/>
        <rFont val="Arial"/>
        <family val="2"/>
      </rPr>
      <t>À organização e aos participantes da 1ª Meia Maratona de Osasco, pela brilhante realização do evento ocorrido no dia 22 de fevereiro.</t>
    </r>
  </si>
  <si>
    <r>
      <t>MOÇÃO DE APLAUSO Nº 14/2026 – LÚCIA DA SAÚDE –</t>
    </r>
    <r>
      <rPr>
        <sz val="11"/>
        <color theme="1"/>
        <rFont val="Arial"/>
        <family val="2"/>
      </rPr>
      <t xml:space="preserve"> Ao Complexo Neurossensorial Casa do Autista de Balneário Camboriú, pela dedicação, empatia, compromisso e respeito às pessoas com autismo e suas famílias.</t>
    </r>
  </si>
  <si>
    <t>pela ausência da autora, será pautada na próxima sessão.</t>
  </si>
  <si>
    <r>
      <t xml:space="preserve">MOÇÃO DE APLAUSO Nº 15/2026 – ALEXANDRE CAPRIOTTI – </t>
    </r>
    <r>
      <rPr>
        <sz val="11"/>
        <color theme="1"/>
        <rFont val="Arial"/>
        <family val="2"/>
      </rPr>
      <t>À Dra. Tatiana Coelho de Sampaio, pesquisadora e professora da Universidade Federal do Rio de Janeiro (UFRJ), e uma das mais relevantes cientistas brasileiras no campo da biologia celular e da medicina regenerativa.</t>
    </r>
  </si>
  <si>
    <r>
      <t xml:space="preserve">MOÇÃO DE APLAUSO Nº 16/2026 – ALEXANDRE CAPRIOTTI – </t>
    </r>
    <r>
      <rPr>
        <sz val="11"/>
        <color theme="1"/>
        <rFont val="Arial"/>
        <family val="2"/>
      </rPr>
      <t>À Sagaz Esportes, fundada em 6 de setembro de 2017, se destacando na produção, promoção e realização de eventos esportivos, consolidando-se como referência no segmento.</t>
    </r>
  </si>
  <si>
    <r>
      <t xml:space="preserve">PROJETO DE LEI Nº 143/2025 – GABRIEL SAÚDE – </t>
    </r>
    <r>
      <rPr>
        <sz val="14"/>
        <color theme="1"/>
        <rFont val="Arial"/>
        <family val="2"/>
      </rPr>
      <t>Institui no Calendário Oficial do Município de Osasco a “Semana QuitaOZ”.</t>
    </r>
  </si>
  <si>
    <r>
      <t xml:space="preserve">APROVADO
</t>
    </r>
    <r>
      <rPr>
        <b/>
        <sz val="10"/>
        <color rgb="FF00B050"/>
        <rFont val="Arial"/>
        <family val="2"/>
      </rPr>
      <t>VOTAÇÃO SIMBÓLICA</t>
    </r>
  </si>
  <si>
    <r>
      <t xml:space="preserve">PROJETO DE LEI Nº 4/2026 – PREFEITO DO MUNICÍPIO DE OSASCO - </t>
    </r>
    <r>
      <rPr>
        <sz val="11"/>
        <color theme="1"/>
        <rFont val="Arial"/>
        <family val="2"/>
      </rPr>
      <t>Revoga o Parágrafo único do art. 1º e o art.7º da Lei nº 5.311, de 22 de dezembro de 2023, que autoriza o Poder Executivo a contratar operação de crédito internacional com o Fundo Financeiro para o Desenvolvimento da Bacia do Prata - FONPLATA, e a oferecer garantias, e dá outras providências.</t>
    </r>
  </si>
  <si>
    <r>
      <t>PROJETO DE DECRETO LEGISLATIVO Nº 72/2025 – LÚCIA DA SAÚDE -</t>
    </r>
    <r>
      <rPr>
        <sz val="11"/>
        <color theme="1"/>
        <rFont val="Arial"/>
        <family val="2"/>
      </rPr>
      <t xml:space="preserve"> Dispõe sobre a concessão Cartão de Prata à Evelin Cristina Silva Nunes.</t>
    </r>
  </si>
  <si>
    <r>
      <t>PROJETO DE DECRETO LEGISLATIVO Nº 81/2025 – RALFI –</t>
    </r>
    <r>
      <rPr>
        <sz val="11"/>
        <color theme="1"/>
        <rFont val="Arial"/>
        <family val="2"/>
      </rPr>
      <t xml:space="preserve"> Dispõe sobre a Concessão de Cartão de Prata ao Judoca João Velloza.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</si>
</sst>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  <font>
      <sz val="9"/>
      <color theme="1"/>
      <name val="Calibri"/>
      <family val="2"/>
      <scheme val="minor"/>
    </font>
    <font>
      <b/>
      <sz val="11"/>
      <color rgb="FF00B050"/>
      <name val="Arial"/>
      <family val="2"/>
    </font>
    <font>
      <b/>
      <sz val="16"/>
      <color rgb="FF00B050"/>
      <name val="Arial"/>
      <family val="2"/>
    </font>
    <font>
      <sz val="12"/>
      <color rgb="FF000000"/>
      <name val="Calibri"/>
      <family val="2"/>
    </font>
    <font>
      <b/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4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justify" vertical="top"/>
    </xf>
    <xf numFmtId="0" fontId="47" fillId="0" borderId="0" xfId="0" applyFont="1"/>
    <xf numFmtId="0" fontId="4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1"/>
  <sheetViews>
    <sheetView tabSelected="1" zoomScale="70" zoomScaleNormal="70" workbookViewId="0">
      <selection activeCell="A55" sqref="A55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6" t="s">
        <v>29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70"/>
      <c r="O1" s="70"/>
      <c r="P1" s="70"/>
      <c r="Q1" s="40">
        <v>1</v>
      </c>
      <c r="R1" s="36" t="s">
        <v>10</v>
      </c>
      <c r="T1" s="150"/>
      <c r="U1" s="150"/>
      <c r="V1" s="150"/>
      <c r="W1" s="150"/>
      <c r="X1" s="150"/>
      <c r="Y1" s="150"/>
      <c r="Z1" s="7" t="s">
        <v>16</v>
      </c>
    </row>
    <row r="2" spans="1:28" ht="19.5" customHeight="1">
      <c r="A2" s="83" t="s">
        <v>103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70"/>
      <c r="O2" s="70"/>
      <c r="P2" s="70"/>
      <c r="Q2" s="35">
        <v>2</v>
      </c>
      <c r="R2" s="36" t="s">
        <v>11</v>
      </c>
      <c r="T2" s="150"/>
      <c r="U2" s="150"/>
      <c r="V2" s="150"/>
      <c r="W2" s="150"/>
      <c r="X2" s="150"/>
      <c r="Y2" s="150"/>
      <c r="Z2" s="7" t="s">
        <v>17</v>
      </c>
    </row>
    <row r="3" spans="1:28" ht="19.5" customHeight="1" thickBot="1">
      <c r="A3" s="83" t="s">
        <v>104</v>
      </c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70"/>
      <c r="O3" s="70"/>
      <c r="P3" s="70"/>
      <c r="Q3" s="41">
        <v>3</v>
      </c>
      <c r="R3" s="37" t="s">
        <v>12</v>
      </c>
      <c r="T3" s="150"/>
      <c r="U3" s="150"/>
      <c r="V3" s="150"/>
      <c r="W3" s="150"/>
      <c r="X3" s="150"/>
      <c r="Y3" s="150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50"/>
      <c r="U4" s="150"/>
      <c r="V4" s="150"/>
      <c r="W4" s="150"/>
      <c r="X4" s="150"/>
      <c r="Y4" s="150"/>
    </row>
    <row r="5" spans="1:28" ht="18" customHeight="1">
      <c r="A5" s="46" t="s">
        <v>51</v>
      </c>
      <c r="B5" s="88">
        <v>2</v>
      </c>
      <c r="C5" s="102" t="s">
        <v>53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50"/>
      <c r="U5" s="150"/>
      <c r="V5" s="150"/>
      <c r="W5" s="150"/>
      <c r="X5" s="150"/>
      <c r="Y5" s="150"/>
    </row>
    <row r="6" spans="1:28" ht="18" customHeight="1">
      <c r="A6" s="46" t="s">
        <v>66</v>
      </c>
      <c r="B6" s="88">
        <v>2</v>
      </c>
      <c r="C6" s="102" t="s">
        <v>53</v>
      </c>
      <c r="D6" s="63"/>
      <c r="E6" s="102"/>
      <c r="F6" s="88">
        <v>2</v>
      </c>
      <c r="G6" s="102" t="s">
        <v>53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50"/>
      <c r="U6" s="150"/>
      <c r="V6" s="150"/>
      <c r="W6" s="150"/>
      <c r="X6" s="150"/>
      <c r="Y6" s="150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50"/>
      <c r="U7" s="150"/>
      <c r="V7" s="150"/>
      <c r="W7" s="150"/>
      <c r="X7" s="150"/>
      <c r="Y7" s="150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50"/>
      <c r="U8" s="150"/>
      <c r="V8" s="150"/>
      <c r="W8" s="150"/>
      <c r="X8" s="150"/>
      <c r="Y8" s="150"/>
    </row>
    <row r="9" spans="1:28" ht="18" customHeight="1">
      <c r="A9" s="46" t="s">
        <v>28</v>
      </c>
      <c r="B9" s="88">
        <v>2</v>
      </c>
      <c r="C9" s="102" t="s">
        <v>53</v>
      </c>
      <c r="D9" s="63"/>
      <c r="E9" s="102"/>
      <c r="F9" s="88">
        <v>2</v>
      </c>
      <c r="G9" s="102" t="s">
        <v>53</v>
      </c>
      <c r="H9" s="63"/>
      <c r="I9" s="62"/>
      <c r="J9" s="63">
        <v>2</v>
      </c>
      <c r="K9" s="102" t="s">
        <v>53</v>
      </c>
      <c r="L9" s="67"/>
      <c r="M9" s="65"/>
      <c r="N9" s="63"/>
      <c r="O9" s="62"/>
      <c r="P9" s="63"/>
      <c r="Q9" s="63"/>
      <c r="R9" s="102"/>
      <c r="S9" s="89"/>
      <c r="T9" s="150"/>
      <c r="U9" s="150"/>
      <c r="V9" s="150"/>
      <c r="W9" s="150"/>
      <c r="X9" s="150"/>
      <c r="Y9" s="150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>
        <v>1</v>
      </c>
      <c r="K10" s="62" t="s">
        <v>52</v>
      </c>
      <c r="L10" s="67"/>
      <c r="M10" s="65"/>
      <c r="N10" s="63"/>
      <c r="O10" s="62"/>
      <c r="P10" s="63"/>
      <c r="Q10" s="63"/>
      <c r="R10" s="62"/>
      <c r="S10" s="89"/>
      <c r="T10" s="150"/>
      <c r="U10" s="150"/>
      <c r="V10" s="150"/>
      <c r="W10" s="150"/>
      <c r="X10" s="150"/>
      <c r="Y10" s="150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50"/>
      <c r="U11" s="150"/>
      <c r="V11" s="150"/>
      <c r="W11" s="150"/>
      <c r="X11" s="150"/>
      <c r="Y11" s="150"/>
    </row>
    <row r="12" spans="1:28" ht="18" customHeight="1">
      <c r="A12" s="46" t="s">
        <v>23</v>
      </c>
      <c r="B12" s="88">
        <v>1</v>
      </c>
      <c r="C12" s="62" t="s">
        <v>52</v>
      </c>
      <c r="D12" s="63"/>
      <c r="E12" s="102"/>
      <c r="F12" s="88">
        <v>2</v>
      </c>
      <c r="G12" s="102" t="s">
        <v>53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50"/>
      <c r="U12" s="150"/>
      <c r="V12" s="150"/>
      <c r="W12" s="150"/>
      <c r="X12" s="150"/>
      <c r="Y12" s="150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/>
      <c r="E13" s="102"/>
      <c r="F13" s="88">
        <v>2</v>
      </c>
      <c r="G13" s="102" t="s">
        <v>53</v>
      </c>
      <c r="H13" s="63"/>
      <c r="I13" s="62"/>
      <c r="J13" s="63">
        <v>2</v>
      </c>
      <c r="K13" s="102" t="s">
        <v>53</v>
      </c>
      <c r="L13" s="67"/>
      <c r="M13" s="65"/>
      <c r="N13" s="63"/>
      <c r="O13" s="62"/>
      <c r="P13" s="63"/>
      <c r="Q13" s="63"/>
      <c r="R13" s="102"/>
      <c r="S13" s="91"/>
      <c r="T13" s="150"/>
      <c r="U13" s="150"/>
      <c r="V13" s="150"/>
      <c r="W13" s="150"/>
      <c r="X13" s="150"/>
      <c r="Y13" s="150"/>
    </row>
    <row r="14" spans="1:28" ht="18" customHeight="1">
      <c r="A14" s="46" t="s">
        <v>57</v>
      </c>
      <c r="B14" s="88">
        <v>2</v>
      </c>
      <c r="C14" s="102" t="s">
        <v>53</v>
      </c>
      <c r="D14" s="63"/>
      <c r="E14" s="10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50"/>
      <c r="U14" s="150"/>
      <c r="V14" s="150"/>
      <c r="W14" s="150"/>
      <c r="X14" s="150"/>
      <c r="Y14" s="150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2</v>
      </c>
      <c r="G15" s="102" t="s">
        <v>53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50"/>
      <c r="U15" s="150"/>
      <c r="V15" s="150"/>
      <c r="W15" s="150"/>
      <c r="X15" s="150"/>
      <c r="Y15" s="150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50"/>
      <c r="U16" s="150"/>
      <c r="V16" s="150"/>
      <c r="W16" s="150"/>
      <c r="X16" s="150"/>
      <c r="Y16" s="150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102"/>
      <c r="F17" s="88">
        <v>2</v>
      </c>
      <c r="G17" s="102" t="s">
        <v>53</v>
      </c>
      <c r="H17" s="63"/>
      <c r="I17" s="68"/>
      <c r="J17" s="63">
        <v>2</v>
      </c>
      <c r="K17" s="102" t="s">
        <v>53</v>
      </c>
      <c r="L17" s="67"/>
      <c r="M17" s="65"/>
      <c r="N17" s="63"/>
      <c r="O17" s="62"/>
      <c r="P17" s="63"/>
      <c r="Q17" s="63"/>
      <c r="R17" s="102"/>
      <c r="S17" s="91"/>
      <c r="T17" s="150"/>
      <c r="U17" s="150"/>
      <c r="V17" s="150"/>
      <c r="W17" s="150"/>
      <c r="X17" s="150"/>
      <c r="Y17" s="150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2</v>
      </c>
      <c r="K18" s="102" t="s">
        <v>53</v>
      </c>
      <c r="L18" s="67"/>
      <c r="M18" s="65"/>
      <c r="N18" s="63"/>
      <c r="O18" s="62"/>
      <c r="P18" s="63"/>
      <c r="Q18" s="63"/>
      <c r="R18" s="102"/>
      <c r="S18" s="91"/>
      <c r="T18" s="150"/>
      <c r="U18" s="150"/>
      <c r="V18" s="150"/>
      <c r="W18" s="150"/>
      <c r="X18" s="150"/>
      <c r="Y18" s="150"/>
    </row>
    <row r="19" spans="1:28" ht="18" customHeight="1">
      <c r="A19" s="46" t="s">
        <v>94</v>
      </c>
      <c r="B19" s="88">
        <v>2</v>
      </c>
      <c r="C19" s="102" t="s">
        <v>53</v>
      </c>
      <c r="D19" s="63"/>
      <c r="E19" s="62"/>
      <c r="F19" s="88">
        <v>2</v>
      </c>
      <c r="G19" s="102" t="s">
        <v>53</v>
      </c>
      <c r="H19" s="63"/>
      <c r="I19" s="62"/>
      <c r="J19" s="63">
        <v>1</v>
      </c>
      <c r="K19" s="62" t="s">
        <v>52</v>
      </c>
      <c r="L19" s="67"/>
      <c r="M19" s="65"/>
      <c r="N19" s="63"/>
      <c r="O19" s="62"/>
      <c r="P19" s="63"/>
      <c r="Q19" s="63"/>
      <c r="R19" s="102"/>
      <c r="S19" s="91"/>
      <c r="T19" s="150"/>
      <c r="U19" s="150"/>
      <c r="V19" s="150"/>
      <c r="W19" s="150"/>
      <c r="X19" s="150"/>
      <c r="Y19" s="150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2</v>
      </c>
      <c r="G20" s="102" t="s">
        <v>53</v>
      </c>
      <c r="H20" s="63"/>
      <c r="I20" s="68"/>
      <c r="J20" s="63">
        <v>1</v>
      </c>
      <c r="K20" s="62" t="s">
        <v>52</v>
      </c>
      <c r="L20" s="67"/>
      <c r="M20" s="65"/>
      <c r="N20" s="63"/>
      <c r="O20" s="62"/>
      <c r="P20" s="63"/>
      <c r="Q20" s="63"/>
      <c r="R20" s="102"/>
      <c r="S20" s="91"/>
      <c r="T20" s="150"/>
      <c r="U20" s="150"/>
      <c r="V20" s="150"/>
      <c r="W20" s="150"/>
      <c r="X20" s="150"/>
      <c r="Y20" s="150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2</v>
      </c>
      <c r="K21" s="102" t="s">
        <v>53</v>
      </c>
      <c r="L21" s="64"/>
      <c r="M21" s="64"/>
      <c r="N21" s="63"/>
      <c r="O21" s="62"/>
      <c r="P21" s="63"/>
      <c r="Q21" s="63"/>
      <c r="R21" s="62"/>
      <c r="S21" s="91"/>
      <c r="T21" s="150"/>
      <c r="U21" s="150"/>
      <c r="V21" s="150"/>
      <c r="W21" s="150"/>
      <c r="X21" s="150"/>
      <c r="Y21" s="150"/>
    </row>
    <row r="22" spans="1:28" ht="18" customHeight="1">
      <c r="A22" s="46" t="s">
        <v>67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50"/>
      <c r="U22" s="150"/>
      <c r="V22" s="150"/>
      <c r="W22" s="150"/>
      <c r="X22" s="150"/>
      <c r="Y22" s="150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1</v>
      </c>
      <c r="G23" s="62" t="s">
        <v>52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50"/>
      <c r="U23" s="150"/>
      <c r="V23" s="150"/>
      <c r="W23" s="150"/>
      <c r="X23" s="150"/>
      <c r="Y23" s="150"/>
    </row>
    <row r="24" spans="1:28" ht="20.25">
      <c r="A24" s="46" t="s">
        <v>88</v>
      </c>
      <c r="B24" s="88">
        <v>2</v>
      </c>
      <c r="C24" s="102" t="s">
        <v>53</v>
      </c>
      <c r="D24" s="63"/>
      <c r="E24" s="62"/>
      <c r="F24" s="88">
        <v>1</v>
      </c>
      <c r="G24" s="62" t="s">
        <v>52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50"/>
      <c r="U24" s="150"/>
      <c r="V24" s="150"/>
      <c r="W24" s="150"/>
      <c r="X24" s="150"/>
      <c r="Y24" s="150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50"/>
      <c r="U25" s="150"/>
      <c r="V25" s="150"/>
      <c r="W25" s="150"/>
      <c r="X25" s="150"/>
      <c r="Y25" s="150"/>
    </row>
    <row r="26" spans="1:28" ht="16.5" thickBot="1">
      <c r="A26" s="38" t="s">
        <v>13</v>
      </c>
      <c r="B26" s="98">
        <v>7</v>
      </c>
      <c r="C26" s="96" t="s">
        <v>46</v>
      </c>
      <c r="D26" s="98"/>
      <c r="E26" s="96" t="s">
        <v>46</v>
      </c>
      <c r="F26" s="98">
        <v>12</v>
      </c>
      <c r="G26" s="96" t="s">
        <v>46</v>
      </c>
      <c r="H26" s="100"/>
      <c r="I26" s="101"/>
      <c r="J26" s="98">
        <v>14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14</v>
      </c>
      <c r="C27" s="96" t="s">
        <v>47</v>
      </c>
      <c r="D27" s="98"/>
      <c r="E27" s="96" t="s">
        <v>47</v>
      </c>
      <c r="F27" s="98">
        <v>9</v>
      </c>
      <c r="G27" s="96" t="s">
        <v>47</v>
      </c>
      <c r="H27" s="100"/>
      <c r="I27" s="96"/>
      <c r="J27" s="98">
        <v>7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65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60</v>
      </c>
      <c r="V32" s="12"/>
      <c r="W32" s="12"/>
    </row>
    <row r="33" spans="1:23" ht="18">
      <c r="A33" s="34" t="s">
        <v>56</v>
      </c>
      <c r="V33" s="12"/>
      <c r="W33" s="12"/>
    </row>
    <row r="34" spans="1:23" ht="18">
      <c r="A34" s="34" t="s">
        <v>88</v>
      </c>
      <c r="V34" s="12"/>
      <c r="W34" s="12"/>
    </row>
    <row r="35" spans="1:23" ht="18">
      <c r="A35" s="34" t="s">
        <v>49</v>
      </c>
      <c r="V35" s="12"/>
      <c r="W35" s="12"/>
    </row>
    <row r="36" spans="1:23" ht="18">
      <c r="A36" s="34" t="s">
        <v>51</v>
      </c>
      <c r="V36" s="32"/>
      <c r="W36" s="12"/>
    </row>
    <row r="37" spans="1:23" ht="18">
      <c r="A37" s="34" t="s">
        <v>57</v>
      </c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63</v>
      </c>
      <c r="V43" s="12"/>
      <c r="W43" s="12"/>
    </row>
    <row r="44" spans="1:23" ht="18">
      <c r="A44" s="34" t="s">
        <v>67</v>
      </c>
      <c r="V44" s="12"/>
      <c r="W44" s="12"/>
    </row>
    <row r="45" spans="1:23" ht="18">
      <c r="A45" s="34" t="s">
        <v>26</v>
      </c>
      <c r="V45" s="12"/>
      <c r="W45" s="12"/>
    </row>
    <row r="46" spans="1:23" ht="18">
      <c r="A46" s="34" t="s">
        <v>58</v>
      </c>
      <c r="V46" s="12"/>
      <c r="W46" s="12"/>
    </row>
    <row r="47" spans="1:23" ht="18">
      <c r="A47" s="34" t="s">
        <v>94</v>
      </c>
      <c r="V47" s="12"/>
      <c r="W47" s="12"/>
    </row>
    <row r="48" spans="1:23" ht="18">
      <c r="A48" s="34" t="s">
        <v>28</v>
      </c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M52"/>
      <c r="W52" s="12"/>
    </row>
    <row r="53" spans="1:23" ht="15.75">
      <c r="A53" s="5" t="s">
        <v>35</v>
      </c>
      <c r="M53"/>
      <c r="W53" s="12"/>
    </row>
    <row r="54" spans="1:23" ht="18">
      <c r="A54" s="34" t="s">
        <v>28</v>
      </c>
    </row>
    <row r="55" spans="1:23" ht="18">
      <c r="A55" s="34" t="s">
        <v>60</v>
      </c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5.75">
      <c r="A72" s="7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</sheetData>
  <mergeCells count="2">
    <mergeCell ref="B1:M3"/>
    <mergeCell ref="T1:Y25"/>
  </mergeCells>
  <dataValidations count="2">
    <dataValidation type="custom" allowBlank="1" showInputMessage="1" showErrorMessage="1" sqref="A73:A81 A63:A71" xr:uid="{201F3B03-C924-4B48-A5BC-AE6429F789F2}">
      <formula1>"a5:a25"</formula1>
    </dataValidation>
    <dataValidation type="list" allowBlank="1" showInputMessage="1" showErrorMessage="1" sqref="A44:A52 A54:A61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P39"/>
  <sheetViews>
    <sheetView workbookViewId="0">
      <pane xSplit="1" topLeftCell="B1" activePane="topRight" state="frozen"/>
      <selection pane="topRight" activeCell="N9" sqref="N9"/>
    </sheetView>
  </sheetViews>
  <sheetFormatPr defaultColWidth="9.140625" defaultRowHeight="12.75"/>
  <cols>
    <col min="1" max="1" width="47.7109375" style="22" customWidth="1"/>
    <col min="2" max="8" width="23.7109375" style="22" customWidth="1"/>
    <col min="9" max="9" width="19" style="22" customWidth="1"/>
    <col min="10" max="10" width="26.28515625" style="22" customWidth="1"/>
    <col min="11" max="11" width="22.140625" style="22" customWidth="1"/>
    <col min="12" max="16" width="22.7109375" style="22" customWidth="1"/>
    <col min="17" max="16384" width="9.140625" style="22"/>
  </cols>
  <sheetData>
    <row r="1" spans="1:16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</row>
    <row r="2" spans="1:16" ht="15">
      <c r="A2" s="76" t="s">
        <v>103</v>
      </c>
      <c r="B2" s="21"/>
      <c r="C2" s="21"/>
      <c r="D2" s="21"/>
      <c r="E2" s="21"/>
      <c r="F2" s="21"/>
      <c r="G2" s="21"/>
      <c r="H2" s="21"/>
      <c r="I2" s="21"/>
      <c r="J2" s="21"/>
    </row>
    <row r="3" spans="1:16" ht="17.25" customHeight="1">
      <c r="A3" s="76" t="s">
        <v>104</v>
      </c>
      <c r="B3" s="21"/>
      <c r="C3" s="21"/>
      <c r="D3" s="21"/>
      <c r="E3" s="21"/>
      <c r="F3" s="21"/>
      <c r="G3" s="21"/>
      <c r="H3" s="21"/>
      <c r="I3" s="21"/>
      <c r="J3" s="21"/>
    </row>
    <row r="4" spans="1:16" ht="63" customHeight="1">
      <c r="A4" s="51" t="str">
        <f>'[1]MOÇÃO E REQUERIMENTO'!B7</f>
        <v>EXPEDIENTE</v>
      </c>
      <c r="B4" s="50" t="s">
        <v>45</v>
      </c>
      <c r="C4" s="117" t="s">
        <v>105</v>
      </c>
      <c r="D4" s="117" t="s">
        <v>106</v>
      </c>
      <c r="E4" s="117" t="s">
        <v>107</v>
      </c>
      <c r="F4" s="117" t="s">
        <v>108</v>
      </c>
      <c r="G4" s="117" t="s">
        <v>109</v>
      </c>
      <c r="H4" s="117" t="s">
        <v>110</v>
      </c>
      <c r="I4" s="112" t="s">
        <v>34</v>
      </c>
      <c r="J4" s="124"/>
      <c r="K4" s="50" t="s">
        <v>27</v>
      </c>
      <c r="L4" s="84" t="s">
        <v>96</v>
      </c>
      <c r="M4" s="84" t="s">
        <v>111</v>
      </c>
      <c r="N4" s="84" t="s">
        <v>112</v>
      </c>
      <c r="O4" s="84" t="s">
        <v>114</v>
      </c>
      <c r="P4" s="84" t="s">
        <v>115</v>
      </c>
    </row>
    <row r="5" spans="1:16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113"/>
      <c r="L5" s="118" t="s">
        <v>97</v>
      </c>
      <c r="M5" s="113" t="s">
        <v>95</v>
      </c>
      <c r="N5" s="118" t="s">
        <v>113</v>
      </c>
      <c r="O5" s="113" t="s">
        <v>95</v>
      </c>
      <c r="P5" s="118" t="s">
        <v>97</v>
      </c>
    </row>
    <row r="6" spans="1:16" ht="15.75">
      <c r="A6" s="127" t="s">
        <v>51</v>
      </c>
      <c r="K6" s="23"/>
    </row>
    <row r="7" spans="1:16" ht="15.75">
      <c r="A7" s="127" t="s">
        <v>66</v>
      </c>
      <c r="K7" s="23"/>
    </row>
    <row r="8" spans="1:16" ht="15.75">
      <c r="A8" s="127" t="s">
        <v>54</v>
      </c>
      <c r="K8" s="23"/>
    </row>
    <row r="9" spans="1:16" ht="15.75">
      <c r="A9" s="128" t="s">
        <v>55</v>
      </c>
      <c r="K9" s="23"/>
    </row>
    <row r="10" spans="1:16" ht="15.75">
      <c r="A10" s="127" t="s">
        <v>28</v>
      </c>
      <c r="K10" s="23"/>
    </row>
    <row r="11" spans="1:16" ht="15.75">
      <c r="A11" s="127" t="s">
        <v>56</v>
      </c>
      <c r="K11" s="23"/>
    </row>
    <row r="12" spans="1:16" ht="15.75">
      <c r="A12" s="127" t="s">
        <v>22</v>
      </c>
      <c r="K12" s="23"/>
    </row>
    <row r="13" spans="1:16" ht="15.75">
      <c r="A13" s="127" t="s">
        <v>23</v>
      </c>
      <c r="K13" s="23"/>
    </row>
    <row r="14" spans="1:16" ht="15.75">
      <c r="A14" s="127" t="s">
        <v>24</v>
      </c>
      <c r="K14" s="23"/>
    </row>
    <row r="15" spans="1:16" ht="15.75">
      <c r="A15" s="127" t="s">
        <v>57</v>
      </c>
      <c r="K15" s="23"/>
    </row>
    <row r="16" spans="1:16" ht="15.75">
      <c r="A16" s="127" t="s">
        <v>58</v>
      </c>
      <c r="K16" s="23"/>
    </row>
    <row r="17" spans="1:11" ht="15.75">
      <c r="A17" s="127" t="s">
        <v>59</v>
      </c>
      <c r="K17" s="23"/>
    </row>
    <row r="18" spans="1:11" ht="15.75">
      <c r="A18" s="127" t="s">
        <v>25</v>
      </c>
      <c r="K18" s="23"/>
    </row>
    <row r="19" spans="1:11" ht="15.75">
      <c r="A19" s="127" t="s">
        <v>60</v>
      </c>
      <c r="K19" s="23"/>
    </row>
    <row r="20" spans="1:11" ht="15.75">
      <c r="A20" s="127" t="s">
        <v>94</v>
      </c>
      <c r="K20" s="23"/>
    </row>
    <row r="21" spans="1:11" ht="15.75">
      <c r="A21" s="127" t="s">
        <v>26</v>
      </c>
      <c r="K21" s="23"/>
    </row>
    <row r="22" spans="1:11" ht="15.75">
      <c r="A22" s="127" t="s">
        <v>61</v>
      </c>
      <c r="K22" s="23"/>
    </row>
    <row r="23" spans="1:11" ht="15.75">
      <c r="A23" s="127" t="s">
        <v>67</v>
      </c>
      <c r="K23" s="23"/>
    </row>
    <row r="24" spans="1:11" ht="15.75">
      <c r="A24" s="127" t="s">
        <v>49</v>
      </c>
      <c r="K24" s="23"/>
    </row>
    <row r="25" spans="1:11" ht="15.75">
      <c r="A25" s="127" t="s">
        <v>88</v>
      </c>
      <c r="K25" s="23"/>
    </row>
    <row r="26" spans="1:11" ht="15.75">
      <c r="A26" s="127" t="s">
        <v>62</v>
      </c>
      <c r="K26" s="23"/>
    </row>
    <row r="27" spans="1:11" s="25" customFormat="1">
      <c r="A27" s="24" t="s">
        <v>18</v>
      </c>
    </row>
    <row r="28" spans="1:11" s="27" customFormat="1">
      <c r="A28" s="26" t="s">
        <v>19</v>
      </c>
    </row>
    <row r="29" spans="1:11">
      <c r="A29" s="28" t="s">
        <v>11</v>
      </c>
    </row>
    <row r="30" spans="1:11" s="30" customFormat="1">
      <c r="A30" s="29" t="s">
        <v>20</v>
      </c>
    </row>
    <row r="32" spans="1:11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F6" sqref="F6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103</v>
      </c>
      <c r="B2" s="49"/>
      <c r="C2" s="74"/>
    </row>
    <row r="3" spans="1:45" ht="17.25" customHeight="1">
      <c r="A3" s="76" t="s">
        <v>104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116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42"/>
      <c r="D5" s="79"/>
      <c r="E5" s="145" t="s">
        <v>117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/>
      <c r="E6" s="107"/>
      <c r="F6" s="144"/>
    </row>
    <row r="7" spans="1:45" ht="20.25">
      <c r="A7" s="46" t="s">
        <v>66</v>
      </c>
      <c r="C7" s="107"/>
      <c r="E7" s="107"/>
    </row>
    <row r="8" spans="1:45" ht="20.25">
      <c r="A8" s="46" t="s">
        <v>54</v>
      </c>
      <c r="C8" s="107"/>
      <c r="E8" s="107"/>
    </row>
    <row r="9" spans="1:45" ht="20.25">
      <c r="A9" s="82" t="s">
        <v>55</v>
      </c>
      <c r="C9" s="114"/>
      <c r="E9" s="114"/>
    </row>
    <row r="10" spans="1:45" ht="20.25">
      <c r="A10" s="46" t="s">
        <v>28</v>
      </c>
      <c r="C10" s="107"/>
      <c r="E10" s="107"/>
    </row>
    <row r="11" spans="1:45" ht="20.25">
      <c r="A11" s="46" t="s">
        <v>56</v>
      </c>
      <c r="C11" s="107"/>
      <c r="E11" s="107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14"/>
      <c r="E13" s="114"/>
    </row>
    <row r="14" spans="1:45" ht="20.25">
      <c r="A14" s="46" t="s">
        <v>24</v>
      </c>
      <c r="C14" s="107"/>
      <c r="E14" s="107"/>
    </row>
    <row r="15" spans="1:45" ht="20.25">
      <c r="A15" s="46" t="s">
        <v>57</v>
      </c>
      <c r="C15" s="107"/>
      <c r="E15" s="107"/>
    </row>
    <row r="16" spans="1:45" ht="20.25">
      <c r="A16" s="46" t="s">
        <v>58</v>
      </c>
      <c r="C16" s="107"/>
      <c r="E16" s="107"/>
    </row>
    <row r="17" spans="1:130" ht="20.25">
      <c r="A17" s="46" t="s">
        <v>59</v>
      </c>
      <c r="C17" s="114"/>
      <c r="E17" s="107"/>
    </row>
    <row r="18" spans="1:130" ht="20.25">
      <c r="A18" s="46" t="s">
        <v>25</v>
      </c>
      <c r="C18" s="107"/>
      <c r="E18" s="107"/>
    </row>
    <row r="19" spans="1:130" ht="20.25">
      <c r="A19" s="46" t="s">
        <v>60</v>
      </c>
      <c r="C19" s="107"/>
      <c r="E19" s="114"/>
    </row>
    <row r="20" spans="1:130" ht="20.25">
      <c r="A20" s="46" t="s">
        <v>94</v>
      </c>
      <c r="C20" s="107"/>
      <c r="E20" s="107"/>
    </row>
    <row r="21" spans="1:130" ht="20.25">
      <c r="A21" s="46" t="s">
        <v>26</v>
      </c>
      <c r="C21" s="107"/>
      <c r="E21" s="107"/>
    </row>
    <row r="22" spans="1:130" ht="20.25">
      <c r="A22" s="46" t="s">
        <v>61</v>
      </c>
      <c r="C22" s="114"/>
      <c r="E22" s="107"/>
    </row>
    <row r="23" spans="1:130" ht="20.25">
      <c r="A23" s="46" t="s">
        <v>67</v>
      </c>
      <c r="C23" s="114"/>
      <c r="E23" s="107"/>
    </row>
    <row r="24" spans="1:130" ht="20.25">
      <c r="A24" s="46" t="s">
        <v>49</v>
      </c>
      <c r="C24" s="107"/>
      <c r="E24" s="107"/>
    </row>
    <row r="25" spans="1:130" ht="20.25">
      <c r="A25" s="46" t="s">
        <v>88</v>
      </c>
      <c r="C25" s="107"/>
      <c r="E25" s="107"/>
    </row>
    <row r="26" spans="1:130" ht="20.25">
      <c r="A26" s="46" t="s">
        <v>62</v>
      </c>
      <c r="C26" s="107"/>
      <c r="E26" s="114"/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" si="1"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" si="3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4">COUNTIF(C6:C26,"ausente")</f>
        <v>0</v>
      </c>
      <c r="E29" s="40">
        <f t="shared" ref="E29" si="5">COUNTIF(E6:E26,"ausente")</f>
        <v>0</v>
      </c>
    </row>
    <row r="30" spans="1:130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" si="7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E4" sqref="E4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0" t="s">
        <v>5</v>
      </c>
      <c r="B4" s="119" t="s">
        <v>7</v>
      </c>
      <c r="C4" s="139" t="s">
        <v>118</v>
      </c>
      <c r="D4" s="139" t="s">
        <v>102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45" t="s">
        <v>98</v>
      </c>
      <c r="D5" s="145" t="s">
        <v>101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9" t="s">
        <v>51</v>
      </c>
      <c r="C6" s="107" t="s">
        <v>99</v>
      </c>
      <c r="D6" s="107"/>
      <c r="V6" s="7"/>
      <c r="W6" s="7"/>
    </row>
    <row r="7" spans="1:30" ht="18">
      <c r="A7" s="129" t="s">
        <v>66</v>
      </c>
      <c r="C7" s="107" t="s">
        <v>99</v>
      </c>
      <c r="D7" s="107"/>
      <c r="V7" s="7"/>
      <c r="W7" s="7"/>
    </row>
    <row r="8" spans="1:30" ht="18">
      <c r="A8" s="129" t="s">
        <v>54</v>
      </c>
      <c r="C8" s="107" t="s">
        <v>99</v>
      </c>
      <c r="D8" s="114"/>
      <c r="V8" s="7"/>
      <c r="W8" s="7"/>
    </row>
    <row r="9" spans="1:30" ht="18">
      <c r="A9" s="130" t="s">
        <v>55</v>
      </c>
      <c r="C9" s="114" t="s">
        <v>100</v>
      </c>
      <c r="D9" s="114"/>
      <c r="V9" s="7"/>
      <c r="W9" s="7"/>
    </row>
    <row r="10" spans="1:30" ht="18">
      <c r="A10" s="129" t="s">
        <v>28</v>
      </c>
      <c r="C10" s="107" t="s">
        <v>99</v>
      </c>
      <c r="D10" s="107"/>
      <c r="V10" s="7"/>
      <c r="W10" s="7"/>
    </row>
    <row r="11" spans="1:30" ht="18">
      <c r="A11" s="129" t="s">
        <v>56</v>
      </c>
      <c r="C11" s="107" t="s">
        <v>99</v>
      </c>
      <c r="D11" s="107"/>
      <c r="V11" s="7"/>
      <c r="W11" s="7"/>
    </row>
    <row r="12" spans="1:30" ht="18">
      <c r="A12" s="129" t="s">
        <v>22</v>
      </c>
      <c r="C12" s="107" t="s">
        <v>99</v>
      </c>
      <c r="D12" s="114"/>
      <c r="V12" s="7"/>
      <c r="W12" s="7"/>
    </row>
    <row r="13" spans="1:30" ht="18">
      <c r="A13" s="129" t="s">
        <v>23</v>
      </c>
      <c r="C13" s="114" t="s">
        <v>53</v>
      </c>
      <c r="D13" s="114"/>
      <c r="V13" s="7"/>
      <c r="W13" s="7"/>
    </row>
    <row r="14" spans="1:30" ht="18">
      <c r="A14" s="129" t="s">
        <v>24</v>
      </c>
      <c r="C14" s="114" t="s">
        <v>53</v>
      </c>
      <c r="D14" s="107"/>
      <c r="V14" s="7"/>
      <c r="W14" s="7"/>
    </row>
    <row r="15" spans="1:30" ht="18">
      <c r="A15" s="129" t="s">
        <v>57</v>
      </c>
      <c r="C15" s="107" t="s">
        <v>99</v>
      </c>
      <c r="D15" s="114"/>
      <c r="V15" s="7"/>
      <c r="W15" s="7"/>
    </row>
    <row r="16" spans="1:30" ht="18">
      <c r="A16" s="129" t="s">
        <v>58</v>
      </c>
      <c r="C16" s="107" t="s">
        <v>99</v>
      </c>
      <c r="D16" s="114"/>
      <c r="V16" s="7"/>
      <c r="W16" s="7"/>
    </row>
    <row r="17" spans="1:124" ht="15" customHeight="1">
      <c r="A17" s="129" t="s">
        <v>59</v>
      </c>
      <c r="C17" s="107" t="s">
        <v>99</v>
      </c>
      <c r="D17" s="107"/>
      <c r="U17" s="8"/>
      <c r="V17" s="7"/>
      <c r="W17" s="7"/>
    </row>
    <row r="18" spans="1:124" ht="18">
      <c r="A18" s="129" t="s">
        <v>25</v>
      </c>
      <c r="C18" s="114" t="s">
        <v>53</v>
      </c>
      <c r="D18" s="107"/>
      <c r="V18" s="7"/>
      <c r="W18" s="7"/>
    </row>
    <row r="19" spans="1:124" ht="18">
      <c r="A19" s="129" t="s">
        <v>60</v>
      </c>
      <c r="C19" s="107" t="s">
        <v>99</v>
      </c>
      <c r="D19" s="114"/>
      <c r="V19" s="7"/>
      <c r="W19" s="7"/>
    </row>
    <row r="20" spans="1:124" ht="18">
      <c r="A20" s="129" t="s">
        <v>94</v>
      </c>
      <c r="C20" s="107" t="s">
        <v>99</v>
      </c>
      <c r="D20" s="107"/>
      <c r="V20" s="7"/>
      <c r="W20" s="7"/>
    </row>
    <row r="21" spans="1:124" ht="18">
      <c r="A21" s="129" t="s">
        <v>26</v>
      </c>
      <c r="C21" s="114" t="s">
        <v>53</v>
      </c>
      <c r="D21" s="114"/>
      <c r="V21" s="7"/>
      <c r="W21" s="7"/>
    </row>
    <row r="22" spans="1:124" ht="18">
      <c r="A22" s="129" t="s">
        <v>61</v>
      </c>
      <c r="C22" s="107" t="s">
        <v>99</v>
      </c>
      <c r="D22" s="107"/>
      <c r="V22" s="7"/>
      <c r="W22" s="7"/>
    </row>
    <row r="23" spans="1:124" ht="18">
      <c r="A23" s="129" t="s">
        <v>67</v>
      </c>
      <c r="C23" s="107" t="s">
        <v>99</v>
      </c>
      <c r="D23" s="114"/>
      <c r="V23" s="7"/>
      <c r="W23" s="7"/>
    </row>
    <row r="24" spans="1:124" ht="18">
      <c r="A24" s="129" t="s">
        <v>49</v>
      </c>
      <c r="C24" s="107" t="s">
        <v>99</v>
      </c>
      <c r="D24" s="107"/>
      <c r="V24" s="7"/>
      <c r="W24" s="7"/>
    </row>
    <row r="25" spans="1:124" ht="18">
      <c r="A25" s="129" t="s">
        <v>88</v>
      </c>
      <c r="C25" s="107" t="s">
        <v>99</v>
      </c>
      <c r="D25" s="107"/>
      <c r="V25" s="7"/>
      <c r="W25" s="7"/>
    </row>
    <row r="26" spans="1:124" ht="18">
      <c r="A26" s="129" t="s">
        <v>62</v>
      </c>
      <c r="C26" s="107" t="s">
        <v>99</v>
      </c>
      <c r="D26" s="107"/>
      <c r="V26" s="7"/>
      <c r="W26" s="7"/>
    </row>
    <row r="27" spans="1:124" s="16" customFormat="1" ht="15.75">
      <c r="A27" s="15" t="s">
        <v>18</v>
      </c>
      <c r="B27" s="16">
        <f t="shared" ref="B27" si="0">COUNTIF(B6:B26,"sim")</f>
        <v>0</v>
      </c>
      <c r="C27" s="103">
        <f t="shared" ref="C27:D27" si="1">COUNTIF(C6:C26,"sim")</f>
        <v>16</v>
      </c>
      <c r="D27" s="103">
        <f t="shared" si="1"/>
        <v>0</v>
      </c>
      <c r="K27" s="16">
        <f t="shared" ref="K27:AP27" si="2">COUNTIF(K6:K26,"sim")</f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ref="AQ27:BV27" si="3">COUNTIF(AQ6:AQ26,"sim")</f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ref="BW27:DB27" si="4">COUNTIF(BW6:BW26,"sim")</f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ref="DC27:DT27" si="5">COUNTIF(DC6:DC26,"sim")</f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</row>
    <row r="28" spans="1:124" s="18" customFormat="1" ht="15.75">
      <c r="A28" s="17" t="s">
        <v>19</v>
      </c>
      <c r="B28" s="18">
        <f t="shared" ref="B28" si="6">COUNTIF(B6:B26,"não")</f>
        <v>0</v>
      </c>
      <c r="C28" s="104">
        <f t="shared" ref="C28:D28" si="7">COUNTIF(C6:C26,"não")</f>
        <v>0</v>
      </c>
      <c r="D28" s="104">
        <f t="shared" si="7"/>
        <v>0</v>
      </c>
      <c r="K28" s="18">
        <f t="shared" ref="K28:AP28" si="8">COUNTIF(K6:K27,"não")</f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ref="AQ28:BV28" si="9">COUNTIF(AQ6:AQ27,"não")</f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ref="BW28:DB28" si="10">COUNTIF(BW6:BW27,"não")</f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ref="DC28:DT28" si="11">COUNTIF(DC6:DC27,"não")</f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</row>
    <row r="29" spans="1:124" ht="15.75">
      <c r="A29" s="14" t="s">
        <v>11</v>
      </c>
      <c r="B29">
        <f t="shared" ref="B29" si="12">COUNTIF(B6:B26,"ausente")</f>
        <v>0</v>
      </c>
      <c r="C29" s="40">
        <f t="shared" ref="C29:D29" si="13">COUNTIF(C6:C26,"ausente")</f>
        <v>4</v>
      </c>
      <c r="D29" s="40">
        <f t="shared" si="13"/>
        <v>0</v>
      </c>
      <c r="K29">
        <f t="shared" ref="K29:AP29" si="14">COUNTIF(K6:K28,"ausente")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ref="AQ29:BV29" si="15">COUNTIF(AQ6:AQ28,"ausente")</f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ref="BW29:DB29" si="16">COUNTIF(BW6:BW28,"ausente")</f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ref="DC29:DT29" si="17">COUNTIF(DC6:DC28,"ausente")</f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</row>
    <row r="30" spans="1:124" s="20" customFormat="1" ht="15.75">
      <c r="A30" s="19" t="s">
        <v>20</v>
      </c>
      <c r="B30" s="20">
        <f t="shared" ref="B30" si="18">COUNTIF(B6:B26,"abstenção")</f>
        <v>0</v>
      </c>
      <c r="C30" s="105">
        <f t="shared" ref="C30:D30" si="19">COUNTIF(C6:C26,"abstenção")</f>
        <v>0</v>
      </c>
      <c r="D30" s="105">
        <f t="shared" si="19"/>
        <v>0</v>
      </c>
      <c r="K30" s="20">
        <f t="shared" ref="K30:AP30" si="20">COUNTIF(K10:K29,"abstenção")</f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ref="AQ30:BI30" si="21">COUNTIF(AQ10:AQ29,"abstenção")</f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ref="BJ30:DT30" si="22">COUNTIF(BJ10:BJ29,"abstenção")</f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workbookViewId="0">
      <pane xSplit="1" topLeftCell="B1" activePane="topRight" state="frozen"/>
      <selection pane="topRight" activeCell="G20" sqref="G20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6" t="s">
        <v>8</v>
      </c>
      <c r="B1" s="2"/>
    </row>
    <row r="2" spans="1:4">
      <c r="A2" s="76" t="s">
        <v>103</v>
      </c>
      <c r="B2" s="2"/>
    </row>
    <row r="3" spans="1:4" ht="15.75" thickBot="1">
      <c r="A3" s="121" t="s">
        <v>104</v>
      </c>
      <c r="B3" s="2"/>
    </row>
    <row r="4" spans="1:4" ht="78.75" customHeight="1" thickBot="1">
      <c r="A4" s="120" t="s">
        <v>5</v>
      </c>
      <c r="B4" s="111" t="s">
        <v>21</v>
      </c>
      <c r="C4" s="139" t="s">
        <v>119</v>
      </c>
      <c r="D4" s="139" t="s">
        <v>120</v>
      </c>
    </row>
    <row r="5" spans="1:4" s="6" customFormat="1" ht="60.75" customHeight="1">
      <c r="A5" s="122"/>
      <c r="B5" s="111"/>
      <c r="C5" s="145" t="s">
        <v>98</v>
      </c>
      <c r="D5" s="145" t="s">
        <v>98</v>
      </c>
    </row>
    <row r="6" spans="1:4" ht="15.75">
      <c r="A6" s="127" t="s">
        <v>51</v>
      </c>
      <c r="C6" s="107" t="s">
        <v>99</v>
      </c>
      <c r="D6" s="107" t="s">
        <v>99</v>
      </c>
    </row>
    <row r="7" spans="1:4" ht="15.75">
      <c r="A7" s="127" t="s">
        <v>66</v>
      </c>
      <c r="C7" s="107" t="s">
        <v>99</v>
      </c>
      <c r="D7" s="107" t="s">
        <v>99</v>
      </c>
    </row>
    <row r="8" spans="1:4" ht="15.75">
      <c r="A8" s="127" t="s">
        <v>54</v>
      </c>
      <c r="C8" s="107" t="s">
        <v>99</v>
      </c>
      <c r="D8" s="107" t="s">
        <v>99</v>
      </c>
    </row>
    <row r="9" spans="1:4" ht="15.75">
      <c r="A9" s="128" t="s">
        <v>55</v>
      </c>
      <c r="C9" s="114" t="s">
        <v>53</v>
      </c>
      <c r="D9" s="114" t="s">
        <v>53</v>
      </c>
    </row>
    <row r="10" spans="1:4" ht="15.75">
      <c r="A10" s="127" t="s">
        <v>28</v>
      </c>
      <c r="C10" s="107" t="s">
        <v>99</v>
      </c>
      <c r="D10" s="107" t="s">
        <v>99</v>
      </c>
    </row>
    <row r="11" spans="1:4" ht="15.75">
      <c r="A11" s="127" t="s">
        <v>56</v>
      </c>
      <c r="C11" s="107" t="s">
        <v>99</v>
      </c>
      <c r="D11" s="107" t="s">
        <v>99</v>
      </c>
    </row>
    <row r="12" spans="1:4" ht="15.75">
      <c r="A12" s="127" t="s">
        <v>22</v>
      </c>
      <c r="C12" s="107" t="s">
        <v>99</v>
      </c>
      <c r="D12" s="107" t="s">
        <v>99</v>
      </c>
    </row>
    <row r="13" spans="1:4" ht="15.75">
      <c r="A13" s="127" t="s">
        <v>23</v>
      </c>
      <c r="B13" s="138"/>
      <c r="C13" s="114" t="s">
        <v>53</v>
      </c>
      <c r="D13" s="114" t="s">
        <v>53</v>
      </c>
    </row>
    <row r="14" spans="1:4" ht="15.75">
      <c r="A14" s="127" t="s">
        <v>24</v>
      </c>
      <c r="C14" s="114" t="s">
        <v>53</v>
      </c>
      <c r="D14" s="114" t="s">
        <v>53</v>
      </c>
    </row>
    <row r="15" spans="1:4" ht="15.75">
      <c r="A15" s="127" t="s">
        <v>57</v>
      </c>
      <c r="C15" s="107" t="s">
        <v>99</v>
      </c>
      <c r="D15" s="107" t="s">
        <v>99</v>
      </c>
    </row>
    <row r="16" spans="1:4" ht="15.75">
      <c r="A16" s="127" t="s">
        <v>58</v>
      </c>
      <c r="C16" s="107" t="s">
        <v>99</v>
      </c>
      <c r="D16" s="107" t="s">
        <v>99</v>
      </c>
    </row>
    <row r="17" spans="1:4" ht="15.75">
      <c r="A17" s="127" t="s">
        <v>59</v>
      </c>
      <c r="C17" s="107" t="s">
        <v>99</v>
      </c>
      <c r="D17" s="107" t="s">
        <v>99</v>
      </c>
    </row>
    <row r="18" spans="1:4" ht="15.75">
      <c r="A18" s="127" t="s">
        <v>25</v>
      </c>
      <c r="C18" s="114" t="s">
        <v>53</v>
      </c>
      <c r="D18" s="114" t="s">
        <v>53</v>
      </c>
    </row>
    <row r="19" spans="1:4" ht="15.75">
      <c r="A19" s="127" t="s">
        <v>60</v>
      </c>
      <c r="C19" s="107" t="s">
        <v>99</v>
      </c>
      <c r="D19" s="107" t="s">
        <v>99</v>
      </c>
    </row>
    <row r="20" spans="1:4" ht="15.75">
      <c r="A20" s="127" t="s">
        <v>94</v>
      </c>
      <c r="C20" s="107" t="s">
        <v>99</v>
      </c>
      <c r="D20" s="107" t="s">
        <v>99</v>
      </c>
    </row>
    <row r="21" spans="1:4" ht="15.75">
      <c r="A21" s="127" t="s">
        <v>26</v>
      </c>
      <c r="C21" s="114" t="s">
        <v>53</v>
      </c>
      <c r="D21" s="114" t="s">
        <v>53</v>
      </c>
    </row>
    <row r="22" spans="1:4" ht="15.75">
      <c r="A22" s="127" t="s">
        <v>61</v>
      </c>
      <c r="C22" s="107" t="s">
        <v>99</v>
      </c>
      <c r="D22" s="107" t="s">
        <v>99</v>
      </c>
    </row>
    <row r="23" spans="1:4" ht="15.75">
      <c r="A23" s="127" t="s">
        <v>67</v>
      </c>
      <c r="C23" s="107" t="s">
        <v>99</v>
      </c>
      <c r="D23" s="107" t="s">
        <v>99</v>
      </c>
    </row>
    <row r="24" spans="1:4" ht="15.75">
      <c r="A24" s="127" t="s">
        <v>49</v>
      </c>
      <c r="C24" s="107" t="s">
        <v>99</v>
      </c>
      <c r="D24" s="107" t="s">
        <v>99</v>
      </c>
    </row>
    <row r="25" spans="1:4" ht="15.75">
      <c r="A25" s="127" t="s">
        <v>88</v>
      </c>
      <c r="C25" s="107" t="s">
        <v>99</v>
      </c>
      <c r="D25" s="107" t="s">
        <v>99</v>
      </c>
    </row>
    <row r="26" spans="1:4" ht="15.75">
      <c r="A26" s="127" t="s">
        <v>62</v>
      </c>
      <c r="C26" s="107" t="s">
        <v>99</v>
      </c>
      <c r="D26" s="107" t="s">
        <v>99</v>
      </c>
    </row>
    <row r="27" spans="1:4">
      <c r="C27" s="107" t="s">
        <v>99</v>
      </c>
      <c r="D27" s="107" t="s">
        <v>99</v>
      </c>
    </row>
    <row r="28" spans="1:4" ht="15.75">
      <c r="A28" s="15" t="s">
        <v>18</v>
      </c>
      <c r="B28" s="16">
        <f>COUNTIF(B6:B26,"sim")</f>
        <v>0</v>
      </c>
      <c r="C28" s="103">
        <f t="shared" ref="C28:D28" si="0">COUNTIF(C6:C26,"sim")</f>
        <v>16</v>
      </c>
      <c r="D28" s="103">
        <f t="shared" si="0"/>
        <v>16</v>
      </c>
    </row>
    <row r="29" spans="1:4" ht="15.75">
      <c r="A29" s="17" t="s">
        <v>19</v>
      </c>
      <c r="B29" s="18">
        <f>COUNTIF(B6:B26,"não")</f>
        <v>0</v>
      </c>
      <c r="C29" s="104">
        <f t="shared" ref="C29:D29" si="1">COUNTIF(C6:C26,"não")</f>
        <v>0</v>
      </c>
      <c r="D29" s="104">
        <f t="shared" si="1"/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:D30" si="2">COUNTIF(C6:C26,"ausente")</f>
        <v>5</v>
      </c>
      <c r="D30" s="40">
        <f t="shared" si="2"/>
        <v>5</v>
      </c>
    </row>
    <row r="31" spans="1:4" ht="15.75">
      <c r="A31" s="19" t="s">
        <v>20</v>
      </c>
      <c r="B31" s="20">
        <f>COUNTIF(B6:B26,"abstenção")</f>
        <v>0</v>
      </c>
      <c r="C31" s="105">
        <f t="shared" ref="C31:D31" si="3">COUNTIF(C6:C26,"abstenção")</f>
        <v>0</v>
      </c>
      <c r="D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103</v>
      </c>
      <c r="B2" s="2"/>
      <c r="C2" s="54"/>
      <c r="D2" s="54"/>
      <c r="E2" s="54"/>
    </row>
    <row r="3" spans="1:10" ht="15.75" thickBot="1">
      <c r="A3" s="121" t="s">
        <v>104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3" t="s">
        <v>89</v>
      </c>
      <c r="G4" s="143" t="s">
        <v>90</v>
      </c>
      <c r="H4" s="143" t="s">
        <v>91</v>
      </c>
      <c r="I4" s="143" t="s">
        <v>92</v>
      </c>
      <c r="J4" s="143" t="s">
        <v>93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66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94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67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88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103</v>
      </c>
      <c r="B2" s="2"/>
    </row>
    <row r="3" spans="1:23">
      <c r="A3" s="76" t="s">
        <v>104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68</v>
      </c>
      <c r="E4" s="106" t="s">
        <v>69</v>
      </c>
      <c r="F4" s="106" t="s">
        <v>70</v>
      </c>
      <c r="G4" s="106" t="s">
        <v>71</v>
      </c>
      <c r="H4" s="106" t="s">
        <v>72</v>
      </c>
      <c r="I4" s="106" t="s">
        <v>73</v>
      </c>
      <c r="J4" s="106" t="s">
        <v>74</v>
      </c>
      <c r="K4" s="106" t="s">
        <v>75</v>
      </c>
      <c r="L4" s="106" t="s">
        <v>76</v>
      </c>
      <c r="M4" s="106" t="s">
        <v>77</v>
      </c>
      <c r="N4" s="106" t="s">
        <v>78</v>
      </c>
      <c r="O4" s="106" t="s">
        <v>79</v>
      </c>
      <c r="P4" s="106" t="s">
        <v>80</v>
      </c>
      <c r="Q4" s="106" t="s">
        <v>81</v>
      </c>
      <c r="R4" s="106" t="s">
        <v>82</v>
      </c>
      <c r="S4" s="106" t="s">
        <v>83</v>
      </c>
      <c r="T4" s="106" t="s">
        <v>84</v>
      </c>
      <c r="U4" s="106" t="s">
        <v>85</v>
      </c>
      <c r="V4" s="106" t="s">
        <v>86</v>
      </c>
      <c r="W4" s="106" t="s">
        <v>87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66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94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67</v>
      </c>
    </row>
    <row r="24" spans="1:23" ht="15.75">
      <c r="A24" s="127" t="s">
        <v>49</v>
      </c>
    </row>
    <row r="25" spans="1:23" ht="15.75">
      <c r="A25" s="127" t="s">
        <v>88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2026-03-04T21:11:56Z</dcterms:modified>
</cp:coreProperties>
</file>