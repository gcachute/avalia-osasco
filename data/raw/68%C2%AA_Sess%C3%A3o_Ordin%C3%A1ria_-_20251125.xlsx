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E83A700-17F7-4BB1-B6ED-BDD4547630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D27" i="3"/>
  <c r="D28" i="3"/>
  <c r="D29" i="3"/>
  <c r="D30" i="3"/>
  <c r="C27" i="3"/>
  <c r="C28" i="3"/>
  <c r="C29" i="3"/>
  <c r="C30" i="3"/>
  <c r="F27" i="2"/>
  <c r="F28" i="2"/>
  <c r="F29" i="2"/>
  <c r="F30" i="2"/>
  <c r="A4" i="14" l="1"/>
  <c r="C28" i="10"/>
  <c r="C29" i="10"/>
  <c r="C30" i="10"/>
  <c r="C31" i="10"/>
  <c r="C27" i="2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<sst xmlns="http://schemas.openxmlformats.org/spreadsheetml/2006/main" count="464" uniqueCount="136">
  <si>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</si>
  <si>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</si>
  <si>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</si>
  <si>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</si>
  <si>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</si>
  <si>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</si>
  <si>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</si>
  <si>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</si>
  <si>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</si>
  <si>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</si>
  <si>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</si>
  <si>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</si>
  <si>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</si>
  <si>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</si>
  <si>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</si>
  <si>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</si>
  <si>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</si>
  <si>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</si>
  <si>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</si>
  <si>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</si>
  <si>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</si>
  <si>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</si>
  <si>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</si>
  <si>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</si>
  <si>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</si>
  <si>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</si>
  <si>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</si>
  <si>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</si>
  <si>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</si>
  <si>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</si>
  <si>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</si>
  <si>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</si>
  <si>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</si>
  <si>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</si>
  <si>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</si>
  <si>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</si>
  <si>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</si>
  <si>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</si>
  <si>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</si>
  <si>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</si>
  <si>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</si>
  <si>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</si>
  <si>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</si>
  <si>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</si>
  <si>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</si>
  <si>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</si>
  <si>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</si>
  <si>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</si>
  <si>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</si>
  <si>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</si>
  <si>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</si>
  <si>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</si>
  <si>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</si>
  <si>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</si>
  <si>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</si>
  <si>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</si>
  <si>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</si>
  <si>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</si>
  <si>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</si>
  <si>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</si>
  <si>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</si>
  <si>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</si>
  <si>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</si>
  <si>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</si>
  <si>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</si>
  <si>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</si>
  <si>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</si>
  <si>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</si>
  <si>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</si>
  <si>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Ralfi Silva</t>
  </si>
  <si>
    <t>APROVADO</t>
  </si>
  <si>
    <t>pela ausência do autor, será pautada na próxima sessão.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</si>
  <si>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</si>
  <si>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</si>
  <si>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</si>
  <si>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</si>
  <si>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</si>
  <si>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</si>
  <si>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</si>
  <si>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</si>
  <si>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</si>
  <si>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</si>
  <si>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</si>
  <si>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</si>
  <si>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</si>
  <si>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</si>
  <si>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</si>
  <si>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</si>
  <si>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</si>
  <si>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</si>
  <si>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</si>
  <si>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</si>
  <si>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</si>
  <si>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</si>
  <si>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</si>
  <si>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</si>
  <si>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</si>
  <si>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Rodolfo Cara</t>
  </si>
  <si>
    <t>na presidência</t>
  </si>
  <si>
    <r>
      <t xml:space="preserve">MOÇÃO DE RECONHECIMENTO Nº 552/2025 – GABRIEL SAÚDE – </t>
    </r>
    <r>
      <rPr>
        <sz val="11"/>
        <color theme="1"/>
        <rFont val="Arial"/>
        <family val="2"/>
      </rPr>
      <t>Ao Senhor Francisco das Chagas de Moura, pela bela história de superação e determinação.</t>
    </r>
  </si>
  <si>
    <r>
      <t xml:space="preserve">MOÇÃO DE CONGRATULAÇÕES Nº 555/2025 – ELSA OLIVEIRA – </t>
    </r>
    <r>
      <rPr>
        <sz val="11"/>
        <color theme="1"/>
        <rFont val="Arial"/>
        <family val="2"/>
      </rPr>
      <t>Ao servidor Paulo César Neves Magalhães pelos 33 anos de dedicação e relevantes serviços prestados à Câmara Municipal de Osasco.</t>
    </r>
  </si>
  <si>
    <t>esgotado o tempo regimental, será pautada na próxima sessão</t>
  </si>
  <si>
    <r>
      <t xml:space="preserve">MOÇÃO DE PESAR Nº 556/2025 – HEBER DO JUNTOZ – </t>
    </r>
    <r>
      <rPr>
        <sz val="11"/>
        <color theme="1"/>
        <rFont val="Arial"/>
        <family val="2"/>
      </rPr>
      <t>Pelo falecimento da Clara Charf, militante histórica dos direitos humanos e das mulheres, aos 100 anos.</t>
    </r>
  </si>
  <si>
    <r>
      <t xml:space="preserve">MOÇÃO DE CONGRATULAÇÕES Nº 563/2025 – DELBIO TERUEL – </t>
    </r>
    <r>
      <rPr>
        <sz val="11"/>
        <color theme="1"/>
        <rFont val="Arial"/>
        <family val="2"/>
      </rPr>
      <t>Para os supermercadistas paulistas pela passagem do Dia Estadual do Supermercadista, celebrado em 12 de novembro, pela relevância econômica e social do setor para o abastecimento, o emprego e a renda no Estado de São Paulo e no Município de Osasco.</t>
    </r>
  </si>
  <si>
    <r>
      <t xml:space="preserve">MOÇÃO DE APLAUSO Nº 566/2025 – DELBIO TERUEL – </t>
    </r>
    <r>
      <rPr>
        <sz val="11"/>
        <color theme="1"/>
        <rFont val="Arial"/>
        <family val="2"/>
      </rPr>
      <t>À Ouvidoria Geral do Município de Osasco, ao Departamento de Transparência da Controladoria Geral do Município e à Secretaria de Finanças, pela conquista de destaque no Índice de Transparência e Governança Pública (ITGP), posicionando Osasco entre as três melhores cidades do país e a primeira colocada do CIOESTE, reafirmando o compromisso institucional com a ética, a transparência, a integridade e o serviço público de qualidade.</t>
    </r>
  </si>
  <si>
    <r>
      <t xml:space="preserve">APROVADO
</t>
    </r>
    <r>
      <rPr>
        <b/>
        <sz val="16"/>
        <color rgb="FF00B050"/>
        <rFont val="Arial"/>
        <family val="2"/>
      </rPr>
      <t>VOTAÇÃO SIMBÓLICA</t>
    </r>
  </si>
  <si>
    <t>68ª SESSÃO ORDINÁRIA</t>
  </si>
  <si>
    <t>DIA 25 DE NOVEMBRO DE 2025 - TERÇA-FEIRA</t>
  </si>
  <si>
    <t>Justificativa de ausência do Vereador Josias da Juco.</t>
  </si>
  <si>
    <r>
      <t xml:space="preserve">Substitutivo nº 10/2025 ao Projeto de Lei nº 200/2025 – Prefeito do Município de Osasco – </t>
    </r>
    <r>
      <rPr>
        <sz val="12"/>
        <color rgb="FF000000"/>
        <rFont val="Calibri"/>
        <family val="2"/>
      </rPr>
      <t>Estima a Receita e Fixa a Despesa da Administração Direta e Indireta no Município de Osasco para o exercício de 2026, na forma que especifica.</t>
    </r>
  </si>
  <si>
    <r>
      <t>Ofício Prolegis nº 202503232850 – Prefeito do Município de Osasco –</t>
    </r>
    <r>
      <rPr>
        <sz val="12"/>
        <color rgb="FF000000"/>
        <rFont val="Calibri"/>
        <family val="2"/>
      </rPr>
      <t xml:space="preserve"> Informa a sanção da Lei nº 5.435, de 17 de novembro de 2025, referente ao Projeto de Lei nº 148/2025 de autoria do Vereador Alexandre Capriotti, que institui, no calendário oficial do Município de Osasco, a Campanha “Todos contra a FIV e FELV” de conscientização sobre a Imunodeficiência Viral Felina FIV e a Leucemia Viral Felina – FELV.</t>
    </r>
  </si>
  <si>
    <r>
      <t xml:space="preserve">Decretos nº 14.905, 14.906, 14.908, 14.909, 14.910, 14.912 e 14.915, de novembro de 2025 – Prefeito do Município de Osasco – </t>
    </r>
    <r>
      <rPr>
        <sz val="12"/>
        <color rgb="FF000000"/>
        <rFont val="Calibri"/>
        <family val="2"/>
      </rPr>
      <t xml:space="preserve">Dispõe sobre a abertura de crédito adicional suplementar ao orçamento vigente e dá outras providências. </t>
    </r>
  </si>
  <si>
    <r>
      <t xml:space="preserve">Decretos nº 14.907, 14.911, 14.913, de novembro de 2025 – Prefeito do Município de Osasco – </t>
    </r>
    <r>
      <rPr>
        <sz val="12"/>
        <color rgb="FF000000"/>
        <rFont val="Calibri"/>
        <family val="2"/>
      </rPr>
      <t xml:space="preserve">Dispõe sobre a abertura de crédito adicional especial ao orçamento vigente e dá outras providências. </t>
    </r>
  </si>
  <si>
    <r>
      <t>Decreto nº 14.914 de 14 de novembro de 2025 – Prefeito do Município de Osasco –</t>
    </r>
    <r>
      <rPr>
        <sz val="12"/>
        <color rgb="FF000000"/>
        <rFont val="Calibri"/>
        <family val="2"/>
      </rPr>
      <t xml:space="preserve"> Revoga o Decreto nº 14.867, de 21 de outubro de 2025, que dispõe sobre abertura de crédito adicional especial ao orçamento vigente.</t>
    </r>
  </si>
  <si>
    <r>
      <t xml:space="preserve">Projeto de Lei nº 215/2025 – Pedrinho Cantagessi - </t>
    </r>
    <r>
      <rPr>
        <sz val="12"/>
        <color rgb="FF000000"/>
        <rFont val="Calibri"/>
        <family val="2"/>
      </rPr>
      <t>Autoriza a Guarda Civil Municipal de Osasco a utilizar Armas Eletroeletrônicas de Incapacitação Neuromuscular (AINM — “taser”), em conformidade com a legislação e normas federais aplicáveis, e dá outras providências.</t>
    </r>
  </si>
  <si>
    <r>
      <t xml:space="preserve">Projeto de Decreto Legislativo nº 82/2025 – Laércio Mendonça – </t>
    </r>
    <r>
      <rPr>
        <sz val="12"/>
        <color rgb="FF000000"/>
        <rFont val="Calibri"/>
        <family val="2"/>
      </rPr>
      <t>Dispõe sobre a concessão de placa comemorativa ao Colégio São Gabriel.</t>
    </r>
  </si>
  <si>
    <r>
      <t xml:space="preserve">Projeto de Decreto Legislativo nº 83/2025 – Laércio Mendonça – </t>
    </r>
    <r>
      <rPr>
        <sz val="12"/>
        <color rgb="FF000000"/>
        <rFont val="Calibri"/>
        <family val="2"/>
      </rPr>
      <t>Concede o diploma “Força de Segurança de Destaque” ao inspetor regional Paulo Siqueira, subcomandante da guarda civil municipal de Osasco, em reconhecimento à sua destacada trajetória profissional, liderança, inovação na gestão da corporação e relevantes serviços prestados à segurança pública e à comunidade.</t>
    </r>
  </si>
  <si>
    <r>
      <t xml:space="preserve">Projeto de Decreto Legislativo nº 84/2025 – Délbio Teruel – </t>
    </r>
    <r>
      <rPr>
        <sz val="12"/>
        <color rgb="FF000000"/>
        <rFont val="Calibri"/>
        <family val="2"/>
      </rPr>
      <t>Dispõe sobre a concessão de placa comemorativa ao Colégio Dom Henrique Km 18.</t>
    </r>
  </si>
  <si>
    <r>
      <t xml:space="preserve">MOÇÃO DE APOIO Nº 558/2025 – GABRIEL SAÚDE – </t>
    </r>
    <r>
      <rPr>
        <sz val="11"/>
        <color theme="1"/>
        <rFont val="Arial"/>
        <family val="2"/>
      </rPr>
      <t>Ao Dia Nacional de Atenção à Dislexia, comemorado em 16 de novembro, data instituída pela Lei Federal nº 13.085/2015, que tem por objetivo promover a conscientização sobre esse importante transtorno de aprendizagem, bem como divulgar informações que contribuam para o diagnóstico e tratamento precoces.</t>
    </r>
  </si>
  <si>
    <r>
      <t>MOÇÃO DE AGRADECIMENTO Nº 559/2025 – GABRIEL SAÚDE –</t>
    </r>
    <r>
      <rPr>
        <sz val="11"/>
        <color theme="1"/>
        <rFont val="Arial"/>
        <family val="2"/>
      </rPr>
      <t xml:space="preserve"> Ao Excelentíssimo Senhor Prefeito Gerson Pessoa para manifestar agradecimento desta Câmara pela implantação do guard rail ao longo da calçada da Avenida dos Autonomistas, no Km 18.</t>
    </r>
  </si>
  <si>
    <r>
      <t>MOÇÃO DE APLAUSO Nº 561/2025 – RODOLFO CARA –</t>
    </r>
    <r>
      <rPr>
        <sz val="11"/>
        <color theme="1"/>
        <rFont val="Arial"/>
        <family val="2"/>
      </rPr>
      <t xml:space="preserve"> À Professora Patrícia Hernandez por sua dedicação, competência profissional e relevantes serviços prestados à população osasquense.</t>
    </r>
  </si>
  <si>
    <r>
      <t>MOÇÃO DE RECONHECIMENTO Nº 567/2025 – LAÉRCIO MENDONÇA –</t>
    </r>
    <r>
      <rPr>
        <sz val="11"/>
        <color theme="1"/>
        <rFont val="Arial"/>
        <family val="2"/>
      </rPr>
      <t xml:space="preserve"> Para os DJ'S de Osasco, em homenagem à trajetória marcante e aos relevantes serviços prestados à cultura, ao entretenimento e à valorização artística do município.</t>
    </r>
  </si>
  <si>
    <r>
      <t xml:space="preserve">MOÇÃO DE APLAUSO Nº 568/2025 – RODOLFO CARA – </t>
    </r>
    <r>
      <rPr>
        <sz val="11"/>
        <color theme="1"/>
        <rFont val="Arial"/>
        <family val="2"/>
      </rPr>
      <t>Ao Sr. Gilberto Severino de Almeida pelo prêmio Troféu Mceys Meritus Cultural 2025, no qual recebeu o 1º lugar na categoria Jornalismo.</t>
    </r>
  </si>
  <si>
    <r>
      <t xml:space="preserve">MOÇÃO DE RECONHECIMENTO Nº 569/2025 – STEPHANE ROSSI – </t>
    </r>
    <r>
      <rPr>
        <sz val="11"/>
        <color theme="1"/>
        <rFont val="Arial"/>
        <family val="2"/>
      </rPr>
      <t>Para a Secretaria de Educação do Município de Osasco pelo projeto Oficina de Saberes, desenvolvido para oferecer atendimento de pessoas com deficiências, visando o desenvolvimento de potencialidades, talentos, habilidades e aptidões físicas, cognitivas, artísticas e atitudinais, que contribuam para a conquista da autonomia, socialização e inclusão social.</t>
    </r>
  </si>
  <si>
    <r>
      <t xml:space="preserve">MOÇÃO DE RECONHECIMENTO Nº 570/2025 – LAÉRCIO MENDONÇA – </t>
    </r>
    <r>
      <rPr>
        <sz val="11"/>
        <color theme="1"/>
        <rFont val="Arial"/>
        <family val="2"/>
      </rPr>
      <t>Para o professor Rogério Lara Longhini, em razão de sua destacada contribuição ao esporte e à formação humana por meio da prática e ensino do Jiu-Jitsu em nossa cidade.</t>
    </r>
  </si>
  <si>
    <r>
      <t xml:space="preserve">MOÇÃO DE APLAUSO Nº 571/2025 – LAÉRCIO MENDONÇA – </t>
    </r>
    <r>
      <rPr>
        <sz val="11"/>
        <color theme="1"/>
        <rFont val="Arial"/>
        <family val="2"/>
      </rPr>
      <t>Ao Município de Osasco pela conquista do primeiro lugar no Anciti Awards 2025, a mais importante premiação nacional voltada ao reconhecimento das cidades brasileiras que se destacam em inovação, tecnologia e inteligência urbana.</t>
    </r>
  </si>
  <si>
    <r>
      <t>MOÇÃO DE CONGRATULAÇÕES Nº 572/2025 – DELBIO TERUEL –</t>
    </r>
    <r>
      <rPr>
        <sz val="11"/>
        <color theme="1"/>
        <rFont val="Arial"/>
        <family val="2"/>
      </rPr>
      <t xml:space="preserve"> Para João Velloza pelo extraordinário bicampeonato mundial de Judô Veteranos, conquistado no Campeonato Mundial de Judô realizado em Paris, entre os dias 3 e 7 de novembro.</t>
    </r>
  </si>
  <si>
    <r>
      <t>MOÇÃO DE APELO Nº 573/2025 – PEDRINHO CANTAGESSI –</t>
    </r>
    <r>
      <rPr>
        <sz val="11"/>
        <color theme="1"/>
        <rFont val="Arial"/>
        <family val="2"/>
      </rPr>
      <t xml:space="preserve"> À Secretaria de Esportes para que implante um Complexo Aquático na Zona Norte da cidade.</t>
    </r>
  </si>
  <si>
    <r>
      <t xml:space="preserve">MOÇÃO DE REPÚDIO Nº 574/2025 – STEPHANE ROSSI –  </t>
    </r>
    <r>
      <rPr>
        <sz val="11"/>
        <color theme="1"/>
        <rFont val="Arial"/>
        <family val="2"/>
      </rPr>
      <t>Por mais um crime de feminicídio cometido contra a professora Catarina Kasten, em
Florianópolis (SC).</t>
    </r>
  </si>
  <si>
    <r>
      <t xml:space="preserve">PROJETO DE LEI COMPLEMENTAR 12/2025 – PREFEITO DO MUNICÍPIO DE OSASCO – </t>
    </r>
    <r>
      <rPr>
        <sz val="14"/>
        <color theme="1"/>
        <rFont val="Arial"/>
        <family val="2"/>
      </rPr>
      <t>Altera a Lei Complementar nº 299, de 31 de agosto de 2015, que instituiu o Abono de Atividade Complementar da Guarda Civil Municipal.</t>
    </r>
  </si>
  <si>
    <r>
      <t>PROJETO DE LEI Nº 129/2025 - STEPHANE ROSSI –</t>
    </r>
    <r>
      <rPr>
        <sz val="14"/>
        <color theme="1"/>
        <rFont val="Arial"/>
        <family val="2"/>
      </rPr>
      <t xml:space="preserve"> Institui o Dia Roxo – Dia Municipal de Conscientização sobre a Epilepsia. </t>
    </r>
  </si>
  <si>
    <r>
      <t>PROJETO DE RESOLUÇÃO Nº 11/2025 - ALEXANDRE CAPRIOTTI –</t>
    </r>
    <r>
      <rPr>
        <sz val="11"/>
        <color theme="1"/>
        <rFont val="Arial"/>
        <family val="2"/>
      </rPr>
      <t xml:space="preserve"> Dispõe sobre a criação da Procuradoria Especial contra maus-tratos a animais na Câmara Municipal de Osasco.</t>
    </r>
  </si>
  <si>
    <r>
      <t xml:space="preserve">PROJETO DE RESOLUÇÃO Nº 6/2025 - JOSIAS DA JUCO – </t>
    </r>
    <r>
      <rPr>
        <sz val="11"/>
        <color theme="1"/>
        <rFont val="Arial"/>
        <family val="2"/>
      </rPr>
      <t>Institui o Programa Nossa História no âmbito da Câmara Municipal de Osasco e dá outras providências.</t>
    </r>
  </si>
  <si>
    <t>pela ausência do autor, será pautado na próxima sessão.</t>
  </si>
  <si>
    <r>
      <t xml:space="preserve">PROJETO DE DECRETO LEGISLATIVO Nº 55/2025 – ELSA OLIVEIRA - </t>
    </r>
    <r>
      <rPr>
        <sz val="11"/>
        <color theme="1"/>
        <rFont val="Arial"/>
        <family val="2"/>
      </rPr>
      <t>Dispõe sobre a concessão de Título de Cidadã Osasquense à Senhora Maria Helena Dias.</t>
    </r>
  </si>
  <si>
    <t>pela ausência da autora, será pautado na próxima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</si>
</sst>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sz val="12"/>
      <color rgb="FF000000"/>
      <name val="Calibri"/>
      <family val="2"/>
    </font>
    <font>
      <b/>
      <sz val="2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9"/>
  <sheetViews>
    <sheetView tabSelected="1" zoomScale="70" zoomScaleNormal="70" workbookViewId="0">
      <selection activeCell="J28" sqref="J28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106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107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68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2</v>
      </c>
      <c r="K11" s="102" t="s">
        <v>53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2</v>
      </c>
      <c r="G17" s="102" t="s">
        <v>53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2</v>
      </c>
      <c r="G18" s="102" t="s">
        <v>53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97</v>
      </c>
      <c r="B19" s="88">
        <v>1</v>
      </c>
      <c r="C19" s="62" t="s">
        <v>52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1</v>
      </c>
      <c r="G20" s="62" t="s">
        <v>52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69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1</v>
      </c>
      <c r="G23" s="62" t="s">
        <v>52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92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12</v>
      </c>
      <c r="C26" s="96" t="s">
        <v>46</v>
      </c>
      <c r="D26" s="98"/>
      <c r="E26" s="96" t="s">
        <v>46</v>
      </c>
      <c r="F26" s="98">
        <v>15</v>
      </c>
      <c r="G26" s="96" t="s">
        <v>46</v>
      </c>
      <c r="H26" s="100"/>
      <c r="I26" s="101"/>
      <c r="J26" s="98">
        <v>17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4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26</v>
      </c>
      <c r="V32" s="12"/>
      <c r="W32" s="12"/>
    </row>
    <row r="33" spans="1:23" ht="18">
      <c r="A33" s="34" t="s">
        <v>24</v>
      </c>
      <c r="V33" s="12"/>
      <c r="W33" s="12"/>
    </row>
    <row r="34" spans="1:23" ht="18">
      <c r="A34" s="34" t="s">
        <v>58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5.75">
      <c r="A41" s="7" t="s">
        <v>63</v>
      </c>
      <c r="V41" s="12"/>
      <c r="W41" s="12"/>
    </row>
    <row r="42" spans="1:23" ht="18">
      <c r="A42" s="34" t="s">
        <v>60</v>
      </c>
      <c r="V42" s="12"/>
      <c r="W42" s="12"/>
    </row>
    <row r="43" spans="1:23" ht="18">
      <c r="A43" s="34" t="s">
        <v>56</v>
      </c>
      <c r="V43" s="12"/>
      <c r="W43" s="12"/>
    </row>
    <row r="44" spans="1:23" ht="18">
      <c r="A44" s="34" t="s">
        <v>68</v>
      </c>
      <c r="V44" s="12"/>
      <c r="W44" s="12"/>
    </row>
    <row r="45" spans="1:23" ht="18">
      <c r="A45" s="34" t="s">
        <v>92</v>
      </c>
      <c r="V45" s="12"/>
      <c r="W45" s="12"/>
    </row>
    <row r="46" spans="1:23" ht="18">
      <c r="A46" s="34" t="s">
        <v>69</v>
      </c>
      <c r="B46" s="7"/>
      <c r="V46" s="12"/>
      <c r="W46" s="3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W49" s="12"/>
    </row>
    <row r="50" spans="1:23" ht="18">
      <c r="A50" s="34"/>
      <c r="M50"/>
      <c r="W50" s="12"/>
    </row>
    <row r="51" spans="1:23" ht="15.75">
      <c r="A51" s="5" t="s">
        <v>35</v>
      </c>
      <c r="M51"/>
      <c r="W51" s="12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5.75">
      <c r="A70" s="7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</sheetData>
  <mergeCells count="2">
    <mergeCell ref="B1:M3"/>
    <mergeCell ref="T1:Y25"/>
  </mergeCells>
  <dataValidations count="2">
    <dataValidation type="custom" allowBlank="1" showInputMessage="1" showErrorMessage="1" sqref="A71:A79 A61:A69" xr:uid="{201F3B03-C924-4B48-A5BC-AE6429F789F2}">
      <formula1>"a5:a25"</formula1>
    </dataValidation>
    <dataValidation type="list" allowBlank="1" showInputMessage="1" showErrorMessage="1" sqref="A32:A40 A42:A50 A52:A59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E39"/>
  <sheetViews>
    <sheetView workbookViewId="0">
      <pane xSplit="1" topLeftCell="B1" activePane="topRight" state="frozen"/>
      <selection pane="topRight" activeCell="AC15" sqref="AC15"/>
    </sheetView>
  </sheetViews>
  <sheetFormatPr defaultColWidth="9.140625" defaultRowHeight="12.75"/>
  <cols>
    <col min="1" max="1" width="47.7109375" style="22" customWidth="1"/>
    <col min="2" max="12" width="23.7109375" style="22" customWidth="1"/>
    <col min="13" max="13" width="19" style="22" customWidth="1"/>
    <col min="14" max="14" width="26.28515625" style="22" customWidth="1"/>
    <col min="15" max="15" width="22.140625" style="22" customWidth="1"/>
    <col min="16" max="31" width="22.7109375" style="22" customWidth="1"/>
    <col min="32" max="16384" width="9.140625" style="22"/>
  </cols>
  <sheetData>
    <row r="1" spans="1:3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31" ht="15">
      <c r="A2" s="76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31" ht="17.25" customHeight="1">
      <c r="A3" s="76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31" ht="63" customHeight="1">
      <c r="A4" s="51" t="str">
        <f>'[1]MOÇÃO E REQUERIMENTO'!B7</f>
        <v>EXPEDIENTE</v>
      </c>
      <c r="B4" s="50" t="s">
        <v>45</v>
      </c>
      <c r="C4" s="117" t="s">
        <v>108</v>
      </c>
      <c r="D4" s="117" t="s">
        <v>109</v>
      </c>
      <c r="E4" s="117" t="s">
        <v>110</v>
      </c>
      <c r="F4" s="117" t="s">
        <v>111</v>
      </c>
      <c r="G4" s="117" t="s">
        <v>112</v>
      </c>
      <c r="H4" s="117" t="s">
        <v>113</v>
      </c>
      <c r="I4" s="117" t="s">
        <v>114</v>
      </c>
      <c r="J4" s="117" t="s">
        <v>115</v>
      </c>
      <c r="K4" s="117" t="s">
        <v>116</v>
      </c>
      <c r="L4" s="117" t="s">
        <v>117</v>
      </c>
      <c r="M4" s="112" t="s">
        <v>34</v>
      </c>
      <c r="N4" s="124"/>
      <c r="O4" s="50" t="s">
        <v>27</v>
      </c>
      <c r="P4" s="84" t="s">
        <v>99</v>
      </c>
      <c r="Q4" s="84" t="s">
        <v>100</v>
      </c>
      <c r="R4" s="84" t="s">
        <v>102</v>
      </c>
      <c r="S4" s="84" t="s">
        <v>118</v>
      </c>
      <c r="T4" s="84" t="s">
        <v>119</v>
      </c>
      <c r="U4" s="84" t="s">
        <v>120</v>
      </c>
      <c r="V4" s="84" t="s">
        <v>103</v>
      </c>
      <c r="W4" s="84" t="s">
        <v>104</v>
      </c>
      <c r="X4" s="84" t="s">
        <v>121</v>
      </c>
      <c r="Y4" s="84" t="s">
        <v>122</v>
      </c>
      <c r="Z4" s="84" t="s">
        <v>123</v>
      </c>
      <c r="AA4" s="84" t="s">
        <v>124</v>
      </c>
      <c r="AB4" s="84" t="s">
        <v>125</v>
      </c>
      <c r="AC4" s="84" t="s">
        <v>126</v>
      </c>
      <c r="AD4" s="84" t="s">
        <v>127</v>
      </c>
      <c r="AE4" s="84" t="s">
        <v>128</v>
      </c>
    </row>
    <row r="5" spans="1:31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13"/>
      <c r="P5" s="113" t="s">
        <v>65</v>
      </c>
      <c r="Q5" s="113" t="s">
        <v>65</v>
      </c>
      <c r="R5" s="113" t="s">
        <v>65</v>
      </c>
      <c r="S5" s="118" t="s">
        <v>71</v>
      </c>
      <c r="T5" s="118" t="s">
        <v>71</v>
      </c>
      <c r="U5" s="118" t="s">
        <v>71</v>
      </c>
      <c r="V5" s="113" t="s">
        <v>65</v>
      </c>
      <c r="W5" s="113" t="s">
        <v>65</v>
      </c>
      <c r="X5" s="113" t="s">
        <v>65</v>
      </c>
      <c r="Y5" s="113" t="s">
        <v>65</v>
      </c>
      <c r="Z5" s="118" t="s">
        <v>101</v>
      </c>
      <c r="AA5" s="118" t="s">
        <v>101</v>
      </c>
      <c r="AB5" s="113" t="s">
        <v>65</v>
      </c>
      <c r="AC5" s="118" t="s">
        <v>101</v>
      </c>
      <c r="AD5" s="118" t="s">
        <v>101</v>
      </c>
      <c r="AE5" s="113" t="s">
        <v>65</v>
      </c>
    </row>
    <row r="6" spans="1:31" ht="15.75">
      <c r="A6" s="127" t="s">
        <v>51</v>
      </c>
      <c r="O6" s="23"/>
    </row>
    <row r="7" spans="1:31" ht="15.75">
      <c r="A7" s="127" t="s">
        <v>68</v>
      </c>
      <c r="O7" s="23"/>
    </row>
    <row r="8" spans="1:31" ht="15.75">
      <c r="A8" s="127" t="s">
        <v>54</v>
      </c>
      <c r="O8" s="23"/>
    </row>
    <row r="9" spans="1:31" ht="15.75">
      <c r="A9" s="128" t="s">
        <v>55</v>
      </c>
      <c r="O9" s="23"/>
    </row>
    <row r="10" spans="1:31" ht="15.75">
      <c r="A10" s="127" t="s">
        <v>28</v>
      </c>
      <c r="O10" s="23"/>
    </row>
    <row r="11" spans="1:31" ht="15.75">
      <c r="A11" s="127" t="s">
        <v>56</v>
      </c>
      <c r="O11" s="23"/>
    </row>
    <row r="12" spans="1:31" ht="15.75">
      <c r="A12" s="127" t="s">
        <v>22</v>
      </c>
      <c r="O12" s="23"/>
    </row>
    <row r="13" spans="1:31" ht="15.75">
      <c r="A13" s="127" t="s">
        <v>23</v>
      </c>
      <c r="O13" s="23"/>
    </row>
    <row r="14" spans="1:31" ht="15.75">
      <c r="A14" s="127" t="s">
        <v>24</v>
      </c>
      <c r="O14" s="23"/>
    </row>
    <row r="15" spans="1:31" ht="15.75">
      <c r="A15" s="127" t="s">
        <v>57</v>
      </c>
      <c r="O15" s="23"/>
    </row>
    <row r="16" spans="1:31" ht="15.75">
      <c r="A16" s="127" t="s">
        <v>58</v>
      </c>
      <c r="O16" s="23"/>
    </row>
    <row r="17" spans="1:15" ht="15.75">
      <c r="A17" s="127" t="s">
        <v>59</v>
      </c>
      <c r="O17" s="23"/>
    </row>
    <row r="18" spans="1:15" ht="15.75">
      <c r="A18" s="127" t="s">
        <v>25</v>
      </c>
      <c r="O18" s="23"/>
    </row>
    <row r="19" spans="1:15" ht="15.75">
      <c r="A19" s="127" t="s">
        <v>60</v>
      </c>
      <c r="O19" s="23"/>
    </row>
    <row r="20" spans="1:15" ht="15.75">
      <c r="A20" s="127" t="s">
        <v>97</v>
      </c>
      <c r="O20" s="23"/>
    </row>
    <row r="21" spans="1:15" ht="15.75">
      <c r="A21" s="127" t="s">
        <v>26</v>
      </c>
      <c r="O21" s="23"/>
    </row>
    <row r="22" spans="1:15" ht="15.75">
      <c r="A22" s="127" t="s">
        <v>61</v>
      </c>
      <c r="O22" s="23"/>
    </row>
    <row r="23" spans="1:15" ht="15.75">
      <c r="A23" s="127" t="s">
        <v>69</v>
      </c>
      <c r="O23" s="23"/>
    </row>
    <row r="24" spans="1:15" ht="15.75">
      <c r="A24" s="127" t="s">
        <v>49</v>
      </c>
      <c r="O24" s="23"/>
    </row>
    <row r="25" spans="1:15" ht="15.75">
      <c r="A25" s="127" t="s">
        <v>92</v>
      </c>
      <c r="O25" s="23"/>
    </row>
    <row r="26" spans="1:15" ht="15.75">
      <c r="A26" s="127" t="s">
        <v>62</v>
      </c>
      <c r="O26" s="23"/>
    </row>
    <row r="27" spans="1:15" s="25" customFormat="1">
      <c r="A27" s="24" t="s">
        <v>18</v>
      </c>
    </row>
    <row r="28" spans="1:15" s="27" customFormat="1">
      <c r="A28" s="26" t="s">
        <v>19</v>
      </c>
    </row>
    <row r="29" spans="1:15">
      <c r="A29" s="28" t="s">
        <v>11</v>
      </c>
    </row>
    <row r="30" spans="1:15" s="30" customFormat="1">
      <c r="A30" s="29" t="s">
        <v>20</v>
      </c>
    </row>
    <row r="32" spans="1:15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G8" sqref="G8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106</v>
      </c>
      <c r="B2" s="49"/>
      <c r="C2" s="74"/>
    </row>
    <row r="3" spans="1:46" ht="17.25" customHeight="1">
      <c r="A3" s="76" t="s">
        <v>107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129</v>
      </c>
      <c r="F4" s="140" t="s">
        <v>130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42"/>
      <c r="D5" s="79"/>
      <c r="E5" s="151" t="s">
        <v>70</v>
      </c>
      <c r="F5" s="142" t="s">
        <v>105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 t="s">
        <v>66</v>
      </c>
      <c r="F6" s="107"/>
    </row>
    <row r="7" spans="1:46" ht="20.25">
      <c r="A7" s="46" t="s">
        <v>68</v>
      </c>
      <c r="C7" s="107"/>
      <c r="E7" s="107" t="s">
        <v>66</v>
      </c>
      <c r="F7" s="107"/>
    </row>
    <row r="8" spans="1:46" ht="20.25">
      <c r="A8" s="46" t="s">
        <v>54</v>
      </c>
      <c r="C8" s="107"/>
      <c r="E8" s="107" t="s">
        <v>66</v>
      </c>
      <c r="F8" s="107"/>
    </row>
    <row r="9" spans="1:46" ht="20.25">
      <c r="A9" s="82" t="s">
        <v>55</v>
      </c>
      <c r="C9" s="114"/>
      <c r="E9" s="114" t="s">
        <v>98</v>
      </c>
      <c r="F9" s="114"/>
    </row>
    <row r="10" spans="1:46" ht="20.25">
      <c r="A10" s="46" t="s">
        <v>28</v>
      </c>
      <c r="C10" s="114"/>
      <c r="E10" s="107" t="s">
        <v>66</v>
      </c>
      <c r="F10" s="114"/>
    </row>
    <row r="11" spans="1:46" ht="20.25">
      <c r="A11" s="46" t="s">
        <v>56</v>
      </c>
      <c r="C11" s="107"/>
      <c r="E11" s="107" t="s">
        <v>66</v>
      </c>
      <c r="F11" s="107"/>
    </row>
    <row r="12" spans="1:46" ht="20.25">
      <c r="A12" s="46" t="s">
        <v>22</v>
      </c>
      <c r="C12" s="107"/>
      <c r="E12" s="114" t="s">
        <v>53</v>
      </c>
      <c r="F12" s="107"/>
    </row>
    <row r="13" spans="1:46" ht="20.25">
      <c r="A13" s="46" t="s">
        <v>23</v>
      </c>
      <c r="C13" s="114"/>
      <c r="E13" s="114" t="s">
        <v>53</v>
      </c>
      <c r="F13" s="114"/>
    </row>
    <row r="14" spans="1:46" ht="20.25">
      <c r="A14" s="46" t="s">
        <v>24</v>
      </c>
      <c r="C14" s="107"/>
      <c r="E14" s="107" t="s">
        <v>66</v>
      </c>
      <c r="F14" s="107"/>
    </row>
    <row r="15" spans="1:46" ht="20.25">
      <c r="A15" s="46" t="s">
        <v>57</v>
      </c>
      <c r="C15" s="107"/>
      <c r="E15" s="107" t="s">
        <v>66</v>
      </c>
      <c r="F15" s="107"/>
    </row>
    <row r="16" spans="1:46" ht="20.25">
      <c r="A16" s="46" t="s">
        <v>58</v>
      </c>
      <c r="C16" s="107"/>
      <c r="E16" s="107" t="s">
        <v>66</v>
      </c>
      <c r="F16" s="107"/>
    </row>
    <row r="17" spans="1:131" ht="20.25">
      <c r="A17" s="46" t="s">
        <v>59</v>
      </c>
      <c r="C17" s="144"/>
      <c r="E17" s="114" t="s">
        <v>53</v>
      </c>
      <c r="F17" s="107"/>
    </row>
    <row r="18" spans="1:131" ht="20.25">
      <c r="A18" s="46" t="s">
        <v>25</v>
      </c>
      <c r="C18" s="107"/>
      <c r="E18" s="114" t="s">
        <v>53</v>
      </c>
      <c r="F18" s="107"/>
    </row>
    <row r="19" spans="1:131" ht="20.25">
      <c r="A19" s="46" t="s">
        <v>60</v>
      </c>
      <c r="C19" s="107"/>
      <c r="E19" s="107" t="s">
        <v>66</v>
      </c>
      <c r="F19" s="107"/>
    </row>
    <row r="20" spans="1:131" ht="20.25">
      <c r="A20" s="46" t="s">
        <v>97</v>
      </c>
      <c r="C20" s="107"/>
      <c r="E20" s="107" t="s">
        <v>66</v>
      </c>
      <c r="F20" s="107"/>
    </row>
    <row r="21" spans="1:131" ht="20.25">
      <c r="A21" s="46" t="s">
        <v>26</v>
      </c>
      <c r="C21" s="107"/>
      <c r="E21" s="107" t="s">
        <v>66</v>
      </c>
      <c r="F21" s="107"/>
    </row>
    <row r="22" spans="1:131" ht="20.25">
      <c r="A22" s="46" t="s">
        <v>61</v>
      </c>
      <c r="C22" s="107"/>
      <c r="E22" s="107" t="s">
        <v>66</v>
      </c>
      <c r="F22" s="107"/>
    </row>
    <row r="23" spans="1:131" ht="20.25">
      <c r="A23" s="46" t="s">
        <v>69</v>
      </c>
      <c r="C23" s="107"/>
      <c r="E23" s="107" t="s">
        <v>66</v>
      </c>
      <c r="F23" s="107"/>
    </row>
    <row r="24" spans="1:131" ht="20.25">
      <c r="A24" s="46" t="s">
        <v>49</v>
      </c>
      <c r="C24" s="107"/>
      <c r="E24" s="107" t="s">
        <v>66</v>
      </c>
      <c r="F24" s="107"/>
    </row>
    <row r="25" spans="1:131" ht="20.25">
      <c r="A25" s="46" t="s">
        <v>92</v>
      </c>
      <c r="C25" s="107"/>
      <c r="E25" s="107" t="s">
        <v>66</v>
      </c>
      <c r="F25" s="107"/>
    </row>
    <row r="26" spans="1:131" ht="20.25">
      <c r="A26" s="46" t="s">
        <v>62</v>
      </c>
      <c r="C26" s="114"/>
      <c r="E26" s="107" t="s">
        <v>66</v>
      </c>
      <c r="F26" s="114"/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16</v>
      </c>
      <c r="F27" s="103">
        <f t="shared" si="1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4</v>
      </c>
      <c r="F29" s="40">
        <f t="shared" si="5"/>
        <v>0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D5" sqref="D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131</v>
      </c>
      <c r="D4" s="139" t="s">
        <v>132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5" t="s">
        <v>70</v>
      </c>
      <c r="D5" s="118" t="s">
        <v>133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 t="s">
        <v>66</v>
      </c>
      <c r="D6" s="107"/>
      <c r="V6" s="7"/>
      <c r="W6" s="7"/>
    </row>
    <row r="7" spans="1:30" ht="18">
      <c r="A7" s="129" t="s">
        <v>68</v>
      </c>
      <c r="C7" s="107" t="s">
        <v>66</v>
      </c>
      <c r="D7" s="107"/>
      <c r="V7" s="7"/>
      <c r="W7" s="7"/>
    </row>
    <row r="8" spans="1:30" ht="18">
      <c r="A8" s="129" t="s">
        <v>54</v>
      </c>
      <c r="C8" s="107" t="s">
        <v>66</v>
      </c>
      <c r="D8" s="107"/>
      <c r="V8" s="7"/>
      <c r="W8" s="7"/>
    </row>
    <row r="9" spans="1:30" ht="18">
      <c r="A9" s="130" t="s">
        <v>55</v>
      </c>
      <c r="C9" s="114" t="s">
        <v>98</v>
      </c>
      <c r="D9" s="114"/>
      <c r="V9" s="7"/>
      <c r="W9" s="7"/>
    </row>
    <row r="10" spans="1:30" ht="18">
      <c r="A10" s="129" t="s">
        <v>28</v>
      </c>
      <c r="C10" s="107" t="s">
        <v>66</v>
      </c>
      <c r="D10" s="107"/>
      <c r="V10" s="7"/>
      <c r="W10" s="7"/>
    </row>
    <row r="11" spans="1:30" ht="18">
      <c r="A11" s="129" t="s">
        <v>56</v>
      </c>
      <c r="C11" s="107" t="s">
        <v>66</v>
      </c>
      <c r="D11" s="114"/>
      <c r="V11" s="7"/>
      <c r="W11" s="7"/>
    </row>
    <row r="12" spans="1:30" ht="18">
      <c r="A12" s="129" t="s">
        <v>22</v>
      </c>
      <c r="C12" s="114" t="s">
        <v>53</v>
      </c>
      <c r="D12" s="107"/>
      <c r="V12" s="7"/>
      <c r="W12" s="7"/>
    </row>
    <row r="13" spans="1:30" ht="18">
      <c r="A13" s="129" t="s">
        <v>23</v>
      </c>
      <c r="C13" s="114" t="s">
        <v>53</v>
      </c>
      <c r="D13" s="114"/>
      <c r="V13" s="7"/>
      <c r="W13" s="7"/>
    </row>
    <row r="14" spans="1:30" ht="18">
      <c r="A14" s="129" t="s">
        <v>24</v>
      </c>
      <c r="C14" s="107" t="s">
        <v>66</v>
      </c>
      <c r="D14" s="107"/>
      <c r="V14" s="7"/>
      <c r="W14" s="7"/>
    </row>
    <row r="15" spans="1:30" ht="18">
      <c r="A15" s="129" t="s">
        <v>57</v>
      </c>
      <c r="C15" s="107" t="s">
        <v>66</v>
      </c>
      <c r="D15" s="107"/>
      <c r="V15" s="7"/>
      <c r="W15" s="7"/>
    </row>
    <row r="16" spans="1:30" ht="18">
      <c r="A16" s="129" t="s">
        <v>58</v>
      </c>
      <c r="C16" s="107" t="s">
        <v>66</v>
      </c>
      <c r="D16" s="107"/>
      <c r="V16" s="7"/>
      <c r="W16" s="7"/>
    </row>
    <row r="17" spans="1:124" ht="15" customHeight="1">
      <c r="A17" s="129" t="s">
        <v>59</v>
      </c>
      <c r="C17" s="114" t="s">
        <v>53</v>
      </c>
      <c r="D17" s="107"/>
      <c r="U17" s="8"/>
      <c r="V17" s="7"/>
      <c r="W17" s="7"/>
    </row>
    <row r="18" spans="1:124" ht="18">
      <c r="A18" s="129" t="s">
        <v>25</v>
      </c>
      <c r="C18" s="114" t="s">
        <v>53</v>
      </c>
      <c r="D18" s="107"/>
      <c r="V18" s="7"/>
      <c r="W18" s="7"/>
    </row>
    <row r="19" spans="1:124" ht="18">
      <c r="A19" s="129" t="s">
        <v>60</v>
      </c>
      <c r="C19" s="107" t="s">
        <v>66</v>
      </c>
      <c r="D19" s="107"/>
      <c r="V19" s="7"/>
      <c r="W19" s="7"/>
    </row>
    <row r="20" spans="1:124" ht="18">
      <c r="A20" s="129" t="s">
        <v>97</v>
      </c>
      <c r="C20" s="107" t="s">
        <v>66</v>
      </c>
      <c r="D20" s="107"/>
      <c r="V20" s="7"/>
      <c r="W20" s="7"/>
    </row>
    <row r="21" spans="1:124" ht="18">
      <c r="A21" s="129" t="s">
        <v>26</v>
      </c>
      <c r="C21" s="107" t="s">
        <v>66</v>
      </c>
      <c r="D21" s="107"/>
      <c r="V21" s="7"/>
      <c r="W21" s="7"/>
    </row>
    <row r="22" spans="1:124" ht="18">
      <c r="A22" s="129" t="s">
        <v>61</v>
      </c>
      <c r="C22" s="107" t="s">
        <v>66</v>
      </c>
      <c r="D22" s="107"/>
      <c r="V22" s="7"/>
      <c r="W22" s="7"/>
    </row>
    <row r="23" spans="1:124" ht="18">
      <c r="A23" s="129" t="s">
        <v>69</v>
      </c>
      <c r="C23" s="107" t="s">
        <v>66</v>
      </c>
      <c r="D23" s="107"/>
      <c r="V23" s="7"/>
      <c r="W23" s="7"/>
    </row>
    <row r="24" spans="1:124" ht="18">
      <c r="A24" s="129" t="s">
        <v>49</v>
      </c>
      <c r="C24" s="107" t="s">
        <v>66</v>
      </c>
      <c r="D24" s="107"/>
      <c r="V24" s="7"/>
      <c r="W24" s="7"/>
    </row>
    <row r="25" spans="1:124" ht="18">
      <c r="A25" s="129" t="s">
        <v>92</v>
      </c>
      <c r="C25" s="107" t="s">
        <v>66</v>
      </c>
      <c r="D25" s="107"/>
      <c r="V25" s="7"/>
      <c r="W25" s="7"/>
    </row>
    <row r="26" spans="1:124" ht="18">
      <c r="A26" s="129" t="s">
        <v>62</v>
      </c>
      <c r="C26" s="107" t="s">
        <v>66</v>
      </c>
      <c r="D26" s="107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16</v>
      </c>
      <c r="D27" s="103">
        <f t="shared" ref="D27" si="2">COUNTIF(D6:D26,"sim")</f>
        <v>0</v>
      </c>
      <c r="K27" s="16">
        <f t="shared" ref="K27:AP27" si="3">COUNTIF(K6:K26,"sim")</f>
        <v>0</v>
      </c>
      <c r="L27" s="16">
        <f t="shared" si="3"/>
        <v>0</v>
      </c>
      <c r="M27" s="16">
        <f t="shared" si="3"/>
        <v>0</v>
      </c>
      <c r="N27" s="16">
        <f t="shared" si="3"/>
        <v>0</v>
      </c>
      <c r="O27" s="16">
        <f t="shared" si="3"/>
        <v>0</v>
      </c>
      <c r="P27" s="16">
        <f t="shared" si="3"/>
        <v>0</v>
      </c>
      <c r="Q27" s="16">
        <f t="shared" si="3"/>
        <v>0</v>
      </c>
      <c r="R27" s="16">
        <f t="shared" si="3"/>
        <v>0</v>
      </c>
      <c r="S27" s="16">
        <f t="shared" si="3"/>
        <v>0</v>
      </c>
      <c r="T27" s="16">
        <f t="shared" si="3"/>
        <v>0</v>
      </c>
      <c r="U27" s="16">
        <f t="shared" si="3"/>
        <v>0</v>
      </c>
      <c r="V27" s="16">
        <f t="shared" si="3"/>
        <v>0</v>
      </c>
      <c r="W27" s="16">
        <f t="shared" si="3"/>
        <v>0</v>
      </c>
      <c r="X27" s="16">
        <f t="shared" si="3"/>
        <v>0</v>
      </c>
      <c r="Y27" s="16">
        <f t="shared" si="3"/>
        <v>0</v>
      </c>
      <c r="Z27" s="16">
        <f t="shared" si="3"/>
        <v>0</v>
      </c>
      <c r="AA27" s="16">
        <f t="shared" si="3"/>
        <v>0</v>
      </c>
      <c r="AB27" s="16">
        <f t="shared" si="3"/>
        <v>0</v>
      </c>
      <c r="AC27" s="16">
        <f t="shared" si="3"/>
        <v>0</v>
      </c>
      <c r="AD27" s="16">
        <f t="shared" si="3"/>
        <v>0</v>
      </c>
      <c r="AE27" s="16">
        <f t="shared" si="3"/>
        <v>0</v>
      </c>
      <c r="AF27" s="16">
        <f t="shared" si="3"/>
        <v>0</v>
      </c>
      <c r="AG27" s="16">
        <f t="shared" si="3"/>
        <v>0</v>
      </c>
      <c r="AH27" s="16">
        <f t="shared" si="3"/>
        <v>0</v>
      </c>
      <c r="AI27" s="16">
        <f t="shared" si="3"/>
        <v>0</v>
      </c>
      <c r="AJ27" s="16">
        <f t="shared" si="3"/>
        <v>0</v>
      </c>
      <c r="AK27" s="16">
        <f t="shared" si="3"/>
        <v>0</v>
      </c>
      <c r="AL27" s="16">
        <f t="shared" si="3"/>
        <v>0</v>
      </c>
      <c r="AM27" s="16">
        <f t="shared" si="3"/>
        <v>0</v>
      </c>
      <c r="AN27" s="16">
        <f t="shared" si="3"/>
        <v>0</v>
      </c>
      <c r="AO27" s="16">
        <f t="shared" si="3"/>
        <v>0</v>
      </c>
      <c r="AP27" s="16">
        <f t="shared" si="3"/>
        <v>0</v>
      </c>
      <c r="AQ27" s="16">
        <f t="shared" ref="AQ27:BV27" si="4">COUNTIF(AQ6:AQ26,"sim")</f>
        <v>0</v>
      </c>
      <c r="AR27" s="16">
        <f t="shared" si="4"/>
        <v>0</v>
      </c>
      <c r="AS27" s="16">
        <f t="shared" si="4"/>
        <v>0</v>
      </c>
      <c r="AT27" s="16">
        <f t="shared" si="4"/>
        <v>0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0</v>
      </c>
      <c r="AY27" s="16">
        <f t="shared" si="4"/>
        <v>0</v>
      </c>
      <c r="AZ27" s="16">
        <f t="shared" si="4"/>
        <v>0</v>
      </c>
      <c r="BA27" s="16">
        <f t="shared" si="4"/>
        <v>0</v>
      </c>
      <c r="BB27" s="16">
        <f t="shared" si="4"/>
        <v>0</v>
      </c>
      <c r="BC27" s="16">
        <f t="shared" si="4"/>
        <v>0</v>
      </c>
      <c r="BD27" s="16">
        <f t="shared" si="4"/>
        <v>0</v>
      </c>
      <c r="BE27" s="16">
        <f t="shared" si="4"/>
        <v>0</v>
      </c>
      <c r="BF27" s="16">
        <f t="shared" si="4"/>
        <v>0</v>
      </c>
      <c r="BG27" s="16">
        <f t="shared" si="4"/>
        <v>0</v>
      </c>
      <c r="BH27" s="16">
        <f t="shared" si="4"/>
        <v>0</v>
      </c>
      <c r="BI27" s="16">
        <f t="shared" si="4"/>
        <v>0</v>
      </c>
      <c r="BJ27" s="16">
        <f t="shared" si="4"/>
        <v>0</v>
      </c>
      <c r="BK27" s="16">
        <f t="shared" si="4"/>
        <v>0</v>
      </c>
      <c r="BL27" s="16">
        <f t="shared" si="4"/>
        <v>0</v>
      </c>
      <c r="BM27" s="16">
        <f t="shared" si="4"/>
        <v>0</v>
      </c>
      <c r="BN27" s="16">
        <f t="shared" si="4"/>
        <v>0</v>
      </c>
      <c r="BO27" s="16">
        <f t="shared" si="4"/>
        <v>0</v>
      </c>
      <c r="BP27" s="16">
        <f t="shared" si="4"/>
        <v>0</v>
      </c>
      <c r="BQ27" s="16">
        <f t="shared" si="4"/>
        <v>0</v>
      </c>
      <c r="BR27" s="16">
        <f t="shared" si="4"/>
        <v>0</v>
      </c>
      <c r="BS27" s="16">
        <f t="shared" si="4"/>
        <v>0</v>
      </c>
      <c r="BT27" s="16">
        <f t="shared" si="4"/>
        <v>0</v>
      </c>
      <c r="BU27" s="16">
        <f t="shared" si="4"/>
        <v>0</v>
      </c>
      <c r="BV27" s="16">
        <f t="shared" si="4"/>
        <v>0</v>
      </c>
      <c r="BW27" s="16">
        <f t="shared" ref="BW27:DB27" si="5">COUNTIF(BW6:BW26,"sim")</f>
        <v>0</v>
      </c>
      <c r="BX27" s="16">
        <f t="shared" si="5"/>
        <v>0</v>
      </c>
      <c r="BY27" s="16">
        <f t="shared" si="5"/>
        <v>0</v>
      </c>
      <c r="BZ27" s="16">
        <f t="shared" si="5"/>
        <v>0</v>
      </c>
      <c r="CA27" s="16">
        <f t="shared" si="5"/>
        <v>0</v>
      </c>
      <c r="CB27" s="16">
        <f t="shared" si="5"/>
        <v>0</v>
      </c>
      <c r="CC27" s="16">
        <f t="shared" si="5"/>
        <v>0</v>
      </c>
      <c r="CD27" s="16">
        <f t="shared" si="5"/>
        <v>0</v>
      </c>
      <c r="CE27" s="16">
        <f t="shared" si="5"/>
        <v>0</v>
      </c>
      <c r="CF27" s="16">
        <f t="shared" si="5"/>
        <v>0</v>
      </c>
      <c r="CG27" s="16">
        <f t="shared" si="5"/>
        <v>0</v>
      </c>
      <c r="CH27" s="16">
        <f t="shared" si="5"/>
        <v>0</v>
      </c>
      <c r="CI27" s="16">
        <f t="shared" si="5"/>
        <v>0</v>
      </c>
      <c r="CJ27" s="16">
        <f t="shared" si="5"/>
        <v>0</v>
      </c>
      <c r="CK27" s="16">
        <f t="shared" si="5"/>
        <v>0</v>
      </c>
      <c r="CL27" s="16">
        <f t="shared" si="5"/>
        <v>0</v>
      </c>
      <c r="CM27" s="16">
        <f t="shared" si="5"/>
        <v>0</v>
      </c>
      <c r="CN27" s="16">
        <f t="shared" si="5"/>
        <v>0</v>
      </c>
      <c r="CO27" s="16">
        <f t="shared" si="5"/>
        <v>0</v>
      </c>
      <c r="CP27" s="16">
        <f t="shared" si="5"/>
        <v>0</v>
      </c>
      <c r="CQ27" s="16">
        <f t="shared" si="5"/>
        <v>0</v>
      </c>
      <c r="CR27" s="16">
        <f t="shared" si="5"/>
        <v>0</v>
      </c>
      <c r="CS27" s="16">
        <f t="shared" si="5"/>
        <v>0</v>
      </c>
      <c r="CT27" s="16">
        <f t="shared" si="5"/>
        <v>0</v>
      </c>
      <c r="CU27" s="16">
        <f t="shared" si="5"/>
        <v>0</v>
      </c>
      <c r="CV27" s="16">
        <f t="shared" si="5"/>
        <v>0</v>
      </c>
      <c r="CW27" s="16">
        <f t="shared" si="5"/>
        <v>0</v>
      </c>
      <c r="CX27" s="16">
        <f t="shared" si="5"/>
        <v>0</v>
      </c>
      <c r="CY27" s="16">
        <f t="shared" si="5"/>
        <v>0</v>
      </c>
      <c r="CZ27" s="16">
        <f t="shared" si="5"/>
        <v>0</v>
      </c>
      <c r="DA27" s="16">
        <f t="shared" si="5"/>
        <v>0</v>
      </c>
      <c r="DB27" s="16">
        <f t="shared" si="5"/>
        <v>0</v>
      </c>
      <c r="DC27" s="16">
        <f t="shared" ref="DC27:DT27" si="6">COUNTIF(DC6:DC26,"sim")</f>
        <v>0</v>
      </c>
      <c r="DD27" s="16">
        <f t="shared" si="6"/>
        <v>0</v>
      </c>
      <c r="DE27" s="16">
        <f t="shared" si="6"/>
        <v>0</v>
      </c>
      <c r="DF27" s="16">
        <f t="shared" si="6"/>
        <v>0</v>
      </c>
      <c r="DG27" s="16">
        <f t="shared" si="6"/>
        <v>0</v>
      </c>
      <c r="DH27" s="16">
        <f t="shared" si="6"/>
        <v>0</v>
      </c>
      <c r="DI27" s="16">
        <f t="shared" si="6"/>
        <v>0</v>
      </c>
      <c r="DJ27" s="16">
        <f t="shared" si="6"/>
        <v>0</v>
      </c>
      <c r="DK27" s="16">
        <f t="shared" si="6"/>
        <v>0</v>
      </c>
      <c r="DL27" s="16">
        <f t="shared" si="6"/>
        <v>0</v>
      </c>
      <c r="DM27" s="16">
        <f t="shared" si="6"/>
        <v>0</v>
      </c>
      <c r="DN27" s="16">
        <f t="shared" si="6"/>
        <v>0</v>
      </c>
      <c r="DO27" s="16">
        <f t="shared" si="6"/>
        <v>0</v>
      </c>
      <c r="DP27" s="16">
        <f t="shared" si="6"/>
        <v>0</v>
      </c>
      <c r="DQ27" s="16">
        <f t="shared" si="6"/>
        <v>0</v>
      </c>
      <c r="DR27" s="16">
        <f t="shared" si="6"/>
        <v>0</v>
      </c>
      <c r="DS27" s="16">
        <f t="shared" si="6"/>
        <v>0</v>
      </c>
      <c r="DT27" s="16">
        <f t="shared" si="6"/>
        <v>0</v>
      </c>
    </row>
    <row r="28" spans="1:124" s="18" customFormat="1" ht="15.75">
      <c r="A28" s="17" t="s">
        <v>19</v>
      </c>
      <c r="B28" s="18">
        <f t="shared" ref="B28" si="7">COUNTIF(B6:B26,"não")</f>
        <v>0</v>
      </c>
      <c r="C28" s="104">
        <f t="shared" ref="C28" si="8">COUNTIF(C6:C26,"não")</f>
        <v>0</v>
      </c>
      <c r="D28" s="104">
        <f t="shared" ref="D28" si="9">COUNTIF(D6:D26,"não")</f>
        <v>0</v>
      </c>
      <c r="K28" s="18">
        <f t="shared" ref="K28:AP28" si="10">COUNTIF(K6:K27,"não")</f>
        <v>0</v>
      </c>
      <c r="L28" s="18">
        <f t="shared" si="10"/>
        <v>0</v>
      </c>
      <c r="M28" s="18">
        <f t="shared" si="10"/>
        <v>0</v>
      </c>
      <c r="N28" s="18">
        <f t="shared" si="10"/>
        <v>0</v>
      </c>
      <c r="O28" s="18">
        <f t="shared" si="10"/>
        <v>0</v>
      </c>
      <c r="P28" s="18">
        <f t="shared" si="10"/>
        <v>0</v>
      </c>
      <c r="Q28" s="18">
        <f t="shared" si="10"/>
        <v>0</v>
      </c>
      <c r="R28" s="18">
        <f t="shared" si="10"/>
        <v>0</v>
      </c>
      <c r="S28" s="18">
        <f t="shared" si="10"/>
        <v>0</v>
      </c>
      <c r="T28" s="18">
        <f t="shared" si="10"/>
        <v>0</v>
      </c>
      <c r="U28" s="18">
        <f t="shared" si="10"/>
        <v>0</v>
      </c>
      <c r="V28" s="18">
        <f t="shared" si="10"/>
        <v>0</v>
      </c>
      <c r="W28" s="18">
        <f t="shared" si="10"/>
        <v>0</v>
      </c>
      <c r="X28" s="18">
        <f t="shared" si="10"/>
        <v>0</v>
      </c>
      <c r="Y28" s="18">
        <f t="shared" si="10"/>
        <v>0</v>
      </c>
      <c r="Z28" s="18">
        <f t="shared" si="10"/>
        <v>0</v>
      </c>
      <c r="AA28" s="18">
        <f t="shared" si="10"/>
        <v>0</v>
      </c>
      <c r="AB28" s="18">
        <f t="shared" si="10"/>
        <v>0</v>
      </c>
      <c r="AC28" s="18">
        <f t="shared" si="10"/>
        <v>0</v>
      </c>
      <c r="AD28" s="18">
        <f t="shared" si="10"/>
        <v>0</v>
      </c>
      <c r="AE28" s="18">
        <f t="shared" si="10"/>
        <v>0</v>
      </c>
      <c r="AF28" s="18">
        <f t="shared" si="10"/>
        <v>0</v>
      </c>
      <c r="AG28" s="18">
        <f t="shared" si="10"/>
        <v>0</v>
      </c>
      <c r="AH28" s="18">
        <f t="shared" si="10"/>
        <v>0</v>
      </c>
      <c r="AI28" s="18">
        <f t="shared" si="10"/>
        <v>0</v>
      </c>
      <c r="AJ28" s="18">
        <f t="shared" si="10"/>
        <v>0</v>
      </c>
      <c r="AK28" s="18">
        <f t="shared" si="10"/>
        <v>0</v>
      </c>
      <c r="AL28" s="18">
        <f t="shared" si="10"/>
        <v>0</v>
      </c>
      <c r="AM28" s="18">
        <f t="shared" si="10"/>
        <v>0</v>
      </c>
      <c r="AN28" s="18">
        <f t="shared" si="10"/>
        <v>0</v>
      </c>
      <c r="AO28" s="18">
        <f t="shared" si="10"/>
        <v>0</v>
      </c>
      <c r="AP28" s="18">
        <f t="shared" si="10"/>
        <v>0</v>
      </c>
      <c r="AQ28" s="18">
        <f t="shared" ref="AQ28:BV28" si="11">COUNTIF(AQ6:AQ27,"não")</f>
        <v>0</v>
      </c>
      <c r="AR28" s="18">
        <f t="shared" si="11"/>
        <v>0</v>
      </c>
      <c r="AS28" s="18">
        <f t="shared" si="11"/>
        <v>0</v>
      </c>
      <c r="AT28" s="18">
        <f t="shared" si="11"/>
        <v>0</v>
      </c>
      <c r="AU28" s="18">
        <f t="shared" si="11"/>
        <v>0</v>
      </c>
      <c r="AV28" s="18">
        <f t="shared" si="11"/>
        <v>0</v>
      </c>
      <c r="AW28" s="18">
        <f t="shared" si="11"/>
        <v>0</v>
      </c>
      <c r="AX28" s="18">
        <f t="shared" si="11"/>
        <v>0</v>
      </c>
      <c r="AY28" s="18">
        <f t="shared" si="11"/>
        <v>0</v>
      </c>
      <c r="AZ28" s="18">
        <f t="shared" si="11"/>
        <v>0</v>
      </c>
      <c r="BA28" s="18">
        <f t="shared" si="11"/>
        <v>0</v>
      </c>
      <c r="BB28" s="18">
        <f t="shared" si="11"/>
        <v>0</v>
      </c>
      <c r="BC28" s="18">
        <f t="shared" si="11"/>
        <v>0</v>
      </c>
      <c r="BD28" s="18">
        <f t="shared" si="11"/>
        <v>0</v>
      </c>
      <c r="BE28" s="18">
        <f t="shared" si="11"/>
        <v>0</v>
      </c>
      <c r="BF28" s="18">
        <f t="shared" si="11"/>
        <v>0</v>
      </c>
      <c r="BG28" s="18">
        <f t="shared" si="11"/>
        <v>0</v>
      </c>
      <c r="BH28" s="18">
        <f t="shared" si="11"/>
        <v>0</v>
      </c>
      <c r="BI28" s="18">
        <f t="shared" si="11"/>
        <v>0</v>
      </c>
      <c r="BJ28" s="18">
        <f t="shared" si="11"/>
        <v>0</v>
      </c>
      <c r="BK28" s="18">
        <f t="shared" si="11"/>
        <v>0</v>
      </c>
      <c r="BL28" s="18">
        <f t="shared" si="11"/>
        <v>0</v>
      </c>
      <c r="BM28" s="18">
        <f t="shared" si="11"/>
        <v>0</v>
      </c>
      <c r="BN28" s="18">
        <f t="shared" si="11"/>
        <v>0</v>
      </c>
      <c r="BO28" s="18">
        <f t="shared" si="11"/>
        <v>0</v>
      </c>
      <c r="BP28" s="18">
        <f t="shared" si="11"/>
        <v>0</v>
      </c>
      <c r="BQ28" s="18">
        <f t="shared" si="11"/>
        <v>0</v>
      </c>
      <c r="BR28" s="18">
        <f t="shared" si="11"/>
        <v>0</v>
      </c>
      <c r="BS28" s="18">
        <f t="shared" si="11"/>
        <v>0</v>
      </c>
      <c r="BT28" s="18">
        <f t="shared" si="11"/>
        <v>0</v>
      </c>
      <c r="BU28" s="18">
        <f t="shared" si="11"/>
        <v>0</v>
      </c>
      <c r="BV28" s="18">
        <f t="shared" si="11"/>
        <v>0</v>
      </c>
      <c r="BW28" s="18">
        <f t="shared" ref="BW28:DB28" si="12">COUNTIF(BW6:BW27,"não")</f>
        <v>0</v>
      </c>
      <c r="BX28" s="18">
        <f t="shared" si="12"/>
        <v>0</v>
      </c>
      <c r="BY28" s="18">
        <f t="shared" si="12"/>
        <v>0</v>
      </c>
      <c r="BZ28" s="18">
        <f t="shared" si="12"/>
        <v>0</v>
      </c>
      <c r="CA28" s="18">
        <f t="shared" si="12"/>
        <v>0</v>
      </c>
      <c r="CB28" s="18">
        <f t="shared" si="12"/>
        <v>0</v>
      </c>
      <c r="CC28" s="18">
        <f t="shared" si="12"/>
        <v>0</v>
      </c>
      <c r="CD28" s="18">
        <f t="shared" si="12"/>
        <v>0</v>
      </c>
      <c r="CE28" s="18">
        <f t="shared" si="12"/>
        <v>0</v>
      </c>
      <c r="CF28" s="18">
        <f t="shared" si="12"/>
        <v>0</v>
      </c>
      <c r="CG28" s="18">
        <f t="shared" si="12"/>
        <v>0</v>
      </c>
      <c r="CH28" s="18">
        <f t="shared" si="12"/>
        <v>0</v>
      </c>
      <c r="CI28" s="18">
        <f t="shared" si="12"/>
        <v>0</v>
      </c>
      <c r="CJ28" s="18">
        <f t="shared" si="12"/>
        <v>0</v>
      </c>
      <c r="CK28" s="18">
        <f t="shared" si="12"/>
        <v>0</v>
      </c>
      <c r="CL28" s="18">
        <f t="shared" si="12"/>
        <v>0</v>
      </c>
      <c r="CM28" s="18">
        <f t="shared" si="12"/>
        <v>0</v>
      </c>
      <c r="CN28" s="18">
        <f t="shared" si="12"/>
        <v>0</v>
      </c>
      <c r="CO28" s="18">
        <f t="shared" si="12"/>
        <v>0</v>
      </c>
      <c r="CP28" s="18">
        <f t="shared" si="12"/>
        <v>0</v>
      </c>
      <c r="CQ28" s="18">
        <f t="shared" si="12"/>
        <v>0</v>
      </c>
      <c r="CR28" s="18">
        <f t="shared" si="12"/>
        <v>0</v>
      </c>
      <c r="CS28" s="18">
        <f t="shared" si="12"/>
        <v>0</v>
      </c>
      <c r="CT28" s="18">
        <f t="shared" si="12"/>
        <v>0</v>
      </c>
      <c r="CU28" s="18">
        <f t="shared" si="12"/>
        <v>0</v>
      </c>
      <c r="CV28" s="18">
        <f t="shared" si="12"/>
        <v>0</v>
      </c>
      <c r="CW28" s="18">
        <f t="shared" si="12"/>
        <v>0</v>
      </c>
      <c r="CX28" s="18">
        <f t="shared" si="12"/>
        <v>0</v>
      </c>
      <c r="CY28" s="18">
        <f t="shared" si="12"/>
        <v>0</v>
      </c>
      <c r="CZ28" s="18">
        <f t="shared" si="12"/>
        <v>0</v>
      </c>
      <c r="DA28" s="18">
        <f t="shared" si="12"/>
        <v>0</v>
      </c>
      <c r="DB28" s="18">
        <f t="shared" si="12"/>
        <v>0</v>
      </c>
      <c r="DC28" s="18">
        <f t="shared" ref="DC28:DT28" si="13">COUNTIF(DC6:DC27,"não")</f>
        <v>0</v>
      </c>
      <c r="DD28" s="18">
        <f t="shared" si="13"/>
        <v>0</v>
      </c>
      <c r="DE28" s="18">
        <f t="shared" si="13"/>
        <v>0</v>
      </c>
      <c r="DF28" s="18">
        <f t="shared" si="13"/>
        <v>0</v>
      </c>
      <c r="DG28" s="18">
        <f t="shared" si="13"/>
        <v>0</v>
      </c>
      <c r="DH28" s="18">
        <f t="shared" si="13"/>
        <v>0</v>
      </c>
      <c r="DI28" s="18">
        <f t="shared" si="13"/>
        <v>0</v>
      </c>
      <c r="DJ28" s="18">
        <f t="shared" si="13"/>
        <v>0</v>
      </c>
      <c r="DK28" s="18">
        <f t="shared" si="13"/>
        <v>0</v>
      </c>
      <c r="DL28" s="18">
        <f t="shared" si="13"/>
        <v>0</v>
      </c>
      <c r="DM28" s="18">
        <f t="shared" si="13"/>
        <v>0</v>
      </c>
      <c r="DN28" s="18">
        <f t="shared" si="13"/>
        <v>0</v>
      </c>
      <c r="DO28" s="18">
        <f t="shared" si="13"/>
        <v>0</v>
      </c>
      <c r="DP28" s="18">
        <f t="shared" si="13"/>
        <v>0</v>
      </c>
      <c r="DQ28" s="18">
        <f t="shared" si="13"/>
        <v>0</v>
      </c>
      <c r="DR28" s="18">
        <f t="shared" si="13"/>
        <v>0</v>
      </c>
      <c r="DS28" s="18">
        <f t="shared" si="13"/>
        <v>0</v>
      </c>
      <c r="DT28" s="18">
        <f t="shared" si="13"/>
        <v>0</v>
      </c>
    </row>
    <row r="29" spans="1:124" ht="15.75">
      <c r="A29" s="14" t="s">
        <v>11</v>
      </c>
      <c r="B29">
        <f t="shared" ref="B29" si="14">COUNTIF(B6:B26,"ausente")</f>
        <v>0</v>
      </c>
      <c r="C29" s="40">
        <f t="shared" ref="C29" si="15">COUNTIF(C6:C26,"ausente")</f>
        <v>4</v>
      </c>
      <c r="D29" s="40">
        <f t="shared" ref="D29" si="16">COUNTIF(D6:D26,"ausente")</f>
        <v>0</v>
      </c>
      <c r="K29">
        <f t="shared" ref="K29:AP29" si="17">COUNTIF(K6:K28,"ausente")</f>
        <v>0</v>
      </c>
      <c r="L29">
        <f t="shared" si="17"/>
        <v>0</v>
      </c>
      <c r="M29">
        <f t="shared" si="17"/>
        <v>0</v>
      </c>
      <c r="N29">
        <f t="shared" si="17"/>
        <v>0</v>
      </c>
      <c r="O29">
        <f t="shared" si="17"/>
        <v>0</v>
      </c>
      <c r="P29">
        <f t="shared" si="17"/>
        <v>0</v>
      </c>
      <c r="Q29">
        <f t="shared" si="17"/>
        <v>0</v>
      </c>
      <c r="R29">
        <f t="shared" si="17"/>
        <v>0</v>
      </c>
      <c r="S29">
        <f t="shared" si="17"/>
        <v>0</v>
      </c>
      <c r="T29">
        <f t="shared" si="17"/>
        <v>0</v>
      </c>
      <c r="U29">
        <f t="shared" si="17"/>
        <v>0</v>
      </c>
      <c r="V29">
        <f t="shared" si="17"/>
        <v>0</v>
      </c>
      <c r="W29">
        <f t="shared" si="17"/>
        <v>0</v>
      </c>
      <c r="X29">
        <f t="shared" si="17"/>
        <v>0</v>
      </c>
      <c r="Y29">
        <f t="shared" si="17"/>
        <v>0</v>
      </c>
      <c r="Z29">
        <f t="shared" si="17"/>
        <v>0</v>
      </c>
      <c r="AA29">
        <f t="shared" si="17"/>
        <v>0</v>
      </c>
      <c r="AB29">
        <f t="shared" si="17"/>
        <v>0</v>
      </c>
      <c r="AC29">
        <f t="shared" si="17"/>
        <v>0</v>
      </c>
      <c r="AD29">
        <f t="shared" si="17"/>
        <v>0</v>
      </c>
      <c r="AE29">
        <f t="shared" si="17"/>
        <v>0</v>
      </c>
      <c r="AF29">
        <f t="shared" si="17"/>
        <v>0</v>
      </c>
      <c r="AG29">
        <f t="shared" si="17"/>
        <v>0</v>
      </c>
      <c r="AH29">
        <f t="shared" si="17"/>
        <v>0</v>
      </c>
      <c r="AI29">
        <f t="shared" si="17"/>
        <v>0</v>
      </c>
      <c r="AJ29">
        <f t="shared" si="17"/>
        <v>0</v>
      </c>
      <c r="AK29">
        <f t="shared" si="17"/>
        <v>0</v>
      </c>
      <c r="AL29">
        <f t="shared" si="17"/>
        <v>0</v>
      </c>
      <c r="AM29">
        <f t="shared" si="17"/>
        <v>0</v>
      </c>
      <c r="AN29">
        <f t="shared" si="17"/>
        <v>0</v>
      </c>
      <c r="AO29">
        <f t="shared" si="17"/>
        <v>0</v>
      </c>
      <c r="AP29">
        <f t="shared" si="17"/>
        <v>0</v>
      </c>
      <c r="AQ29">
        <f t="shared" ref="AQ29:BV29" si="18">COUNTIF(AQ6:AQ28,"ausente")</f>
        <v>0</v>
      </c>
      <c r="AR29">
        <f t="shared" si="18"/>
        <v>0</v>
      </c>
      <c r="AS29">
        <f t="shared" si="18"/>
        <v>0</v>
      </c>
      <c r="AT29">
        <f t="shared" si="18"/>
        <v>0</v>
      </c>
      <c r="AU29">
        <f t="shared" si="18"/>
        <v>0</v>
      </c>
      <c r="AV29">
        <f t="shared" si="18"/>
        <v>0</v>
      </c>
      <c r="AW29">
        <f t="shared" si="18"/>
        <v>0</v>
      </c>
      <c r="AX29">
        <f t="shared" si="18"/>
        <v>0</v>
      </c>
      <c r="AY29">
        <f t="shared" si="18"/>
        <v>0</v>
      </c>
      <c r="AZ29">
        <f t="shared" si="18"/>
        <v>0</v>
      </c>
      <c r="BA29">
        <f t="shared" si="18"/>
        <v>0</v>
      </c>
      <c r="BB29">
        <f t="shared" si="18"/>
        <v>0</v>
      </c>
      <c r="BC29">
        <f t="shared" si="18"/>
        <v>0</v>
      </c>
      <c r="BD29">
        <f t="shared" si="18"/>
        <v>0</v>
      </c>
      <c r="BE29">
        <f t="shared" si="18"/>
        <v>0</v>
      </c>
      <c r="BF29">
        <f t="shared" si="18"/>
        <v>0</v>
      </c>
      <c r="BG29">
        <f t="shared" si="18"/>
        <v>0</v>
      </c>
      <c r="BH29">
        <f t="shared" si="18"/>
        <v>0</v>
      </c>
      <c r="BI29">
        <f t="shared" si="18"/>
        <v>0</v>
      </c>
      <c r="BJ29">
        <f t="shared" si="18"/>
        <v>0</v>
      </c>
      <c r="BK29">
        <f t="shared" si="18"/>
        <v>0</v>
      </c>
      <c r="BL29">
        <f t="shared" si="18"/>
        <v>0</v>
      </c>
      <c r="BM29">
        <f t="shared" si="18"/>
        <v>0</v>
      </c>
      <c r="BN29">
        <f t="shared" si="18"/>
        <v>0</v>
      </c>
      <c r="BO29">
        <f t="shared" si="18"/>
        <v>0</v>
      </c>
      <c r="BP29">
        <f t="shared" si="18"/>
        <v>0</v>
      </c>
      <c r="BQ29">
        <f t="shared" si="18"/>
        <v>0</v>
      </c>
      <c r="BR29">
        <f t="shared" si="18"/>
        <v>0</v>
      </c>
      <c r="BS29">
        <f t="shared" si="18"/>
        <v>0</v>
      </c>
      <c r="BT29">
        <f t="shared" si="18"/>
        <v>0</v>
      </c>
      <c r="BU29">
        <f t="shared" si="18"/>
        <v>0</v>
      </c>
      <c r="BV29">
        <f t="shared" si="18"/>
        <v>0</v>
      </c>
      <c r="BW29">
        <f t="shared" ref="BW29:DB29" si="19">COUNTIF(BW6:BW28,"ausente")</f>
        <v>0</v>
      </c>
      <c r="BX29">
        <f t="shared" si="19"/>
        <v>0</v>
      </c>
      <c r="BY29">
        <f t="shared" si="19"/>
        <v>0</v>
      </c>
      <c r="BZ29">
        <f t="shared" si="19"/>
        <v>0</v>
      </c>
      <c r="CA29">
        <f t="shared" si="19"/>
        <v>0</v>
      </c>
      <c r="CB29">
        <f t="shared" si="19"/>
        <v>0</v>
      </c>
      <c r="CC29">
        <f t="shared" si="19"/>
        <v>0</v>
      </c>
      <c r="CD29">
        <f t="shared" si="19"/>
        <v>0</v>
      </c>
      <c r="CE29">
        <f t="shared" si="19"/>
        <v>0</v>
      </c>
      <c r="CF29">
        <f t="shared" si="19"/>
        <v>0</v>
      </c>
      <c r="CG29">
        <f t="shared" si="19"/>
        <v>0</v>
      </c>
      <c r="CH29">
        <f t="shared" si="19"/>
        <v>0</v>
      </c>
      <c r="CI29">
        <f t="shared" si="19"/>
        <v>0</v>
      </c>
      <c r="CJ29">
        <f t="shared" si="19"/>
        <v>0</v>
      </c>
      <c r="CK29">
        <f t="shared" si="19"/>
        <v>0</v>
      </c>
      <c r="CL29">
        <f t="shared" si="19"/>
        <v>0</v>
      </c>
      <c r="CM29">
        <f t="shared" si="19"/>
        <v>0</v>
      </c>
      <c r="CN29">
        <f t="shared" si="19"/>
        <v>0</v>
      </c>
      <c r="CO29">
        <f t="shared" si="19"/>
        <v>0</v>
      </c>
      <c r="CP29">
        <f t="shared" si="19"/>
        <v>0</v>
      </c>
      <c r="CQ29">
        <f t="shared" si="19"/>
        <v>0</v>
      </c>
      <c r="CR29">
        <f t="shared" si="19"/>
        <v>0</v>
      </c>
      <c r="CS29">
        <f t="shared" si="19"/>
        <v>0</v>
      </c>
      <c r="CT29">
        <f t="shared" si="19"/>
        <v>0</v>
      </c>
      <c r="CU29">
        <f t="shared" si="19"/>
        <v>0</v>
      </c>
      <c r="CV29">
        <f t="shared" si="19"/>
        <v>0</v>
      </c>
      <c r="CW29">
        <f t="shared" si="19"/>
        <v>0</v>
      </c>
      <c r="CX29">
        <f t="shared" si="19"/>
        <v>0</v>
      </c>
      <c r="CY29">
        <f t="shared" si="19"/>
        <v>0</v>
      </c>
      <c r="CZ29">
        <f t="shared" si="19"/>
        <v>0</v>
      </c>
      <c r="DA29">
        <f t="shared" si="19"/>
        <v>0</v>
      </c>
      <c r="DB29">
        <f t="shared" si="19"/>
        <v>0</v>
      </c>
      <c r="DC29">
        <f t="shared" ref="DC29:DT29" si="20">COUNTIF(DC6:DC28,"ausente")</f>
        <v>0</v>
      </c>
      <c r="DD29">
        <f t="shared" si="20"/>
        <v>0</v>
      </c>
      <c r="DE29">
        <f t="shared" si="20"/>
        <v>0</v>
      </c>
      <c r="DF29">
        <f t="shared" si="20"/>
        <v>0</v>
      </c>
      <c r="DG29">
        <f t="shared" si="20"/>
        <v>0</v>
      </c>
      <c r="DH29">
        <f t="shared" si="20"/>
        <v>0</v>
      </c>
      <c r="DI29">
        <f t="shared" si="20"/>
        <v>0</v>
      </c>
      <c r="DJ29">
        <f t="shared" si="20"/>
        <v>0</v>
      </c>
      <c r="DK29">
        <f t="shared" si="20"/>
        <v>0</v>
      </c>
      <c r="DL29">
        <f t="shared" si="20"/>
        <v>0</v>
      </c>
      <c r="DM29">
        <f t="shared" si="20"/>
        <v>0</v>
      </c>
      <c r="DN29">
        <f t="shared" si="20"/>
        <v>0</v>
      </c>
      <c r="DO29">
        <f t="shared" si="20"/>
        <v>0</v>
      </c>
      <c r="DP29">
        <f t="shared" si="20"/>
        <v>0</v>
      </c>
      <c r="DQ29">
        <f t="shared" si="20"/>
        <v>0</v>
      </c>
      <c r="DR29">
        <f t="shared" si="20"/>
        <v>0</v>
      </c>
      <c r="DS29">
        <f t="shared" si="20"/>
        <v>0</v>
      </c>
      <c r="DT29">
        <f t="shared" si="20"/>
        <v>0</v>
      </c>
    </row>
    <row r="30" spans="1:124" s="20" customFormat="1" ht="15.75">
      <c r="A30" s="19" t="s">
        <v>20</v>
      </c>
      <c r="B30" s="20">
        <f t="shared" ref="B30" si="21">COUNTIF(B6:B26,"abstenção")</f>
        <v>0</v>
      </c>
      <c r="C30" s="105">
        <f t="shared" ref="C30" si="22">COUNTIF(C6:C26,"abstenção")</f>
        <v>0</v>
      </c>
      <c r="D30" s="105">
        <f t="shared" ref="D30" si="23">COUNTIF(D6:D26,"abstenção")</f>
        <v>0</v>
      </c>
      <c r="K30" s="20">
        <f t="shared" ref="K30:AP30" si="24">COUNTIF(K10:K29,"abstenção")</f>
        <v>0</v>
      </c>
      <c r="L30" s="20">
        <f t="shared" si="24"/>
        <v>0</v>
      </c>
      <c r="M30" s="20">
        <f t="shared" si="24"/>
        <v>0</v>
      </c>
      <c r="N30" s="20">
        <f t="shared" si="24"/>
        <v>0</v>
      </c>
      <c r="O30" s="20">
        <f t="shared" si="24"/>
        <v>0</v>
      </c>
      <c r="P30" s="20">
        <f t="shared" si="24"/>
        <v>0</v>
      </c>
      <c r="Q30" s="20">
        <f t="shared" si="24"/>
        <v>0</v>
      </c>
      <c r="R30" s="20">
        <f t="shared" si="24"/>
        <v>0</v>
      </c>
      <c r="S30" s="20">
        <f t="shared" si="24"/>
        <v>0</v>
      </c>
      <c r="T30" s="20">
        <f t="shared" si="24"/>
        <v>0</v>
      </c>
      <c r="U30" s="20">
        <f t="shared" si="24"/>
        <v>0</v>
      </c>
      <c r="V30" s="20">
        <f t="shared" si="24"/>
        <v>0</v>
      </c>
      <c r="W30" s="20">
        <f t="shared" si="24"/>
        <v>0</v>
      </c>
      <c r="X30" s="20">
        <f t="shared" si="24"/>
        <v>0</v>
      </c>
      <c r="Y30" s="20">
        <f t="shared" si="24"/>
        <v>0</v>
      </c>
      <c r="Z30" s="20">
        <f t="shared" si="24"/>
        <v>0</v>
      </c>
      <c r="AA30" s="20">
        <f t="shared" si="24"/>
        <v>0</v>
      </c>
      <c r="AB30" s="20">
        <f t="shared" si="24"/>
        <v>0</v>
      </c>
      <c r="AC30" s="20">
        <f t="shared" si="24"/>
        <v>0</v>
      </c>
      <c r="AD30" s="20">
        <f t="shared" si="24"/>
        <v>0</v>
      </c>
      <c r="AE30" s="20">
        <f t="shared" si="24"/>
        <v>0</v>
      </c>
      <c r="AF30" s="20">
        <f t="shared" si="24"/>
        <v>0</v>
      </c>
      <c r="AG30" s="20">
        <f t="shared" si="24"/>
        <v>0</v>
      </c>
      <c r="AH30" s="20">
        <f t="shared" si="24"/>
        <v>0</v>
      </c>
      <c r="AI30" s="20">
        <f t="shared" si="24"/>
        <v>0</v>
      </c>
      <c r="AJ30" s="20">
        <f t="shared" si="24"/>
        <v>0</v>
      </c>
      <c r="AK30" s="20">
        <f t="shared" si="24"/>
        <v>0</v>
      </c>
      <c r="AL30" s="20">
        <f t="shared" si="24"/>
        <v>0</v>
      </c>
      <c r="AM30" s="20">
        <f t="shared" si="24"/>
        <v>0</v>
      </c>
      <c r="AN30" s="20">
        <f t="shared" si="24"/>
        <v>0</v>
      </c>
      <c r="AO30" s="20">
        <f t="shared" si="24"/>
        <v>0</v>
      </c>
      <c r="AP30" s="20">
        <f t="shared" si="24"/>
        <v>0</v>
      </c>
      <c r="AQ30" s="20">
        <f t="shared" ref="AQ30:BI30" si="25">COUNTIF(AQ10:AQ29,"abstenção")</f>
        <v>0</v>
      </c>
      <c r="AR30" s="20">
        <f t="shared" si="25"/>
        <v>0</v>
      </c>
      <c r="AS30" s="20">
        <f t="shared" si="25"/>
        <v>0</v>
      </c>
      <c r="AT30" s="20">
        <f t="shared" si="25"/>
        <v>0</v>
      </c>
      <c r="AU30" s="20">
        <f t="shared" si="25"/>
        <v>0</v>
      </c>
      <c r="AV30" s="20">
        <f t="shared" si="25"/>
        <v>0</v>
      </c>
      <c r="AW30" s="20">
        <f t="shared" si="25"/>
        <v>0</v>
      </c>
      <c r="AX30" s="20">
        <f t="shared" si="25"/>
        <v>0</v>
      </c>
      <c r="AY30" s="20">
        <f t="shared" si="25"/>
        <v>0</v>
      </c>
      <c r="AZ30" s="20">
        <f t="shared" si="25"/>
        <v>0</v>
      </c>
      <c r="BA30" s="20">
        <f t="shared" si="25"/>
        <v>0</v>
      </c>
      <c r="BB30" s="20">
        <f t="shared" si="25"/>
        <v>0</v>
      </c>
      <c r="BC30" s="20">
        <f t="shared" si="25"/>
        <v>0</v>
      </c>
      <c r="BD30" s="20">
        <f t="shared" si="25"/>
        <v>0</v>
      </c>
      <c r="BE30" s="20">
        <f t="shared" si="25"/>
        <v>0</v>
      </c>
      <c r="BF30" s="20">
        <f t="shared" si="25"/>
        <v>0</v>
      </c>
      <c r="BG30" s="20">
        <f t="shared" si="25"/>
        <v>0</v>
      </c>
      <c r="BH30" s="20">
        <f t="shared" si="25"/>
        <v>0</v>
      </c>
      <c r="BI30" s="20">
        <f t="shared" si="25"/>
        <v>0</v>
      </c>
      <c r="BJ30" s="20">
        <f t="shared" ref="BJ30:DT30" si="26">COUNTIF(BJ10:BJ29,"abstenção")</f>
        <v>0</v>
      </c>
      <c r="BK30" s="20">
        <f t="shared" si="26"/>
        <v>0</v>
      </c>
      <c r="BL30" s="20">
        <f t="shared" si="26"/>
        <v>0</v>
      </c>
      <c r="BM30" s="20">
        <f t="shared" si="26"/>
        <v>0</v>
      </c>
      <c r="BN30" s="20">
        <f t="shared" si="26"/>
        <v>0</v>
      </c>
      <c r="BO30" s="20">
        <f t="shared" si="26"/>
        <v>0</v>
      </c>
      <c r="BP30" s="20">
        <f t="shared" si="26"/>
        <v>0</v>
      </c>
      <c r="BQ30" s="20">
        <f t="shared" si="26"/>
        <v>0</v>
      </c>
      <c r="BR30" s="20">
        <f t="shared" si="26"/>
        <v>0</v>
      </c>
      <c r="BS30" s="20">
        <f t="shared" si="26"/>
        <v>0</v>
      </c>
      <c r="BT30" s="20">
        <f t="shared" si="26"/>
        <v>0</v>
      </c>
      <c r="BU30" s="20">
        <f t="shared" si="26"/>
        <v>0</v>
      </c>
      <c r="BV30" s="20">
        <f t="shared" si="26"/>
        <v>0</v>
      </c>
      <c r="BW30" s="20">
        <f t="shared" si="26"/>
        <v>0</v>
      </c>
      <c r="BX30" s="20">
        <f t="shared" si="26"/>
        <v>0</v>
      </c>
      <c r="BY30" s="20">
        <f t="shared" si="26"/>
        <v>0</v>
      </c>
      <c r="BZ30" s="20">
        <f t="shared" si="26"/>
        <v>0</v>
      </c>
      <c r="CA30" s="20">
        <f t="shared" si="26"/>
        <v>0</v>
      </c>
      <c r="CB30" s="20">
        <f t="shared" si="26"/>
        <v>0</v>
      </c>
      <c r="CC30" s="20">
        <f t="shared" si="26"/>
        <v>0</v>
      </c>
      <c r="CD30" s="20">
        <f t="shared" si="26"/>
        <v>0</v>
      </c>
      <c r="CE30" s="20">
        <f t="shared" si="26"/>
        <v>0</v>
      </c>
      <c r="CF30" s="20">
        <f t="shared" si="26"/>
        <v>0</v>
      </c>
      <c r="CG30" s="20">
        <f t="shared" si="26"/>
        <v>0</v>
      </c>
      <c r="CH30" s="20">
        <f t="shared" si="26"/>
        <v>0</v>
      </c>
      <c r="CI30" s="20">
        <f t="shared" si="26"/>
        <v>0</v>
      </c>
      <c r="CJ30" s="20">
        <f t="shared" si="26"/>
        <v>0</v>
      </c>
      <c r="CK30" s="20">
        <f t="shared" si="26"/>
        <v>0</v>
      </c>
      <c r="CL30" s="20">
        <f t="shared" si="26"/>
        <v>0</v>
      </c>
      <c r="CM30" s="20">
        <f t="shared" si="26"/>
        <v>0</v>
      </c>
      <c r="CN30" s="20">
        <f t="shared" si="26"/>
        <v>0</v>
      </c>
      <c r="CO30" s="20">
        <f t="shared" si="26"/>
        <v>0</v>
      </c>
      <c r="CP30" s="20">
        <f t="shared" si="26"/>
        <v>0</v>
      </c>
      <c r="CQ30" s="20">
        <f t="shared" si="26"/>
        <v>0</v>
      </c>
      <c r="CR30" s="20">
        <f t="shared" si="26"/>
        <v>0</v>
      </c>
      <c r="CS30" s="20">
        <f t="shared" si="26"/>
        <v>0</v>
      </c>
      <c r="CT30" s="20">
        <f t="shared" si="26"/>
        <v>0</v>
      </c>
      <c r="CU30" s="20">
        <f t="shared" si="26"/>
        <v>0</v>
      </c>
      <c r="CV30" s="20">
        <f t="shared" si="26"/>
        <v>0</v>
      </c>
      <c r="CW30" s="20">
        <f t="shared" si="26"/>
        <v>0</v>
      </c>
      <c r="CX30" s="20">
        <f t="shared" si="26"/>
        <v>0</v>
      </c>
      <c r="CY30" s="20">
        <f t="shared" si="26"/>
        <v>0</v>
      </c>
      <c r="CZ30" s="20">
        <f t="shared" si="26"/>
        <v>0</v>
      </c>
      <c r="DA30" s="20">
        <f t="shared" si="26"/>
        <v>0</v>
      </c>
      <c r="DB30" s="20">
        <f t="shared" si="26"/>
        <v>0</v>
      </c>
      <c r="DC30" s="20">
        <f t="shared" si="26"/>
        <v>0</v>
      </c>
      <c r="DD30" s="20">
        <f t="shared" si="26"/>
        <v>0</v>
      </c>
      <c r="DE30" s="20">
        <f t="shared" si="26"/>
        <v>0</v>
      </c>
      <c r="DF30" s="20">
        <f t="shared" si="26"/>
        <v>0</v>
      </c>
      <c r="DG30" s="20">
        <f t="shared" si="26"/>
        <v>0</v>
      </c>
      <c r="DH30" s="20">
        <f t="shared" si="26"/>
        <v>0</v>
      </c>
      <c r="DI30" s="20">
        <f t="shared" si="26"/>
        <v>0</v>
      </c>
      <c r="DJ30" s="20">
        <f t="shared" si="26"/>
        <v>0</v>
      </c>
      <c r="DK30" s="20">
        <f t="shared" si="26"/>
        <v>0</v>
      </c>
      <c r="DL30" s="20">
        <f t="shared" si="26"/>
        <v>0</v>
      </c>
      <c r="DM30" s="20">
        <f t="shared" si="26"/>
        <v>0</v>
      </c>
      <c r="DN30" s="20">
        <f t="shared" si="26"/>
        <v>0</v>
      </c>
      <c r="DO30" s="20">
        <f t="shared" si="26"/>
        <v>0</v>
      </c>
      <c r="DP30" s="20">
        <f t="shared" si="26"/>
        <v>0</v>
      </c>
      <c r="DQ30" s="20">
        <f t="shared" si="26"/>
        <v>0</v>
      </c>
      <c r="DR30" s="20">
        <f t="shared" si="26"/>
        <v>0</v>
      </c>
      <c r="DS30" s="20">
        <f t="shared" si="26"/>
        <v>0</v>
      </c>
      <c r="DT30" s="20">
        <f t="shared" si="26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F5" sqref="F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106</v>
      </c>
      <c r="B2" s="2"/>
    </row>
    <row r="3" spans="1:3" ht="15.75" thickBot="1">
      <c r="A3" s="121" t="s">
        <v>107</v>
      </c>
      <c r="B3" s="2"/>
    </row>
    <row r="4" spans="1:3" ht="78.75" customHeight="1" thickBot="1">
      <c r="A4" s="120" t="s">
        <v>5</v>
      </c>
      <c r="B4" s="111" t="s">
        <v>21</v>
      </c>
      <c r="C4" s="139" t="s">
        <v>134</v>
      </c>
    </row>
    <row r="5" spans="1:3" s="6" customFormat="1" ht="60.75" customHeight="1">
      <c r="A5" s="122"/>
      <c r="B5" s="111"/>
      <c r="C5" s="118" t="s">
        <v>135</v>
      </c>
    </row>
    <row r="6" spans="1:3" ht="15.75">
      <c r="A6" s="127" t="s">
        <v>51</v>
      </c>
      <c r="C6" s="107"/>
    </row>
    <row r="7" spans="1:3" ht="15.75">
      <c r="A7" s="127" t="s">
        <v>68</v>
      </c>
      <c r="C7" s="107"/>
    </row>
    <row r="8" spans="1:3" ht="15.75">
      <c r="A8" s="127" t="s">
        <v>54</v>
      </c>
      <c r="C8" s="107"/>
    </row>
    <row r="9" spans="1:3" ht="15.75">
      <c r="A9" s="128" t="s">
        <v>55</v>
      </c>
      <c r="C9" s="107"/>
    </row>
    <row r="10" spans="1:3" ht="15.75">
      <c r="A10" s="127" t="s">
        <v>28</v>
      </c>
      <c r="C10" s="107"/>
    </row>
    <row r="11" spans="1:3" ht="15.75">
      <c r="A11" s="127" t="s">
        <v>56</v>
      </c>
      <c r="C11" s="114"/>
    </row>
    <row r="12" spans="1:3" ht="15.75">
      <c r="A12" s="127" t="s">
        <v>22</v>
      </c>
      <c r="C12" s="107"/>
    </row>
    <row r="13" spans="1:3" ht="15.75">
      <c r="A13" s="127" t="s">
        <v>23</v>
      </c>
      <c r="B13" s="138"/>
      <c r="C13" s="114"/>
    </row>
    <row r="14" spans="1:3" ht="15.75">
      <c r="A14" s="127" t="s">
        <v>24</v>
      </c>
      <c r="C14" s="107"/>
    </row>
    <row r="15" spans="1:3" ht="15.75">
      <c r="A15" s="127" t="s">
        <v>57</v>
      </c>
      <c r="C15" s="107"/>
    </row>
    <row r="16" spans="1:3" ht="15.75">
      <c r="A16" s="127" t="s">
        <v>58</v>
      </c>
      <c r="C16" s="114"/>
    </row>
    <row r="17" spans="1:3" ht="15.75">
      <c r="A17" s="127" t="s">
        <v>59</v>
      </c>
      <c r="C17" s="107"/>
    </row>
    <row r="18" spans="1:3" ht="15.75">
      <c r="A18" s="127" t="s">
        <v>25</v>
      </c>
      <c r="C18" s="107"/>
    </row>
    <row r="19" spans="1:3" ht="15.75">
      <c r="A19" s="127" t="s">
        <v>60</v>
      </c>
      <c r="C19" s="107"/>
    </row>
    <row r="20" spans="1:3" ht="15.75">
      <c r="A20" s="127" t="s">
        <v>97</v>
      </c>
      <c r="C20" s="107"/>
    </row>
    <row r="21" spans="1:3" ht="15.75">
      <c r="A21" s="127" t="s">
        <v>26</v>
      </c>
      <c r="C21" s="107"/>
    </row>
    <row r="22" spans="1:3" ht="15.75">
      <c r="A22" s="127" t="s">
        <v>61</v>
      </c>
      <c r="C22" s="107"/>
    </row>
    <row r="23" spans="1:3" ht="15.75">
      <c r="A23" s="127" t="s">
        <v>69</v>
      </c>
      <c r="C23" s="107"/>
    </row>
    <row r="24" spans="1:3" ht="15.75">
      <c r="A24" s="127" t="s">
        <v>49</v>
      </c>
      <c r="C24" s="107"/>
    </row>
    <row r="25" spans="1:3" ht="15.75">
      <c r="A25" s="127" t="s">
        <v>92</v>
      </c>
      <c r="C25" s="107"/>
    </row>
    <row r="26" spans="1:3" ht="15.75">
      <c r="A26" s="127" t="s">
        <v>62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106</v>
      </c>
      <c r="B2" s="2"/>
      <c r="C2" s="54"/>
      <c r="D2" s="54"/>
      <c r="E2" s="54"/>
    </row>
    <row r="3" spans="1:9" ht="15.75" thickBot="1">
      <c r="A3" s="121" t="s">
        <v>107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93</v>
      </c>
      <c r="G4" s="143" t="s">
        <v>94</v>
      </c>
      <c r="H4" s="143" t="s">
        <v>95</v>
      </c>
      <c r="I4" s="143" t="s">
        <v>96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8">
      <c r="A6" s="129" t="s">
        <v>51</v>
      </c>
      <c r="C6" s="133"/>
      <c r="D6" s="133"/>
      <c r="E6" s="133"/>
      <c r="F6" s="40"/>
      <c r="G6" s="40"/>
      <c r="H6" s="40"/>
      <c r="I6" s="40"/>
    </row>
    <row r="7" spans="1:9" ht="18">
      <c r="A7" s="129" t="s">
        <v>68</v>
      </c>
      <c r="C7" s="133"/>
      <c r="D7" s="133"/>
      <c r="E7" s="133"/>
      <c r="F7" s="40"/>
      <c r="G7" s="40"/>
      <c r="H7" s="40"/>
      <c r="I7" s="40"/>
    </row>
    <row r="8" spans="1:9" ht="18">
      <c r="A8" s="129" t="s">
        <v>54</v>
      </c>
      <c r="C8" s="133"/>
      <c r="D8" s="133"/>
      <c r="E8" s="133"/>
      <c r="F8" s="40"/>
      <c r="G8" s="40"/>
      <c r="H8" s="40"/>
      <c r="I8" s="40"/>
    </row>
    <row r="9" spans="1:9" ht="18">
      <c r="A9" s="130" t="s">
        <v>55</v>
      </c>
      <c r="C9" s="133"/>
      <c r="D9" s="133"/>
      <c r="E9" s="133"/>
      <c r="F9" s="40"/>
      <c r="G9" s="40"/>
      <c r="H9" s="40"/>
      <c r="I9" s="40"/>
    </row>
    <row r="10" spans="1:9" ht="18">
      <c r="A10" s="129" t="s">
        <v>28</v>
      </c>
      <c r="C10" s="133"/>
      <c r="D10" s="133"/>
      <c r="E10" s="133"/>
      <c r="F10" s="40"/>
      <c r="G10" s="40"/>
      <c r="H10" s="40"/>
      <c r="I10" s="40"/>
    </row>
    <row r="11" spans="1:9" ht="18">
      <c r="A11" s="129" t="s">
        <v>56</v>
      </c>
      <c r="C11" s="133"/>
      <c r="D11" s="133"/>
      <c r="E11" s="133"/>
      <c r="F11" s="40"/>
      <c r="G11" s="40"/>
      <c r="H11" s="40"/>
      <c r="I11" s="40"/>
    </row>
    <row r="12" spans="1:9" ht="18">
      <c r="A12" s="129" t="s">
        <v>22</v>
      </c>
      <c r="C12" s="133"/>
      <c r="D12" s="133"/>
      <c r="E12" s="133"/>
      <c r="F12" s="40"/>
      <c r="G12" s="40"/>
      <c r="H12" s="40"/>
      <c r="I12" s="40"/>
    </row>
    <row r="13" spans="1:9" ht="18">
      <c r="A13" s="129" t="s">
        <v>23</v>
      </c>
      <c r="C13" s="133"/>
      <c r="D13" s="133"/>
      <c r="E13" s="133"/>
      <c r="F13" s="40"/>
      <c r="G13" s="40"/>
      <c r="H13" s="40"/>
      <c r="I13" s="40"/>
    </row>
    <row r="14" spans="1:9" ht="18">
      <c r="A14" s="129" t="s">
        <v>24</v>
      </c>
      <c r="C14" s="133"/>
      <c r="D14" s="133"/>
      <c r="E14" s="133"/>
      <c r="F14" s="40"/>
      <c r="G14" s="40"/>
      <c r="H14" s="40"/>
      <c r="I14" s="40"/>
    </row>
    <row r="15" spans="1:9" ht="18">
      <c r="A15" s="129" t="s">
        <v>57</v>
      </c>
      <c r="C15" s="133"/>
      <c r="D15" s="133"/>
      <c r="E15" s="133"/>
      <c r="F15" s="40"/>
      <c r="G15" s="40"/>
      <c r="H15" s="40"/>
      <c r="I15" s="40"/>
    </row>
    <row r="16" spans="1:9" ht="18">
      <c r="A16" s="129" t="s">
        <v>58</v>
      </c>
      <c r="C16" s="133"/>
      <c r="D16" s="133"/>
      <c r="E16" s="133"/>
      <c r="F16" s="40"/>
      <c r="G16" s="40"/>
      <c r="H16" s="40"/>
      <c r="I16" s="40"/>
    </row>
    <row r="17" spans="1:9" ht="18">
      <c r="A17" s="129" t="s">
        <v>59</v>
      </c>
      <c r="C17" s="133"/>
      <c r="D17" s="133"/>
      <c r="E17" s="133"/>
      <c r="F17" s="40"/>
      <c r="G17" s="40"/>
      <c r="H17" s="40"/>
      <c r="I17" s="40"/>
    </row>
    <row r="18" spans="1:9" ht="18">
      <c r="A18" s="129" t="s">
        <v>25</v>
      </c>
      <c r="C18" s="133"/>
      <c r="D18" s="133"/>
      <c r="E18" s="133"/>
      <c r="F18" s="40"/>
      <c r="G18" s="40"/>
      <c r="H18" s="40"/>
      <c r="I18" s="40"/>
    </row>
    <row r="19" spans="1:9" ht="18">
      <c r="A19" s="129" t="s">
        <v>60</v>
      </c>
      <c r="C19" s="133"/>
      <c r="D19" s="133"/>
      <c r="E19" s="133"/>
      <c r="F19" s="40"/>
      <c r="G19" s="40"/>
      <c r="H19" s="40"/>
      <c r="I19" s="40"/>
    </row>
    <row r="20" spans="1:9" ht="18">
      <c r="A20" s="129" t="s">
        <v>97</v>
      </c>
      <c r="C20" s="133"/>
      <c r="D20" s="133"/>
      <c r="E20" s="133"/>
      <c r="F20" s="40"/>
      <c r="G20" s="40"/>
      <c r="H20" s="40"/>
      <c r="I20" s="40"/>
    </row>
    <row r="21" spans="1:9" ht="18">
      <c r="A21" s="129" t="s">
        <v>26</v>
      </c>
      <c r="C21" s="133"/>
      <c r="D21" s="133"/>
      <c r="E21" s="133"/>
      <c r="F21" s="40"/>
      <c r="G21" s="40"/>
      <c r="H21" s="40"/>
      <c r="I21" s="40"/>
    </row>
    <row r="22" spans="1:9" ht="18">
      <c r="A22" s="129" t="s">
        <v>61</v>
      </c>
      <c r="C22" s="133"/>
      <c r="D22" s="133"/>
      <c r="E22" s="133"/>
      <c r="F22" s="40"/>
      <c r="G22" s="40"/>
      <c r="H22" s="40"/>
      <c r="I22" s="40"/>
    </row>
    <row r="23" spans="1:9" ht="18">
      <c r="A23" s="129" t="s">
        <v>69</v>
      </c>
      <c r="C23" s="133"/>
      <c r="D23" s="133"/>
      <c r="E23" s="133"/>
      <c r="F23" s="40"/>
      <c r="G23" s="40"/>
      <c r="H23" s="40"/>
      <c r="I23" s="40"/>
    </row>
    <row r="24" spans="1:9" ht="18">
      <c r="A24" s="129" t="s">
        <v>49</v>
      </c>
      <c r="C24" s="133"/>
      <c r="D24" s="133"/>
      <c r="E24" s="133"/>
      <c r="F24" s="40"/>
      <c r="G24" s="40"/>
      <c r="H24" s="40"/>
      <c r="I24" s="40"/>
    </row>
    <row r="25" spans="1:9" ht="18">
      <c r="A25" s="129" t="s">
        <v>92</v>
      </c>
      <c r="C25" s="133"/>
      <c r="D25" s="133"/>
      <c r="E25" s="133"/>
      <c r="F25" s="40"/>
      <c r="G25" s="40"/>
      <c r="H25" s="40"/>
      <c r="I25" s="40"/>
    </row>
    <row r="26" spans="1:9" ht="18">
      <c r="A26" s="129" t="s">
        <v>62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 t="shared" ref="C28:I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>
        <f t="shared" si="0"/>
        <v>0</v>
      </c>
    </row>
    <row r="29" spans="1:9" ht="15.75">
      <c r="A29" s="17" t="s">
        <v>19</v>
      </c>
      <c r="B29" s="18"/>
      <c r="C29" s="135">
        <f t="shared" ref="C29:I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>
        <f t="shared" si="1"/>
        <v>0</v>
      </c>
    </row>
    <row r="30" spans="1:9" ht="15.75">
      <c r="A30" s="14" t="s">
        <v>11</v>
      </c>
      <c r="C30" s="133">
        <f t="shared" ref="C30:I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>
        <f t="shared" si="2"/>
        <v>0</v>
      </c>
    </row>
    <row r="31" spans="1:9" ht="15.75">
      <c r="A31" s="19" t="s">
        <v>20</v>
      </c>
      <c r="B31" s="20"/>
      <c r="C31" s="136">
        <f t="shared" ref="C31:I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106</v>
      </c>
      <c r="B2" s="2"/>
    </row>
    <row r="3" spans="1:23">
      <c r="A3" s="76" t="s">
        <v>107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72</v>
      </c>
      <c r="E4" s="106" t="s">
        <v>73</v>
      </c>
      <c r="F4" s="106" t="s">
        <v>74</v>
      </c>
      <c r="G4" s="106" t="s">
        <v>75</v>
      </c>
      <c r="H4" s="106" t="s">
        <v>76</v>
      </c>
      <c r="I4" s="106" t="s">
        <v>77</v>
      </c>
      <c r="J4" s="106" t="s">
        <v>78</v>
      </c>
      <c r="K4" s="106" t="s">
        <v>79</v>
      </c>
      <c r="L4" s="106" t="s">
        <v>80</v>
      </c>
      <c r="M4" s="106" t="s">
        <v>81</v>
      </c>
      <c r="N4" s="106" t="s">
        <v>82</v>
      </c>
      <c r="O4" s="106" t="s">
        <v>83</v>
      </c>
      <c r="P4" s="106" t="s">
        <v>84</v>
      </c>
      <c r="Q4" s="106" t="s">
        <v>85</v>
      </c>
      <c r="R4" s="106" t="s">
        <v>86</v>
      </c>
      <c r="S4" s="106" t="s">
        <v>87</v>
      </c>
      <c r="T4" s="106" t="s">
        <v>88</v>
      </c>
      <c r="U4" s="106" t="s">
        <v>89</v>
      </c>
      <c r="V4" s="106" t="s">
        <v>90</v>
      </c>
      <c r="W4" s="106" t="s">
        <v>91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97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69</v>
      </c>
    </row>
    <row r="24" spans="1:23" ht="15.75">
      <c r="A24" s="127" t="s">
        <v>49</v>
      </c>
    </row>
    <row r="25" spans="1:23" ht="15.75">
      <c r="A25" s="127" t="s">
        <v>92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2025-11-26T20:49:59Z</dcterms:modified>
</cp:coreProperties>
</file>