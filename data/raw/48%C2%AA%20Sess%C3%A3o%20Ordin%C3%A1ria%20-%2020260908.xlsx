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326353F2-2349-4DAE-A33F-F0075B18B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C28" i="3"/>
  <c r="D28" i="3"/>
  <c r="C29" i="3"/>
  <c r="D29" i="3"/>
  <c r="C30" i="3"/>
  <c r="D30" i="3"/>
  <c r="E27" i="2"/>
  <c r="F27" i="2"/>
  <c r="E28" i="2"/>
  <c r="F28" i="2"/>
  <c r="E29" i="2"/>
  <c r="F29" i="2"/>
  <c r="E30" i="2"/>
  <c r="F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<sst xmlns="http://schemas.openxmlformats.org/spreadsheetml/2006/main" count="430" uniqueCount="125">
  <si>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</si>
  <si>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</si>
  <si>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</si>
  <si>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</si>
  <si>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</si>
  <si>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</si>
  <si>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</si>
  <si>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</si>
  <si>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</si>
  <si>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</si>
  <si>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</si>
  <si>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</si>
  <si>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</si>
  <si>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</si>
  <si>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</si>
  <si>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</si>
  <si>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</si>
  <si>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</si>
  <si>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</si>
  <si>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</si>
  <si>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</si>
  <si>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</si>
  <si>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</si>
  <si>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</si>
  <si>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</si>
  <si>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</si>
  <si>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</si>
  <si>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</si>
  <si>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</si>
  <si>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</si>
  <si>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</si>
  <si>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</si>
  <si>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</si>
  <si>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</si>
  <si>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</si>
  <si>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</si>
  <si>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</si>
  <si>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</si>
  <si>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</si>
  <si>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</si>
  <si>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</si>
  <si>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</si>
  <si>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</si>
  <si>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</si>
  <si>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</si>
  <si>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</si>
  <si>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</si>
  <si>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</si>
  <si>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</si>
  <si>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</si>
  <si>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</si>
  <si>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</si>
  <si>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</si>
  <si>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</si>
  <si>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</si>
  <si>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</si>
  <si>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</si>
  <si>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</si>
  <si>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</si>
  <si>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</si>
  <si>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</si>
  <si>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</si>
  <si>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</si>
  <si>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</si>
  <si>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</si>
  <si>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</si>
  <si>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</si>
  <si>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</si>
  <si>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</si>
  <si>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</si>
  <si>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</si>
  <si>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</si>
  <si>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</si>
  <si>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</si>
  <si>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</si>
  <si>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</si>
  <si>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</si>
  <si>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</si>
  <si>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</si>
  <si>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</si>
  <si>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</si>
  <si>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</si>
  <si>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</si>
  <si>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</si>
  <si>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</si>
  <si>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</si>
  <si>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</si>
  <si>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</si>
  <si>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</si>
  <si>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</si>
  <si>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</si>
  <si>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</si>
  <si>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</si>
  <si>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</si>
  <si>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</si>
  <si>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</si>
  <si>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</si>
  <si>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</si>
  <si>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</si>
  <si>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t>pela ausência do autor, será pautada na próxima sessão.</t>
  </si>
  <si>
    <t>pela ausência da autora, será pautada na próxima sessão.</t>
  </si>
  <si>
    <t>Justificativa de ausência da Vereadora Lúcia da Saúde.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</si>
  <si>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</si>
  <si>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t>pela ausência da autora, será pautado na próxima sessão.</t>
  </si>
  <si>
    <r>
      <t xml:space="preserve">MOÇÃO DE CONGRATULAÇÕES N.º 236/2026 – LÚCIA DA SAÚDE – </t>
    </r>
    <r>
      <rPr>
        <sz val="11"/>
        <color theme="1"/>
        <rFont val="Arial"/>
        <family val="2"/>
      </rPr>
      <t>Pelo “Dia do Nutricionista”, celebrado anualmente em 31 de agosto.</t>
    </r>
  </si>
  <si>
    <r>
      <t xml:space="preserve">MOÇÃO DE CONGRATULAÇÕES N.º 242/2026 – DELBIO TERUEL – </t>
    </r>
    <r>
      <rPr>
        <sz val="11"/>
        <color theme="1"/>
        <rFont val="Arial"/>
        <family val="2"/>
      </rPr>
      <t>Ao Excelentíssimo Senhor Prefeito de Osasco, Gerson Pessoa, extensiva à Controladoria Interna, às Secretarias Municipais e aos servidores públicos envolvidos nas ações de transparência e governança, pela conquista do 1º lugar no Ranking de Transparência e Governança Pública 2026.</t>
    </r>
  </si>
  <si>
    <r>
      <t xml:space="preserve">MOÇÃO DE APOIO N.º 245/2026 – LÚCIA DA SAÚDE – </t>
    </r>
    <r>
      <rPr>
        <sz val="11"/>
        <color theme="1"/>
        <rFont val="Arial"/>
        <family val="2"/>
      </rPr>
      <t>À “Campanha Setembro Amarelo”, movimento de conscientização, prevenção e promoção do cuidado com a saúde mental e de prevenção do suicídio.</t>
    </r>
  </si>
  <si>
    <r>
      <t xml:space="preserve">MOÇÃO DE APLAUSO N.º 246/2026 – BATISTA COMUNIDADE – </t>
    </r>
    <r>
      <rPr>
        <sz val="11"/>
        <color theme="1"/>
        <rFont val="Arial"/>
        <family val="2"/>
      </rPr>
      <t>Ao médico psiquiatra, cientista, escritor e pensador brasileiro, Dr. Augusto Cury, por sua contribuição inestimável à saúde mental, ao desenvolvimento humano e à educação emocional de milhões de pessoas no Brasil e no mundo.</t>
    </r>
  </si>
  <si>
    <t>48ª SESSÃO ORDINÁRIA</t>
  </si>
  <si>
    <t>DIA 8 DE SETEMBRO DE 2026 - TERÇA-FEIRA</t>
  </si>
  <si>
    <t>MENSAGEM VETO PROLEGIS Nº 9/2026 – PREFEITO DO MUNICÍPIO DE OSASCO – Informa o veto total ao projeto de lei nº 22/2026 de autoria do vereador Gabriel Saúde, que insere no Calendário Oficial de Eventos do Município a Meia Maratona de Osasco.</t>
  </si>
  <si>
    <t>MENSAGEM VETO PROLEGIS Nº 10/2026 – PREFEITO DO MUNICÍPIO DE OSASCO – Informa o veto total ao projeto de lei nº 33/2026 de autoria do vereador Gabriel Saúde, que institui a Caminhada Passos TEA no calendário oficial de eventos do Município de Osasco e dá outras providências.</t>
  </si>
  <si>
    <r>
      <t>MOÇÃO DE APLAUSO N.º 250/2026 – JOSIAS DA JUCO –</t>
    </r>
    <r>
      <rPr>
        <sz val="11"/>
        <color theme="1"/>
        <rFont val="Arial"/>
        <family val="2"/>
      </rPr>
      <t xml:space="preserve"> Aos Guardas Civis Municipais Tardelli e João Victor, integrantes da Guarda Civil de Osasco, em reconhecimento ao trabalho de excelência desenvolvido no exercício de suas funções, marcado por comprometimento, profissionalismo, coragem, e dedicação à proteção da população osasquense.</t>
    </r>
  </si>
  <si>
    <r>
      <t xml:space="preserve">MOÇÃO DE CONGRATULAÇÕES N.º 251/2026 – ELSA OLIVEIRA – </t>
    </r>
    <r>
      <rPr>
        <sz val="11"/>
        <color theme="1"/>
        <rFont val="Arial"/>
        <family val="2"/>
      </rPr>
      <t>A todos os professores de Educação Física, pela passagem do Dia do Professor de Educação Física, celebrado em 1º de setembro.</t>
    </r>
  </si>
  <si>
    <r>
      <t xml:space="preserve">MOÇÃO DE APLAUSO N.º 252/2026 – BATISTA COMUNIDADE – </t>
    </r>
    <r>
      <rPr>
        <sz val="11"/>
        <color theme="1"/>
        <rFont val="Arial"/>
        <family val="2"/>
      </rPr>
      <t>Ao senhor Nelson Crispim de Araújo, morador da Vila Menck, por sua trajetória de vida marcada pelo trabalho, honestidade, dedicação à família e pela participação comunitária ao longo de mais de seis décadas em Osasco.</t>
    </r>
  </si>
  <si>
    <r>
      <t xml:space="preserve">MOÇÃO DE APLAUSO N.º 253/2026 – ALEXANDRE CAPRIOTTI – </t>
    </r>
    <r>
      <rPr>
        <sz val="11"/>
        <color theme="1"/>
        <rFont val="Arial"/>
        <family val="2"/>
      </rPr>
      <t>Aos atletas e à equipe técnica do Basquetebol 3x3 de Osasco, pelo excelente desempenho nos Jogos Regionais 2026.</t>
    </r>
  </si>
  <si>
    <r>
      <t xml:space="preserve">MOÇÃO DE APLAUSO N.º 254/2026 – ALEXANDRE CAPRIOTTI – </t>
    </r>
    <r>
      <rPr>
        <sz val="11"/>
        <color theme="1"/>
        <rFont val="Arial"/>
        <family val="2"/>
      </rPr>
      <t>Ao Ciclismo de Osasco, pela destacada participação nos 68º Jogos Regionais, realizados em Praia Grande.</t>
    </r>
  </si>
  <si>
    <r>
      <t xml:space="preserve">MOÇÃO DE RECONHECIMENTO N.º 255/2026 – DELBIO TERUEL – </t>
    </r>
    <r>
      <rPr>
        <sz val="11"/>
        <color theme="1"/>
        <rFont val="Arial"/>
        <family val="2"/>
      </rPr>
      <t>Aos garis e demais profissionais da limpeza urbana, pela importância, dedicação e relevância do trabalho desempenhado diariamente em benefício da população.</t>
    </r>
  </si>
  <si>
    <r>
      <t xml:space="preserve">MOÇÃO DE RECONHECIMENTO N.º 256/2026 – ALEXANDRE CAPRIOTTI – </t>
    </r>
    <r>
      <rPr>
        <sz val="11"/>
        <color theme="1"/>
        <rFont val="Arial"/>
        <family val="2"/>
      </rPr>
      <t>Ao Senhor Rafael Cardoso Buin, por sua trajetória de dedicação à vida pública e compromisso permanente com o atendimento à população de Osasco.</t>
    </r>
  </si>
  <si>
    <r>
      <t xml:space="preserve">PROJETO DE LEI N.º 77/2026 – RALFI - </t>
    </r>
    <r>
      <rPr>
        <sz val="14"/>
        <color theme="1"/>
        <rFont val="Arial"/>
        <family val="2"/>
      </rPr>
      <t>Dispõe sobre diretrizes para a promoção da triagem precoce para detecção de sinais de Transtorno do Espectro Autista (TEA) e outras deficiências no Município de Osasco.</t>
    </r>
  </si>
  <si>
    <t>pela ausência do autor, será pautado na próxima sessão.</t>
  </si>
  <si>
    <r>
      <t>PROJETO DE LEI N.º 89/2026 - JOSIAS DA JUCO -</t>
    </r>
    <r>
      <rPr>
        <sz val="11"/>
        <color theme="1"/>
        <rFont val="Arial"/>
        <family val="2"/>
      </rPr>
      <t xml:space="preserve"> Altera a Lei nº 4.855, de 07 de dezembro de 2017, para estender a prorrogação da licença-maternidade às servidoras públicas municipais que adotarem ou obtiverem guarda judicial para fins de adoção.</t>
    </r>
  </si>
  <si>
    <r>
      <t>PROJETO DE LEI N.º 131/2026 - CANTOR GOLEIRO -</t>
    </r>
    <r>
      <rPr>
        <sz val="11"/>
        <color theme="1"/>
        <rFont val="Arial"/>
        <family val="2"/>
      </rPr>
      <t xml:space="preserve"> Institui no Calendário Oficial de Eventos de Osasco o Dia do Aniversário do Jd. Canaã.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</si>
  <si>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</si>
  <si>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r>
      <t xml:space="preserve">PROJETO DE LEI N.º 147/2026 - GABRIEL SAÚDE - </t>
    </r>
    <r>
      <rPr>
        <sz val="11"/>
        <color theme="1"/>
        <rFont val="Arial"/>
        <family val="2"/>
      </rPr>
      <t>Denomina Viela José Carlos de Arruda a atual Viela 15 do Loteamento Jardim Velloso, situado no Bairro Veloso.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</si>
</sst>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A57" sqref="A5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1" t="s">
        <v>27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70"/>
      <c r="O1" s="70"/>
      <c r="P1" s="70"/>
      <c r="Q1" s="40">
        <v>1</v>
      </c>
      <c r="R1" s="36" t="s">
        <v>10</v>
      </c>
      <c r="T1" s="155"/>
      <c r="U1" s="155"/>
      <c r="V1" s="155"/>
      <c r="W1" s="155"/>
      <c r="X1" s="155"/>
      <c r="Y1" s="155"/>
      <c r="Z1" s="7" t="s">
        <v>16</v>
      </c>
    </row>
    <row r="2" spans="1:28" ht="19.5" customHeight="1">
      <c r="A2" s="83" t="s">
        <v>108</v>
      </c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70"/>
      <c r="O2" s="70"/>
      <c r="P2" s="70"/>
      <c r="Q2" s="35">
        <v>2</v>
      </c>
      <c r="R2" s="36" t="s">
        <v>11</v>
      </c>
      <c r="T2" s="155"/>
      <c r="U2" s="155"/>
      <c r="V2" s="155"/>
      <c r="W2" s="155"/>
      <c r="X2" s="155"/>
      <c r="Y2" s="155"/>
      <c r="Z2" s="7" t="s">
        <v>17</v>
      </c>
    </row>
    <row r="3" spans="1:28" ht="19.5" customHeight="1" thickBot="1">
      <c r="A3" s="83" t="s">
        <v>109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70"/>
      <c r="O3" s="70"/>
      <c r="P3" s="70"/>
      <c r="Q3" s="41">
        <v>3</v>
      </c>
      <c r="R3" s="37" t="s">
        <v>12</v>
      </c>
      <c r="T3" s="155"/>
      <c r="U3" s="155"/>
      <c r="V3" s="155"/>
      <c r="W3" s="155"/>
      <c r="X3" s="155"/>
      <c r="Y3" s="155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5"/>
      <c r="U4" s="155"/>
      <c r="V4" s="155"/>
      <c r="W4" s="155"/>
      <c r="X4" s="155"/>
      <c r="Y4" s="155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5"/>
      <c r="U5" s="155"/>
      <c r="V5" s="155"/>
      <c r="W5" s="155"/>
      <c r="X5" s="155"/>
      <c r="Y5" s="155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5"/>
      <c r="U6" s="155"/>
      <c r="V6" s="155"/>
      <c r="W6" s="155"/>
      <c r="X6" s="155"/>
      <c r="Y6" s="155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2</v>
      </c>
      <c r="K7" s="102" t="s">
        <v>48</v>
      </c>
      <c r="L7" s="67"/>
      <c r="M7" s="65"/>
      <c r="N7" s="63"/>
      <c r="O7" s="102"/>
      <c r="P7" s="63"/>
      <c r="Q7" s="63"/>
      <c r="R7" s="102"/>
      <c r="S7" s="89"/>
      <c r="T7" s="155"/>
      <c r="U7" s="155"/>
      <c r="V7" s="155"/>
      <c r="W7" s="155"/>
      <c r="X7" s="155"/>
      <c r="Y7" s="155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5"/>
      <c r="U8" s="155"/>
      <c r="V8" s="155"/>
      <c r="W8" s="155"/>
      <c r="X8" s="155"/>
      <c r="Y8" s="155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5"/>
      <c r="U9" s="155"/>
      <c r="V9" s="155"/>
      <c r="W9" s="155"/>
      <c r="X9" s="155"/>
      <c r="Y9" s="155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5"/>
      <c r="U10" s="155"/>
      <c r="V10" s="155"/>
      <c r="W10" s="155"/>
      <c r="X10" s="155"/>
      <c r="Y10" s="155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5"/>
      <c r="U11" s="155"/>
      <c r="V11" s="155"/>
      <c r="W11" s="155"/>
      <c r="X11" s="155"/>
      <c r="Y11" s="155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5"/>
      <c r="U12" s="155"/>
      <c r="V12" s="155"/>
      <c r="W12" s="155"/>
      <c r="X12" s="155"/>
      <c r="Y12" s="155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5"/>
      <c r="U13" s="155"/>
      <c r="V13" s="155"/>
      <c r="W13" s="155"/>
      <c r="X13" s="155"/>
      <c r="Y13" s="155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5"/>
      <c r="U14" s="155"/>
      <c r="V14" s="155"/>
      <c r="W14" s="155"/>
      <c r="X14" s="155"/>
      <c r="Y14" s="155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5"/>
      <c r="U15" s="155"/>
      <c r="V15" s="155"/>
      <c r="W15" s="155"/>
      <c r="X15" s="155"/>
      <c r="Y15" s="155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5"/>
      <c r="U16" s="155"/>
      <c r="V16" s="155"/>
      <c r="W16" s="155"/>
      <c r="X16" s="155"/>
      <c r="Y16" s="155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2</v>
      </c>
      <c r="G17" s="102" t="s">
        <v>48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5"/>
      <c r="U17" s="155"/>
      <c r="V17" s="155"/>
      <c r="W17" s="155"/>
      <c r="X17" s="155"/>
      <c r="Y17" s="155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5"/>
      <c r="U18" s="155"/>
      <c r="V18" s="155"/>
      <c r="W18" s="155"/>
      <c r="X18" s="155"/>
      <c r="Y18" s="155"/>
    </row>
    <row r="19" spans="1:28" ht="18" customHeight="1">
      <c r="A19" s="46" t="s">
        <v>90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5"/>
      <c r="U19" s="155"/>
      <c r="V19" s="155"/>
      <c r="W19" s="155"/>
      <c r="X19" s="155"/>
      <c r="Y19" s="155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5"/>
      <c r="U20" s="155"/>
      <c r="V20" s="155"/>
      <c r="W20" s="155"/>
      <c r="X20" s="155"/>
      <c r="Y20" s="155"/>
    </row>
    <row r="21" spans="1:28" ht="18" customHeight="1">
      <c r="A21" s="46" t="s">
        <v>95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5"/>
      <c r="U21" s="155"/>
      <c r="V21" s="155"/>
      <c r="W21" s="155"/>
      <c r="X21" s="155"/>
      <c r="Y21" s="155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5"/>
      <c r="U22" s="155"/>
      <c r="V22" s="155"/>
      <c r="W22" s="155"/>
      <c r="X22" s="155"/>
      <c r="Y22" s="155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5"/>
      <c r="U23" s="155"/>
      <c r="V23" s="155"/>
      <c r="W23" s="155"/>
      <c r="X23" s="155"/>
      <c r="Y23" s="155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5"/>
      <c r="U24" s="155"/>
      <c r="V24" s="155"/>
      <c r="W24" s="155"/>
      <c r="X24" s="155"/>
      <c r="Y24" s="155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5"/>
      <c r="U25" s="155"/>
      <c r="V25" s="155"/>
      <c r="W25" s="155"/>
      <c r="X25" s="155"/>
      <c r="Y25" s="155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12</v>
      </c>
      <c r="G26" s="96" t="s">
        <v>43</v>
      </c>
      <c r="H26" s="100"/>
      <c r="I26" s="101"/>
      <c r="J26" s="98">
        <v>18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9</v>
      </c>
      <c r="G27" s="96" t="s">
        <v>44</v>
      </c>
      <c r="H27" s="100"/>
      <c r="I27" s="96"/>
      <c r="J27" s="98">
        <v>3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55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95</v>
      </c>
      <c r="V44" s="12"/>
      <c r="W44" s="12"/>
    </row>
    <row r="45" spans="1:23" ht="18">
      <c r="A45" s="34" t="s">
        <v>54</v>
      </c>
      <c r="V45" s="12"/>
      <c r="W45" s="12"/>
    </row>
    <row r="46" spans="1:23" ht="18">
      <c r="A46" s="34" t="s">
        <v>24</v>
      </c>
      <c r="V46" s="12"/>
      <c r="W46" s="12"/>
    </row>
    <row r="47" spans="1:23" ht="18">
      <c r="A47" s="34" t="s">
        <v>61</v>
      </c>
      <c r="V47" s="12"/>
      <c r="W47" s="12"/>
    </row>
    <row r="48" spans="1:23" ht="18">
      <c r="A48" s="34" t="s">
        <v>82</v>
      </c>
      <c r="B48" s="7"/>
      <c r="V48" s="12"/>
      <c r="W48" s="32"/>
    </row>
    <row r="49" spans="1:23" ht="18">
      <c r="A49" s="34" t="s">
        <v>23</v>
      </c>
      <c r="W49" s="12"/>
    </row>
    <row r="50" spans="1:23" ht="18">
      <c r="A50" s="34" t="s">
        <v>53</v>
      </c>
      <c r="W50" s="12"/>
    </row>
    <row r="51" spans="1:23" ht="18">
      <c r="A51" s="34" t="s">
        <v>51</v>
      </c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49</v>
      </c>
    </row>
    <row r="56" spans="1:23" ht="18">
      <c r="A56" s="34" t="s">
        <v>90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R16" sqref="R16"/>
    </sheetView>
  </sheetViews>
  <sheetFormatPr defaultColWidth="9.140625" defaultRowHeight="12.75"/>
  <cols>
    <col min="1" max="1" width="47.7109375" style="22" customWidth="1"/>
    <col min="2" max="5" width="23.7109375" style="22" customWidth="1"/>
    <col min="6" max="6" width="19" style="22" customWidth="1"/>
    <col min="7" max="7" width="26.28515625" style="22" customWidth="1"/>
    <col min="8" max="8" width="22.140625" style="22" customWidth="1"/>
    <col min="9" max="19" width="22.7109375" style="22" customWidth="1"/>
    <col min="20" max="16384" width="9.140625" style="22"/>
  </cols>
  <sheetData>
    <row r="1" spans="1:19" ht="15">
      <c r="A1" s="76" t="s">
        <v>8</v>
      </c>
      <c r="B1" s="21"/>
      <c r="C1" s="21"/>
      <c r="D1" s="21"/>
      <c r="E1" s="21"/>
      <c r="F1" s="21"/>
      <c r="G1" s="21"/>
    </row>
    <row r="2" spans="1:19" ht="15">
      <c r="A2" s="76" t="s">
        <v>108</v>
      </c>
      <c r="B2" s="21"/>
      <c r="C2" s="21"/>
      <c r="D2" s="21"/>
      <c r="E2" s="21"/>
      <c r="F2" s="21"/>
      <c r="G2" s="21"/>
    </row>
    <row r="3" spans="1:19" ht="17.25" customHeight="1">
      <c r="A3" s="76" t="s">
        <v>109</v>
      </c>
      <c r="B3" s="21"/>
      <c r="C3" s="21"/>
      <c r="D3" s="21"/>
      <c r="E3" s="21"/>
      <c r="F3" s="21"/>
      <c r="G3" s="21"/>
    </row>
    <row r="4" spans="1:19" ht="63" customHeight="1">
      <c r="A4" s="51" t="str">
        <f>'[1]MOÇÃO E REQUERIMENTO'!B7</f>
        <v>EXPEDIENTE</v>
      </c>
      <c r="B4" s="50" t="s">
        <v>42</v>
      </c>
      <c r="C4" s="117" t="s">
        <v>101</v>
      </c>
      <c r="D4" s="117" t="s">
        <v>110</v>
      </c>
      <c r="E4" s="117" t="s">
        <v>111</v>
      </c>
      <c r="F4" s="112" t="s">
        <v>32</v>
      </c>
      <c r="G4" s="123"/>
      <c r="H4" s="50" t="s">
        <v>25</v>
      </c>
      <c r="I4" s="84" t="s">
        <v>104</v>
      </c>
      <c r="J4" s="84" t="s">
        <v>105</v>
      </c>
      <c r="K4" s="84" t="s">
        <v>106</v>
      </c>
      <c r="L4" s="84" t="s">
        <v>107</v>
      </c>
      <c r="M4" s="84" t="s">
        <v>112</v>
      </c>
      <c r="N4" s="84" t="s">
        <v>113</v>
      </c>
      <c r="O4" s="84" t="s">
        <v>114</v>
      </c>
      <c r="P4" s="84" t="s">
        <v>115</v>
      </c>
      <c r="Q4" s="84" t="s">
        <v>116</v>
      </c>
      <c r="R4" s="84" t="s">
        <v>117</v>
      </c>
      <c r="S4" s="84" t="s">
        <v>118</v>
      </c>
    </row>
    <row r="5" spans="1:19" s="59" customFormat="1" ht="48" customHeight="1">
      <c r="A5" s="57" t="s">
        <v>40</v>
      </c>
      <c r="B5" s="55"/>
      <c r="C5" s="55"/>
      <c r="D5" s="55"/>
      <c r="E5" s="55"/>
      <c r="F5" s="55"/>
      <c r="G5" s="113"/>
      <c r="I5" s="149" t="s">
        <v>100</v>
      </c>
      <c r="J5" s="113" t="s">
        <v>84</v>
      </c>
      <c r="K5" s="149" t="s">
        <v>100</v>
      </c>
      <c r="L5" s="113" t="s">
        <v>84</v>
      </c>
      <c r="M5" s="149" t="s">
        <v>99</v>
      </c>
      <c r="N5" s="149" t="s">
        <v>100</v>
      </c>
      <c r="O5" s="113" t="s">
        <v>84</v>
      </c>
      <c r="P5" s="113" t="s">
        <v>84</v>
      </c>
      <c r="Q5" s="149" t="s">
        <v>99</v>
      </c>
      <c r="R5" s="113" t="s">
        <v>84</v>
      </c>
      <c r="S5" s="149" t="s">
        <v>99</v>
      </c>
    </row>
    <row r="6" spans="1:19" ht="15.75">
      <c r="A6" s="126" t="s">
        <v>96</v>
      </c>
      <c r="H6" s="23"/>
    </row>
    <row r="7" spans="1:19" ht="15.75">
      <c r="A7" s="126" t="s">
        <v>60</v>
      </c>
      <c r="H7" s="23"/>
    </row>
    <row r="8" spans="1:19" ht="15.75">
      <c r="A8" s="126" t="s">
        <v>49</v>
      </c>
      <c r="H8" s="23"/>
    </row>
    <row r="9" spans="1:19" ht="15.75">
      <c r="A9" s="127" t="s">
        <v>50</v>
      </c>
      <c r="H9" s="23"/>
    </row>
    <row r="10" spans="1:19" ht="15.75">
      <c r="A10" s="126" t="s">
        <v>26</v>
      </c>
      <c r="H10" s="23"/>
    </row>
    <row r="11" spans="1:19" ht="15.75">
      <c r="A11" s="126" t="s">
        <v>51</v>
      </c>
      <c r="H11" s="23"/>
    </row>
    <row r="12" spans="1:19" ht="15.75">
      <c r="A12" s="126" t="s">
        <v>22</v>
      </c>
      <c r="H12" s="23"/>
    </row>
    <row r="13" spans="1:19" ht="15.75">
      <c r="A13" s="126" t="s">
        <v>23</v>
      </c>
      <c r="H13" s="23"/>
    </row>
    <row r="14" spans="1:19" ht="15.75">
      <c r="A14" s="126" t="s">
        <v>52</v>
      </c>
      <c r="H14" s="23"/>
    </row>
    <row r="15" spans="1:19" ht="15.75">
      <c r="A15" s="126" t="s">
        <v>53</v>
      </c>
      <c r="H15" s="23"/>
    </row>
    <row r="16" spans="1:19" ht="15.75">
      <c r="A16" s="126" t="s">
        <v>54</v>
      </c>
      <c r="H16" s="23"/>
    </row>
    <row r="17" spans="1:8" ht="15.75">
      <c r="A17" s="126" t="s">
        <v>89</v>
      </c>
      <c r="H17" s="23"/>
    </row>
    <row r="18" spans="1:8" ht="15.75">
      <c r="A18" s="126" t="s">
        <v>24</v>
      </c>
      <c r="H18" s="23"/>
    </row>
    <row r="19" spans="1:8" ht="15.75">
      <c r="A19" s="126" t="s">
        <v>55</v>
      </c>
      <c r="H19" s="23"/>
    </row>
    <row r="20" spans="1:8" ht="15.75">
      <c r="A20" s="126" t="s">
        <v>90</v>
      </c>
      <c r="H20" s="23"/>
    </row>
    <row r="21" spans="1:8" ht="15.75">
      <c r="A21" s="126" t="s">
        <v>83</v>
      </c>
      <c r="H21" s="23"/>
    </row>
    <row r="22" spans="1:8" ht="15.75">
      <c r="A22" s="126" t="s">
        <v>95</v>
      </c>
      <c r="H22" s="23"/>
    </row>
    <row r="23" spans="1:8" ht="15.75">
      <c r="A23" s="126" t="s">
        <v>97</v>
      </c>
      <c r="H23" s="23"/>
    </row>
    <row r="24" spans="1:8" ht="15.75">
      <c r="A24" s="126" t="s">
        <v>61</v>
      </c>
      <c r="H24" s="23"/>
    </row>
    <row r="25" spans="1:8" ht="15.75">
      <c r="A25" s="126" t="s">
        <v>82</v>
      </c>
      <c r="H25" s="23"/>
    </row>
    <row r="26" spans="1:8" ht="15.75">
      <c r="A26" s="126" t="s">
        <v>56</v>
      </c>
      <c r="H26" s="23"/>
    </row>
    <row r="27" spans="1:8" s="25" customFormat="1">
      <c r="A27" s="24" t="s">
        <v>18</v>
      </c>
    </row>
    <row r="28" spans="1:8" s="27" customFormat="1">
      <c r="A28" s="26" t="s">
        <v>19</v>
      </c>
    </row>
    <row r="29" spans="1:8">
      <c r="A29" s="28" t="s">
        <v>11</v>
      </c>
    </row>
    <row r="30" spans="1:8" s="30" customFormat="1">
      <c r="A30" s="29" t="s">
        <v>20</v>
      </c>
    </row>
    <row r="32" spans="1: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F5" sqref="F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108</v>
      </c>
      <c r="B2" s="49"/>
      <c r="C2" s="74"/>
    </row>
    <row r="3" spans="1:46" ht="17.25" customHeight="1">
      <c r="A3" s="76" t="s">
        <v>109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102</v>
      </c>
      <c r="F4" s="139" t="s">
        <v>119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35</v>
      </c>
      <c r="B5" s="78"/>
      <c r="C5" s="144"/>
      <c r="D5" s="79"/>
      <c r="E5" s="149" t="s">
        <v>103</v>
      </c>
      <c r="F5" s="149" t="s">
        <v>120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96</v>
      </c>
      <c r="C6" s="107"/>
      <c r="E6" s="107"/>
      <c r="F6" s="107"/>
      <c r="G6" s="142"/>
    </row>
    <row r="7" spans="1:46" ht="20.25">
      <c r="A7" s="46" t="s">
        <v>60</v>
      </c>
      <c r="C7" s="107"/>
      <c r="E7" s="107"/>
      <c r="F7" s="107"/>
    </row>
    <row r="8" spans="1:46" ht="20.25">
      <c r="A8" s="46" t="s">
        <v>49</v>
      </c>
      <c r="C8" s="107"/>
      <c r="E8" s="107"/>
      <c r="F8" s="107"/>
    </row>
    <row r="9" spans="1:46" ht="20.25">
      <c r="A9" s="82" t="s">
        <v>50</v>
      </c>
      <c r="C9" s="114"/>
      <c r="E9" s="114"/>
      <c r="F9" s="114"/>
    </row>
    <row r="10" spans="1:46" ht="20.25">
      <c r="A10" s="46" t="s">
        <v>26</v>
      </c>
      <c r="C10" s="107"/>
      <c r="E10" s="107"/>
      <c r="F10" s="107"/>
    </row>
    <row r="11" spans="1:46" ht="20.25">
      <c r="A11" s="46" t="s">
        <v>51</v>
      </c>
      <c r="C11" s="107"/>
      <c r="E11" s="107"/>
      <c r="F11" s="107"/>
    </row>
    <row r="12" spans="1:46" ht="20.25">
      <c r="A12" s="46" t="s">
        <v>22</v>
      </c>
      <c r="C12" s="114"/>
      <c r="E12" s="107"/>
      <c r="F12" s="107"/>
    </row>
    <row r="13" spans="1:46" ht="20.25">
      <c r="A13" s="46" t="s">
        <v>23</v>
      </c>
      <c r="C13" s="107"/>
      <c r="E13" s="114"/>
      <c r="F13" s="114"/>
    </row>
    <row r="14" spans="1:46" ht="20.25">
      <c r="A14" s="46" t="s">
        <v>52</v>
      </c>
      <c r="C14" s="107"/>
      <c r="E14" s="107"/>
      <c r="F14" s="107"/>
    </row>
    <row r="15" spans="1:46" ht="20.25">
      <c r="A15" s="46" t="s">
        <v>53</v>
      </c>
      <c r="C15" s="107"/>
      <c r="E15" s="107"/>
      <c r="F15" s="107"/>
    </row>
    <row r="16" spans="1:46" ht="20.25">
      <c r="A16" s="46" t="s">
        <v>54</v>
      </c>
      <c r="C16" s="143"/>
      <c r="E16" s="114"/>
      <c r="F16" s="114"/>
    </row>
    <row r="17" spans="1:131" ht="20.25">
      <c r="A17" s="46" t="s">
        <v>89</v>
      </c>
      <c r="C17" s="114"/>
      <c r="E17" s="107"/>
      <c r="F17" s="107"/>
    </row>
    <row r="18" spans="1:131" ht="20.25">
      <c r="A18" s="46" t="s">
        <v>24</v>
      </c>
      <c r="C18" s="107"/>
      <c r="E18" s="107"/>
      <c r="F18" s="107"/>
    </row>
    <row r="19" spans="1:131" ht="20.25">
      <c r="A19" s="46" t="s">
        <v>55</v>
      </c>
      <c r="C19" s="107"/>
      <c r="E19" s="107"/>
      <c r="F19" s="107"/>
    </row>
    <row r="20" spans="1:131" ht="20.25">
      <c r="A20" s="46" t="s">
        <v>90</v>
      </c>
      <c r="C20" s="114"/>
      <c r="E20" s="107"/>
      <c r="F20" s="107"/>
    </row>
    <row r="21" spans="1:131" ht="20.25">
      <c r="A21" s="46" t="s">
        <v>83</v>
      </c>
      <c r="C21" s="114"/>
      <c r="E21" s="114"/>
      <c r="F21" s="114"/>
    </row>
    <row r="22" spans="1:131" ht="20.25">
      <c r="A22" s="46" t="s">
        <v>95</v>
      </c>
      <c r="C22" s="107"/>
      <c r="E22" s="114"/>
      <c r="F22" s="114"/>
    </row>
    <row r="23" spans="1:131" ht="20.25">
      <c r="A23" s="46" t="s">
        <v>97</v>
      </c>
      <c r="C23" s="114"/>
      <c r="E23" s="107"/>
      <c r="F23" s="107"/>
    </row>
    <row r="24" spans="1:131" ht="20.25">
      <c r="A24" s="46" t="s">
        <v>61</v>
      </c>
      <c r="C24" s="107"/>
      <c r="E24" s="107"/>
      <c r="F24" s="107"/>
    </row>
    <row r="25" spans="1:131" ht="20.25">
      <c r="A25" s="46" t="s">
        <v>82</v>
      </c>
      <c r="C25" s="107"/>
      <c r="E25" s="107"/>
      <c r="F25" s="107"/>
    </row>
    <row r="26" spans="1:131" ht="20.25">
      <c r="A26" s="46" t="s">
        <v>56</v>
      </c>
      <c r="C26" s="107"/>
      <c r="E26" s="114"/>
      <c r="F26" s="114"/>
    </row>
    <row r="27" spans="1:131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F27" si="0">COUNTIF(E6:E26,"sim")</f>
        <v>0</v>
      </c>
      <c r="F27" s="103">
        <f t="shared" si="0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F28" si="1">COUNTIF(E6:E26,"não")</f>
        <v>0</v>
      </c>
      <c r="F28" s="104">
        <f t="shared" si="1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 t="shared" ref="E29:F29" si="2">COUNTIF(E6:E26,"ausente")</f>
        <v>0</v>
      </c>
      <c r="F29" s="40">
        <f t="shared" si="2"/>
        <v>0</v>
      </c>
    </row>
    <row r="30" spans="1:131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F30" si="3">COUNTIF(E6:E26,"abstenção")</f>
        <v>0</v>
      </c>
      <c r="F30" s="105">
        <f t="shared" si="3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4" sqref="G4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19" t="s">
        <v>5</v>
      </c>
      <c r="B4" s="118" t="s">
        <v>7</v>
      </c>
      <c r="C4" s="138" t="s">
        <v>121</v>
      </c>
      <c r="D4" s="138" t="s">
        <v>122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50" t="s">
        <v>87</v>
      </c>
      <c r="D5" s="150" t="s">
        <v>123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8" t="s">
        <v>96</v>
      </c>
      <c r="C6" s="107" t="s">
        <v>88</v>
      </c>
      <c r="D6" s="107"/>
      <c r="V6" s="7"/>
      <c r="W6" s="7"/>
    </row>
    <row r="7" spans="1:30" ht="18">
      <c r="A7" s="128" t="s">
        <v>60</v>
      </c>
      <c r="C7" s="114" t="s">
        <v>48</v>
      </c>
      <c r="D7" s="107"/>
      <c r="V7" s="7"/>
      <c r="W7" s="7"/>
    </row>
    <row r="8" spans="1:30" ht="18">
      <c r="A8" s="128" t="s">
        <v>49</v>
      </c>
      <c r="C8" s="107" t="s">
        <v>88</v>
      </c>
      <c r="D8" s="107"/>
      <c r="V8" s="7"/>
      <c r="W8" s="7"/>
    </row>
    <row r="9" spans="1:30" ht="18">
      <c r="A9" s="129" t="s">
        <v>50</v>
      </c>
      <c r="C9" s="114" t="s">
        <v>98</v>
      </c>
      <c r="D9" s="114"/>
      <c r="V9" s="7"/>
      <c r="W9" s="7"/>
    </row>
    <row r="10" spans="1:30" ht="18">
      <c r="A10" s="128" t="s">
        <v>26</v>
      </c>
      <c r="C10" s="107" t="s">
        <v>88</v>
      </c>
      <c r="D10" s="107"/>
      <c r="V10" s="7"/>
      <c r="W10" s="7"/>
    </row>
    <row r="11" spans="1:30" ht="18">
      <c r="A11" s="128" t="s">
        <v>51</v>
      </c>
      <c r="C11" s="114" t="s">
        <v>48</v>
      </c>
      <c r="D11" s="107"/>
      <c r="V11" s="7"/>
      <c r="W11" s="7"/>
    </row>
    <row r="12" spans="1:30" ht="18">
      <c r="A12" s="128" t="s">
        <v>22</v>
      </c>
      <c r="C12" s="107" t="s">
        <v>88</v>
      </c>
      <c r="D12" s="107"/>
      <c r="V12" s="7"/>
      <c r="W12" s="7"/>
    </row>
    <row r="13" spans="1:30" ht="18">
      <c r="A13" s="128" t="s">
        <v>23</v>
      </c>
      <c r="C13" s="114" t="s">
        <v>48</v>
      </c>
      <c r="D13" s="114"/>
      <c r="V13" s="7"/>
      <c r="W13" s="7"/>
    </row>
    <row r="14" spans="1:30" ht="18">
      <c r="A14" s="128" t="s">
        <v>52</v>
      </c>
      <c r="C14" s="114" t="s">
        <v>48</v>
      </c>
      <c r="D14" s="107"/>
      <c r="V14" s="7"/>
      <c r="W14" s="7"/>
    </row>
    <row r="15" spans="1:30" ht="18">
      <c r="A15" s="128" t="s">
        <v>53</v>
      </c>
      <c r="C15" s="114" t="s">
        <v>48</v>
      </c>
      <c r="D15" s="107"/>
      <c r="V15" s="7"/>
      <c r="W15" s="7"/>
    </row>
    <row r="16" spans="1:30" ht="18">
      <c r="A16" s="128" t="s">
        <v>54</v>
      </c>
      <c r="C16" s="107" t="s">
        <v>88</v>
      </c>
      <c r="D16" s="114"/>
      <c r="V16" s="7"/>
      <c r="W16" s="7"/>
    </row>
    <row r="17" spans="1:124" ht="18">
      <c r="A17" s="128" t="s">
        <v>89</v>
      </c>
      <c r="C17" s="107" t="s">
        <v>88</v>
      </c>
      <c r="D17" s="107"/>
      <c r="V17" s="7"/>
      <c r="W17" s="7"/>
    </row>
    <row r="18" spans="1:124" ht="15" customHeight="1">
      <c r="A18" s="128" t="s">
        <v>24</v>
      </c>
      <c r="C18" s="107" t="s">
        <v>88</v>
      </c>
      <c r="D18" s="107"/>
      <c r="U18" s="8"/>
      <c r="V18" s="7"/>
      <c r="W18" s="7"/>
    </row>
    <row r="19" spans="1:124" ht="18">
      <c r="A19" s="128" t="s">
        <v>55</v>
      </c>
      <c r="C19" s="107" t="s">
        <v>88</v>
      </c>
      <c r="D19" s="107"/>
      <c r="V19" s="7"/>
      <c r="W19" s="7"/>
    </row>
    <row r="20" spans="1:124" ht="18">
      <c r="A20" s="128" t="s">
        <v>90</v>
      </c>
      <c r="C20" s="107" t="s">
        <v>88</v>
      </c>
      <c r="D20" s="107"/>
      <c r="V20" s="7"/>
      <c r="W20" s="7"/>
    </row>
    <row r="21" spans="1:124" ht="18">
      <c r="A21" s="128" t="s">
        <v>83</v>
      </c>
      <c r="C21" s="114" t="s">
        <v>48</v>
      </c>
      <c r="D21" s="114"/>
      <c r="V21" s="7"/>
      <c r="W21" s="7"/>
    </row>
    <row r="22" spans="1:124" ht="18">
      <c r="A22" s="128" t="s">
        <v>95</v>
      </c>
      <c r="C22" s="114" t="s">
        <v>48</v>
      </c>
      <c r="D22" s="114"/>
      <c r="V22" s="7"/>
      <c r="W22" s="7"/>
    </row>
    <row r="23" spans="1:124" ht="18">
      <c r="A23" s="128" t="s">
        <v>97</v>
      </c>
      <c r="C23" s="107" t="s">
        <v>88</v>
      </c>
      <c r="D23" s="107"/>
      <c r="V23" s="7"/>
      <c r="W23" s="7"/>
    </row>
    <row r="24" spans="1:124" ht="18">
      <c r="A24" s="128" t="s">
        <v>61</v>
      </c>
      <c r="C24" s="114" t="s">
        <v>48</v>
      </c>
      <c r="D24" s="107"/>
      <c r="V24" s="7"/>
      <c r="W24" s="7"/>
    </row>
    <row r="25" spans="1:124" ht="18">
      <c r="A25" s="128" t="s">
        <v>82</v>
      </c>
      <c r="C25" s="107" t="s">
        <v>88</v>
      </c>
      <c r="D25" s="107"/>
      <c r="V25" s="7"/>
      <c r="W25" s="7"/>
    </row>
    <row r="26" spans="1:124" ht="18">
      <c r="A26" s="128" t="s">
        <v>56</v>
      </c>
      <c r="C26" s="107" t="s">
        <v>88</v>
      </c>
      <c r="D26" s="114"/>
      <c r="V26" s="7"/>
      <c r="W26" s="7"/>
    </row>
    <row r="27" spans="1:124" s="16" customFormat="1" ht="15.75">
      <c r="A27" s="15" t="s">
        <v>18</v>
      </c>
      <c r="B27" s="145">
        <f>COUNTIF(B6:B26,"sim")</f>
        <v>0</v>
      </c>
      <c r="C27" s="103">
        <f t="shared" ref="C27:D27" si="0">COUNTIF(C6:C26,"sim")</f>
        <v>12</v>
      </c>
      <c r="D27" s="103">
        <f t="shared" si="0"/>
        <v>0</v>
      </c>
      <c r="K27" s="16">
        <f t="shared" ref="K27:AP27" si="1">COUNTIF(K6:K26,"sim")</f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ref="AQ27:BV27" si="2">COUNTIF(AQ6:AQ26,"sim")</f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ref="BW27:DB27" si="3">COUNTIF(BW6:BW26,"sim")</f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ref="DC27:DT27" si="4">COUNTIF(DC6:DC26,"sim")</f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</row>
    <row r="28" spans="1:124" s="18" customFormat="1" ht="15.75">
      <c r="A28" s="17" t="s">
        <v>19</v>
      </c>
      <c r="B28" s="146">
        <f>COUNTIF(B6:B26,"não")</f>
        <v>0</v>
      </c>
      <c r="C28" s="104">
        <f t="shared" ref="C28:D28" si="5">COUNTIF(C6:C26,"não")</f>
        <v>0</v>
      </c>
      <c r="D28" s="104">
        <f t="shared" si="5"/>
        <v>0</v>
      </c>
      <c r="K28" s="18">
        <f t="shared" ref="K28:AP28" si="6">COUNTIF(K6:K27,"não")</f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ref="AQ28:BV28" si="7">COUNTIF(AQ6:AQ27,"não")</f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ref="BW28:DB28" si="8">COUNTIF(BW6:BW27,"não")</f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ref="DC28:DT28" si="9">COUNTIF(DC6:DC27,"não")</f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</row>
    <row r="29" spans="1:124" ht="15.75">
      <c r="A29" s="14" t="s">
        <v>11</v>
      </c>
      <c r="B29" s="147">
        <f>COUNTIF(B6:B26,"ausente")</f>
        <v>0</v>
      </c>
      <c r="C29" s="40">
        <f t="shared" ref="C29:D29" si="10">COUNTIF(C6:C26,"ausente")</f>
        <v>8</v>
      </c>
      <c r="D29" s="40">
        <f t="shared" si="10"/>
        <v>0</v>
      </c>
      <c r="K29">
        <f t="shared" ref="K29:AP29" si="11">COUNTIF(K6:K28,"ausente")</f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ref="AQ29:BV29" si="12">COUNTIF(AQ6:AQ28,"ausente")</f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ref="BW29:DB29" si="13">COUNTIF(BW6:BW28,"ausente")</f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ref="DC29:DT29" si="14">COUNTIF(DC6:DC28,"ausente")</f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</row>
    <row r="30" spans="1:124" s="20" customFormat="1" ht="15.75">
      <c r="A30" s="19" t="s">
        <v>20</v>
      </c>
      <c r="B30" s="148">
        <f>COUNTIF(B6:B26,"abstenção")</f>
        <v>0</v>
      </c>
      <c r="C30" s="105">
        <f t="shared" ref="C30:D30" si="15">COUNTIF(C6:C26,"abstenção")</f>
        <v>0</v>
      </c>
      <c r="D30" s="105">
        <f t="shared" si="15"/>
        <v>0</v>
      </c>
      <c r="K30" s="20">
        <f t="shared" ref="K30:AP30" si="16">COUNTIF(K10:K29,"abstenção")</f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ref="AQ30:BV30" si="17">COUNTIF(AQ10:AQ29,"abstenção")</f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ref="BW30:DB30" si="18">COUNTIF(BW10:BW29,"abstenção")</f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ref="DC30:DT30" si="19">COUNTIF(DC10:DC29,"abstenção")</f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G7" sqref="G7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108</v>
      </c>
      <c r="B2" s="2"/>
    </row>
    <row r="3" spans="1:3" ht="15.75" thickBot="1">
      <c r="A3" s="120" t="s">
        <v>109</v>
      </c>
      <c r="B3" s="2"/>
    </row>
    <row r="4" spans="1:3" ht="78.75" customHeight="1" thickBot="1">
      <c r="A4" s="119" t="s">
        <v>5</v>
      </c>
      <c r="B4" s="111" t="s">
        <v>21</v>
      </c>
      <c r="C4" s="138" t="s">
        <v>124</v>
      </c>
    </row>
    <row r="5" spans="1:3" s="6" customFormat="1" ht="60.75" customHeight="1">
      <c r="A5" s="121"/>
      <c r="B5" s="111"/>
      <c r="C5" s="149" t="s">
        <v>120</v>
      </c>
    </row>
    <row r="6" spans="1:3" ht="15.75">
      <c r="A6" s="126" t="s">
        <v>96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14"/>
    </row>
    <row r="14" spans="1:3" ht="15.75">
      <c r="A14" s="126" t="s">
        <v>52</v>
      </c>
      <c r="C14" s="114"/>
    </row>
    <row r="15" spans="1:3" ht="15.75">
      <c r="A15" s="126" t="s">
        <v>53</v>
      </c>
      <c r="B15" s="137"/>
      <c r="C15" s="114"/>
    </row>
    <row r="16" spans="1:3" ht="15.75">
      <c r="A16" s="126" t="s">
        <v>54</v>
      </c>
      <c r="C16" s="114"/>
    </row>
    <row r="17" spans="1:3" ht="15.75">
      <c r="A17" s="126" t="s">
        <v>89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90</v>
      </c>
      <c r="C20" s="107"/>
    </row>
    <row r="21" spans="1:3" ht="15.75">
      <c r="A21" s="126" t="s">
        <v>83</v>
      </c>
      <c r="C21" s="114"/>
    </row>
    <row r="22" spans="1:3" ht="15.75">
      <c r="A22" s="126" t="s">
        <v>95</v>
      </c>
      <c r="C22" s="114"/>
    </row>
    <row r="23" spans="1:3" ht="15.75">
      <c r="A23" s="126" t="s">
        <v>97</v>
      </c>
      <c r="C23" s="107"/>
    </row>
    <row r="24" spans="1:3" ht="15.75">
      <c r="A24" s="126" t="s">
        <v>61</v>
      </c>
      <c r="C24" s="114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108</v>
      </c>
      <c r="B2" s="2"/>
      <c r="C2" s="54"/>
      <c r="D2" s="54"/>
      <c r="E2" s="54"/>
    </row>
    <row r="3" spans="1:9" ht="15.75" thickBot="1">
      <c r="A3" s="120" t="s">
        <v>109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108</v>
      </c>
      <c r="B2" s="2"/>
    </row>
    <row r="3" spans="1:23">
      <c r="A3" s="76" t="s">
        <v>109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2026-09-09T14:39:33Z</dcterms:modified>
</cp:coreProperties>
</file>