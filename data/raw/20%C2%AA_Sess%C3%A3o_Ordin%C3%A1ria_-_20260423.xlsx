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DBA73A5-DB3B-492B-8C48-42658AB22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C28" i="10"/>
  <c r="D28" i="10"/>
  <c r="C29" i="10"/>
  <c r="D29" i="10"/>
  <c r="C30" i="10"/>
  <c r="D30" i="10"/>
  <c r="C31" i="10"/>
  <c r="D31" i="10"/>
  <c r="E28" i="10"/>
  <c r="E29" i="10"/>
  <c r="E30" i="10"/>
  <c r="E31" i="10"/>
  <c r="D27" i="3"/>
  <c r="D28" i="3"/>
  <c r="D29" i="3"/>
  <c r="D30" i="3"/>
  <c r="E27" i="2"/>
  <c r="E28" i="2"/>
  <c r="E29" i="2"/>
  <c r="E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<sst xmlns="http://schemas.openxmlformats.org/spreadsheetml/2006/main" count="508" uniqueCount="140">
  <si>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</si>
  <si>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</si>
  <si>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</si>
  <si>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</si>
  <si>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</si>
  <si>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</si>
  <si>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</si>
  <si>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</si>
  <si>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</si>
  <si>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</si>
  <si>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</si>
  <si>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</si>
  <si>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</si>
  <si>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</si>
  <si>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</si>
  <si>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</si>
  <si>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</si>
  <si>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</si>
  <si>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</si>
  <si>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</si>
  <si>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</si>
  <si>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</si>
  <si>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</si>
  <si>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</si>
  <si>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</si>
  <si>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</si>
  <si>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</si>
  <si>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</si>
  <si>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</si>
  <si>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</si>
  <si>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</si>
  <si>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</si>
  <si>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</si>
  <si>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</si>
  <si>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</si>
  <si>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</si>
  <si>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</si>
  <si>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</si>
  <si>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</si>
  <si>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</si>
  <si>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</si>
  <si>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</si>
  <si>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</si>
  <si>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</si>
  <si>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</si>
  <si>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</si>
  <si>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</si>
  <si>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</si>
  <si>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</si>
  <si>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</si>
  <si>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</si>
  <si>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</si>
  <si>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</si>
  <si>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</si>
  <si>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</si>
  <si>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</si>
  <si>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</si>
  <si>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</si>
  <si>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</si>
  <si>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</si>
  <si>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</si>
  <si>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</si>
  <si>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</si>
  <si>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</si>
  <si>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</si>
  <si>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</si>
  <si>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</si>
  <si>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</si>
  <si>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</si>
  <si>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</si>
  <si>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</si>
  <si>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</si>
  <si>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</si>
  <si>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</si>
  <si>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</si>
  <si>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</si>
  <si>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</si>
  <si>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</si>
  <si>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</si>
  <si>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</si>
  <si>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</si>
  <si>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</si>
  <si>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</si>
  <si>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</si>
  <si>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</si>
  <si>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</si>
  <si>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</si>
  <si>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</si>
  <si>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</si>
  <si>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</si>
  <si>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</si>
  <si>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</si>
  <si>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</si>
  <si>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</si>
  <si>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</si>
  <si>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</si>
  <si>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APROVADO</t>
  </si>
  <si>
    <t>sim</t>
  </si>
  <si>
    <t>pela ausência do autor, será pautada na próxima sessão.</t>
  </si>
  <si>
    <t xml:space="preserve"> 2ª chamada abertura da sessão 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</si>
  <si>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</si>
  <si>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MOÇÃO DE RECONHECIMENTO Nº 82/2026 – ALEXANDRE CAPRIOTTI – </t>
    </r>
    <r>
      <rPr>
        <sz val="11"/>
        <color theme="1"/>
        <rFont val="Arial"/>
        <family val="2"/>
      </rPr>
      <t>Ao Pelotão de Oz por sua relevante contribuição ao esporte, à promoção da saúde e à valorização do município de Osasco em todo o Estado de São Paulo.</t>
    </r>
  </si>
  <si>
    <t>na presidência</t>
  </si>
  <si>
    <t>não</t>
  </si>
  <si>
    <t>Justificativa de ausência do Vereador Emerson Osasco.</t>
  </si>
  <si>
    <r>
      <t>MOÇÃO DE CONGRATULAÇÕES Nº 87/2026 – DELBIO TERUEL –</t>
    </r>
    <r>
      <rPr>
        <sz val="11"/>
        <color theme="1"/>
        <rFont val="Arial"/>
        <family val="2"/>
      </rPr>
      <t xml:space="preserve"> À Associação Atlética Vila Izabel, tradicional equipe do futebol de várzea do município de Osasco, pelos 78 anos de fundação, celebrados no dia 10 de abril.</t>
    </r>
  </si>
  <si>
    <r>
      <t xml:space="preserve">MOÇÃO DE CONGRATULAÇÕES Nº 88/2026 – DELBIO TERUEL – </t>
    </r>
    <r>
      <rPr>
        <sz val="11"/>
        <color theme="1"/>
        <rFont val="Arial"/>
        <family val="2"/>
      </rPr>
      <t>Ao C.R. Flamengo do Jardim Piratininga, tradicional equipe do futebol de várzea do município de Osasco, pelos 64 anos de fundação, comemorado no mês de abril.</t>
    </r>
  </si>
  <si>
    <t>20ª SESSÃO ORDINÁRIA</t>
  </si>
  <si>
    <t>DIA 23 DE ABRIL DE 2026 - QUINTA-FEIRA</t>
  </si>
  <si>
    <t>Justificativa de ausência do Vereador Heber do Juntoz.</t>
  </si>
  <si>
    <t>Justificativa de ausência do Vereador Paulo Junior.</t>
  </si>
  <si>
    <t>Justificativa de ausência do Vereador Ralfi Silva.</t>
  </si>
  <si>
    <t>PROJETO DE LEI Nº 90/2026 – RODRIGO GANSINHO – Institui o Dia Municipal do Neuropsicopedagogo.</t>
  </si>
  <si>
    <t>PROJETO DE LEI Nº 91/2026 - GABRIEL SAÚDE – Institui o Programa RAIO de OZ – Rede de Atenção Integral e Acolhimento de Osasco, reconhece o direito ao cuidado integral com absoluta prioridade aos cuidadores de Pessoas com Deficiência no Município de Osasco, e dá outras providências.</t>
  </si>
  <si>
    <t>PROJETO DE LEI Nº 92/2026 - HEBER DO JUNTOZ – Dispõe sobre a reserva de 1% das vagas nos concursos públicos para provimento de cargos efetivos e empregos públicos e nos cargos em comissão no Município de Osasco para pessoas transexuais e travestis.</t>
  </si>
  <si>
    <t>PROJETO DE LEI Nº 93/2026 - RODRIGO GANSINHO – Altera a Lei Municipal nº 5.432, de 10 de novembro de 2025, que institui o Dia do Psicopedagogo no Calendário Oficial do Município de Osasco, para prever a realização de seminários, palestras e ações educativas durante o mês de novembro.</t>
  </si>
  <si>
    <t>PROJETO DE LEI Nº 94/2026 - RODRIGO GANSINHO – Institui o Estatuto Municipal de Proteção Integral à Vítima de Violência Doméstica e Familiar no Município de Osasco, cria o Protocolo Municipal de Atenção Integral à Vítima (PMAIV), institui a "Sala Lilás" nas unidades de saúde, e dá outras providências.</t>
  </si>
  <si>
    <t>PROJETO DE LEI Nº 95/2026 - RODRIGO GANSINHO – Dispõe sobre a utilização de QR Code em placas informativas de obras públicas no Município de Osasco e dá outras providências.</t>
  </si>
  <si>
    <t>PROJETO DE LEI Nº 96/2026 - GABRIEL SAÚDE – Denomina "Pet Parque Orelha" o espaço público de uso coletivo integrado por área de convivência para animais de estimação e parquinho infantil, localizado na Rua Maestro Vahakn Minassian, s/n, no Município de Osasco, e dá outras providências.</t>
  </si>
  <si>
    <t>PROJETO DE LEI Nº 97/2026 - GABRIEL SAÚDE – Dispõe sobre a instalação de sistemas de monitoramento eletrônico por câmeras de segurança nas Instituições de Ensino Público localizadas no Município de Osasco, e dá outras providências.</t>
  </si>
  <si>
    <t>PROJETO DE LEI Nº 98/2026 - GABRIEL SAÚDE – Regulamenta o repasse do Incentivo Financeiro Adicional – IFA aos Agentes Comunitários de Saúde – ACS e aos Agentes de Combate às Endemias – ACE do Município de Osasco, e dá outras providências</t>
  </si>
  <si>
    <t>PROJETO DE LEI Nº 99/2026 - RALFI SILVA – Dispõe sobre o incentivo ao uso de dispositivos de rastreamento e localização para crianças e adolescentes com Transtorno do Espectro Autista (TEA), no Município de Osasco.</t>
  </si>
  <si>
    <r>
      <t xml:space="preserve">MOÇÃO DE APELO Nº 92/2026 – CANTOR GOLEIRO – </t>
    </r>
    <r>
      <rPr>
        <sz val="11"/>
        <color theme="1"/>
        <rFont val="Arial"/>
        <family val="2"/>
      </rPr>
      <t>Ao Excelentíssimo Senhor Prefeito, para que determine com a máxima urgência a realização de estudos técnicos para adoção das medidas necessárias visando à canalização do trecho do Córrego Rico localizado na Avenida Bandeirantes, na divisa com a Avenida São Patrício, no bairro Jardim Aliança de Baixo.</t>
    </r>
  </si>
  <si>
    <r>
      <t xml:space="preserve">MOÇÃO DE RECONHECIMENTO Nº 93/2026 – STEPHANE ROSSI – </t>
    </r>
    <r>
      <rPr>
        <sz val="11"/>
        <color theme="1"/>
        <rFont val="Arial"/>
        <family val="2"/>
      </rPr>
      <t>À Sra. Giseuda Moura Torres, por seu trabalho realizado no Atendimento Educacional Especializado (AEE) na rede municipal de ensino de Osasco.</t>
    </r>
  </si>
  <si>
    <t>pela ausência da autora, será pautada na próxima sessão.</t>
  </si>
  <si>
    <r>
      <t xml:space="preserve">MOÇÃO DE APLAUSO Nº 94/2026 – RALFI – </t>
    </r>
    <r>
      <rPr>
        <sz val="11"/>
        <color theme="1"/>
        <rFont val="Arial"/>
        <family val="2"/>
      </rPr>
      <t>Ao Vereador de Jandira Pastor Gilson de Souza, pela realização do 3ﹾ Fórum Público sobre Autismo.</t>
    </r>
  </si>
  <si>
    <r>
      <t xml:space="preserve">MOÇÃO DE RECONHECIMENTO Nº 95/2026 – EMERSON OSASCO – </t>
    </r>
    <r>
      <rPr>
        <sz val="11"/>
        <color theme="1"/>
        <rFont val="Arial"/>
        <family val="2"/>
      </rPr>
      <t>À etnia Pankararé, que possui uma presença significativa e ativa na cidade de Osasco, sendo reconhecida por sua resistência cultural e organização comunitária no contexto urbano.</t>
    </r>
  </si>
  <si>
    <r>
      <t xml:space="preserve">MOÇÃO DE PESAR Nº 96/2026 – DELBIO TERUEL – </t>
    </r>
    <r>
      <rPr>
        <sz val="11"/>
        <color theme="1"/>
        <rFont val="Arial"/>
        <family val="2"/>
      </rPr>
      <t>Pelo falecimento do Sr. Rodrigo Grossi, em 16 de abril.</t>
    </r>
  </si>
  <si>
    <r>
      <t xml:space="preserve">MOÇÃO DE CONGRATULAÇÕES Nº 97/2026 – DELBIO TERUEL – </t>
    </r>
    <r>
      <rPr>
        <sz val="11"/>
        <color theme="1"/>
        <rFont val="Arial"/>
        <family val="2"/>
      </rPr>
      <t>À Associação Esportiva Unidos do Jardim Elvira - AEUJE, pela celebração de seus 53 anos de fundação.</t>
    </r>
  </si>
  <si>
    <r>
      <t>MOÇÃO DE PESAR Nº 98/2026 – DELBIO TERUEL –</t>
    </r>
    <r>
      <rPr>
        <sz val="11"/>
        <color theme="1"/>
        <rFont val="Arial"/>
        <family val="2"/>
      </rPr>
      <t xml:space="preserve"> Pelo falecimento de Oscar Daniel Bezerra Schmidt, ocorrido em 17 de abril, aos 68 anos.</t>
    </r>
  </si>
  <si>
    <r>
      <t xml:space="preserve">MOÇÃO DE RECONHECIMENTO Nº 99/2026 – RODRIGO GANSINHO – </t>
    </r>
    <r>
      <rPr>
        <sz val="11"/>
        <color theme="1"/>
        <rFont val="Arial"/>
        <family val="2"/>
      </rPr>
      <t>À Sueli Barroso de Soares, pela trajetória marcada por coragem, trabalho e superação, que transformou dificuldades em inspiração e orgulho para o Município de Osasco.</t>
    </r>
  </si>
  <si>
    <r>
      <t xml:space="preserve">VETO TOTAL AO PROJETO DE LEI Nº 143/2025 - GABRIEL SAÚDE – </t>
    </r>
    <r>
      <rPr>
        <sz val="12"/>
        <color theme="1"/>
        <rFont val="Arial"/>
        <family val="2"/>
      </rPr>
      <t>Institui no calendário oficial do município de Osasco a semana QuitaOz.</t>
    </r>
  </si>
  <si>
    <t>VETO ACEITO</t>
  </si>
  <si>
    <t>abstenção</t>
  </si>
  <si>
    <r>
      <t xml:space="preserve">PROJETO DE LEI Nº 220/2025 – PAULO JÚNIOR - </t>
    </r>
    <r>
      <rPr>
        <sz val="11"/>
        <color theme="1"/>
        <rFont val="Arial"/>
        <family val="2"/>
      </rPr>
      <t xml:space="preserve">Dispõe sobre a obrigatoriedade de exposição, em hospitais públicos e privados do Município de Osasco, da legislação que garante o direito à visita religiosa, regulamenta os horários dessas visitas e dá outras providências. </t>
    </r>
  </si>
  <si>
    <r>
      <t xml:space="preserve">PROJETO DE LEI Nº 222/2025 – GUILHERME PRADO - </t>
    </r>
    <r>
      <rPr>
        <sz val="11"/>
        <color theme="1"/>
        <rFont val="Arial"/>
        <family val="2"/>
      </rPr>
      <t>Institui o Dia da Pessoa Desaparecida no âmbito do Município de Osasco.</t>
    </r>
  </si>
  <si>
    <t>pela ausência do autor, será pautado na próxima sessão.</t>
  </si>
  <si>
    <r>
      <t xml:space="preserve">PROJETO DE DECRETO LEGISLATIVO Nº94/2025 - DÉLBIO TERUEL - </t>
    </r>
    <r>
      <rPr>
        <sz val="11"/>
        <color theme="1"/>
        <rFont val="Arial"/>
        <family val="2"/>
      </rPr>
      <t>Dispõe sobre a Concessão de Cartão de Prata ao Senhor Fábio Grossi.</t>
    </r>
  </si>
  <si>
    <r>
      <t>PROJETO DE DECRETO LEGISLATIVO Nº 71/2025 - LÚCIA DA SAÚDE -</t>
    </r>
    <r>
      <rPr>
        <sz val="11"/>
        <color theme="1"/>
        <rFont val="Arial"/>
        <family val="2"/>
      </rPr>
      <t xml:space="preserve"> Dispõe sobre a concessão de Cartão de Prata a Pastora Ninfa Cândida Alves Pereira.</t>
    </r>
  </si>
  <si>
    <r>
      <t xml:space="preserve">PROJETO DE DECRETO LEGISLATIVO Nº 65/2025 – ALEXANDRE CAPRIOTTI - </t>
    </r>
    <r>
      <rPr>
        <sz val="11"/>
        <color theme="1"/>
        <rFont val="Arial"/>
        <family val="2"/>
      </rPr>
      <t>Dispõe sobre a concessão de Título de Cidadã Osasquense Senhora Elza Pereira Lopes Sena.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</si>
</sst>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4" sqref="K2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107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108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 t="s">
        <v>99</v>
      </c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10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2</v>
      </c>
      <c r="C11" s="102" t="s">
        <v>53</v>
      </c>
      <c r="D11" s="63"/>
      <c r="E11" s="62"/>
      <c r="F11" s="88">
        <v>2</v>
      </c>
      <c r="G11" s="102" t="s">
        <v>53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62"/>
      <c r="F13" s="88">
        <v>2</v>
      </c>
      <c r="G13" s="102" t="s">
        <v>53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2</v>
      </c>
      <c r="C16" s="102" t="s">
        <v>53</v>
      </c>
      <c r="D16" s="63"/>
      <c r="E16" s="102"/>
      <c r="F16" s="88">
        <v>2</v>
      </c>
      <c r="G16" s="102" t="s">
        <v>53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6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102"/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10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10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88</v>
      </c>
      <c r="B24" s="88">
        <v>2</v>
      </c>
      <c r="C24" s="102" t="s">
        <v>53</v>
      </c>
      <c r="D24" s="63"/>
      <c r="E24" s="102"/>
      <c r="F24" s="88">
        <v>1</v>
      </c>
      <c r="G24" s="62" t="s">
        <v>52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9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11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12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10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94</v>
      </c>
      <c r="V34" s="12"/>
      <c r="W34" s="12"/>
    </row>
    <row r="35" spans="1:23" ht="18">
      <c r="A35" s="34" t="s">
        <v>88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49</v>
      </c>
      <c r="V44" s="12"/>
      <c r="W44" s="12"/>
    </row>
    <row r="45" spans="1:23" ht="18">
      <c r="A45" s="34" t="s">
        <v>25</v>
      </c>
      <c r="V45" s="12"/>
      <c r="W45" s="12"/>
    </row>
    <row r="46" spans="1:23" ht="18">
      <c r="A46" s="34" t="s">
        <v>22</v>
      </c>
      <c r="V46" s="12"/>
      <c r="W46" s="12"/>
    </row>
    <row r="47" spans="1:23" ht="18">
      <c r="A47" s="34" t="s">
        <v>24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35</v>
      </c>
      <c r="M54"/>
      <c r="W54" s="12"/>
    </row>
    <row r="55" spans="1:23" ht="18">
      <c r="A55" s="34" t="s">
        <v>66</v>
      </c>
    </row>
    <row r="56" spans="1:23" ht="18">
      <c r="A56" s="34" t="s">
        <v>22</v>
      </c>
    </row>
    <row r="57" spans="1:23" ht="18">
      <c r="A57" s="34" t="s">
        <v>25</v>
      </c>
    </row>
    <row r="58" spans="1:23" ht="18">
      <c r="A58" s="34" t="s">
        <v>94</v>
      </c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D39"/>
  <sheetViews>
    <sheetView workbookViewId="0">
      <pane xSplit="1" topLeftCell="O1" activePane="topRight" state="frozen"/>
      <selection pane="topRight" activeCell="U5" sqref="U5"/>
    </sheetView>
  </sheetViews>
  <sheetFormatPr defaultColWidth="9.140625" defaultRowHeight="12.75"/>
  <cols>
    <col min="1" max="1" width="47.7109375" style="22" customWidth="1"/>
    <col min="2" max="16" width="23.7109375" style="22" customWidth="1"/>
    <col min="17" max="17" width="19" style="22" customWidth="1"/>
    <col min="18" max="18" width="26.28515625" style="22" customWidth="1"/>
    <col min="19" max="19" width="22.140625" style="22" customWidth="1"/>
    <col min="20" max="30" width="22.7109375" style="22" customWidth="1"/>
    <col min="31" max="16384" width="9.140625" style="22"/>
  </cols>
  <sheetData>
    <row r="1" spans="1:30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30" ht="15">
      <c r="A2" s="76" t="s">
        <v>107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30" ht="17.25" customHeight="1">
      <c r="A3" s="76" t="s">
        <v>108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30" ht="63" customHeight="1">
      <c r="A4" s="51" t="str">
        <f>'[1]MOÇÃO E REQUERIMENTO'!B7</f>
        <v>EXPEDIENTE</v>
      </c>
      <c r="B4" s="50" t="s">
        <v>45</v>
      </c>
      <c r="C4" s="117" t="s">
        <v>104</v>
      </c>
      <c r="D4" s="117" t="s">
        <v>109</v>
      </c>
      <c r="E4" s="117" t="s">
        <v>110</v>
      </c>
      <c r="F4" s="117" t="s">
        <v>111</v>
      </c>
      <c r="G4" s="117" t="s">
        <v>112</v>
      </c>
      <c r="H4" s="117" t="s">
        <v>113</v>
      </c>
      <c r="I4" s="117" t="s">
        <v>114</v>
      </c>
      <c r="J4" s="117" t="s">
        <v>115</v>
      </c>
      <c r="K4" s="117" t="s">
        <v>116</v>
      </c>
      <c r="L4" s="117" t="s">
        <v>117</v>
      </c>
      <c r="M4" s="117" t="s">
        <v>118</v>
      </c>
      <c r="N4" s="117" t="s">
        <v>119</v>
      </c>
      <c r="O4" s="117" t="s">
        <v>120</v>
      </c>
      <c r="P4" s="117" t="s">
        <v>121</v>
      </c>
      <c r="Q4" s="112" t="s">
        <v>34</v>
      </c>
      <c r="R4" s="124"/>
      <c r="S4" s="50" t="s">
        <v>27</v>
      </c>
      <c r="T4" s="84" t="s">
        <v>101</v>
      </c>
      <c r="U4" s="84" t="s">
        <v>105</v>
      </c>
      <c r="V4" s="84" t="s">
        <v>106</v>
      </c>
      <c r="W4" s="84" t="s">
        <v>122</v>
      </c>
      <c r="X4" s="84" t="s">
        <v>123</v>
      </c>
      <c r="Y4" s="84" t="s">
        <v>125</v>
      </c>
      <c r="Z4" s="84" t="s">
        <v>126</v>
      </c>
      <c r="AA4" s="84" t="s">
        <v>127</v>
      </c>
      <c r="AB4" s="84" t="s">
        <v>128</v>
      </c>
      <c r="AC4" s="84" t="s">
        <v>129</v>
      </c>
      <c r="AD4" s="84" t="s">
        <v>130</v>
      </c>
    </row>
    <row r="5" spans="1:30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113"/>
      <c r="T5" s="113" t="s">
        <v>95</v>
      </c>
      <c r="U5" s="118" t="s">
        <v>98</v>
      </c>
      <c r="V5" s="118" t="s">
        <v>98</v>
      </c>
      <c r="W5" s="118" t="s">
        <v>98</v>
      </c>
      <c r="X5" s="118" t="s">
        <v>124</v>
      </c>
      <c r="Y5" s="118" t="s">
        <v>98</v>
      </c>
      <c r="Z5" s="118" t="s">
        <v>98</v>
      </c>
      <c r="AA5" s="113" t="s">
        <v>95</v>
      </c>
      <c r="AB5" s="113" t="s">
        <v>95</v>
      </c>
      <c r="AC5" s="113" t="s">
        <v>95</v>
      </c>
      <c r="AD5" s="113" t="s">
        <v>95</v>
      </c>
    </row>
    <row r="6" spans="1:30" ht="15.75">
      <c r="A6" s="127" t="s">
        <v>51</v>
      </c>
      <c r="S6" s="23"/>
    </row>
    <row r="7" spans="1:30" ht="15.75">
      <c r="A7" s="127" t="s">
        <v>66</v>
      </c>
      <c r="S7" s="23"/>
    </row>
    <row r="8" spans="1:30" ht="15.75">
      <c r="A8" s="127" t="s">
        <v>54</v>
      </c>
      <c r="S8" s="23"/>
    </row>
    <row r="9" spans="1:30" ht="15.75">
      <c r="A9" s="128" t="s">
        <v>55</v>
      </c>
      <c r="S9" s="23"/>
    </row>
    <row r="10" spans="1:30" ht="15.75">
      <c r="A10" s="127" t="s">
        <v>28</v>
      </c>
      <c r="S10" s="23"/>
    </row>
    <row r="11" spans="1:30" ht="15.75">
      <c r="A11" s="127" t="s">
        <v>56</v>
      </c>
      <c r="S11" s="23"/>
    </row>
    <row r="12" spans="1:30" ht="15.75">
      <c r="A12" s="127" t="s">
        <v>22</v>
      </c>
      <c r="S12" s="23"/>
    </row>
    <row r="13" spans="1:30" ht="15.75">
      <c r="A13" s="127" t="s">
        <v>23</v>
      </c>
      <c r="S13" s="23"/>
    </row>
    <row r="14" spans="1:30" ht="15.75">
      <c r="A14" s="127" t="s">
        <v>24</v>
      </c>
      <c r="S14" s="23"/>
    </row>
    <row r="15" spans="1:30" ht="15.75">
      <c r="A15" s="127" t="s">
        <v>57</v>
      </c>
      <c r="S15" s="23"/>
    </row>
    <row r="16" spans="1:30" ht="15.75">
      <c r="A16" s="127" t="s">
        <v>58</v>
      </c>
      <c r="S16" s="23"/>
    </row>
    <row r="17" spans="1:19" ht="15.75">
      <c r="A17" s="127" t="s">
        <v>59</v>
      </c>
      <c r="S17" s="23"/>
    </row>
    <row r="18" spans="1:19" ht="15.75">
      <c r="A18" s="127" t="s">
        <v>25</v>
      </c>
      <c r="S18" s="23"/>
    </row>
    <row r="19" spans="1:19" ht="15.75">
      <c r="A19" s="127" t="s">
        <v>60</v>
      </c>
      <c r="S19" s="23"/>
    </row>
    <row r="20" spans="1:19" ht="15.75">
      <c r="A20" s="127" t="s">
        <v>94</v>
      </c>
      <c r="S20" s="23"/>
    </row>
    <row r="21" spans="1:19" ht="15.75">
      <c r="A21" s="127" t="s">
        <v>26</v>
      </c>
      <c r="S21" s="23"/>
    </row>
    <row r="22" spans="1:19" ht="15.75">
      <c r="A22" s="127" t="s">
        <v>61</v>
      </c>
      <c r="S22" s="23"/>
    </row>
    <row r="23" spans="1:19" ht="15.75">
      <c r="A23" s="127" t="s">
        <v>67</v>
      </c>
      <c r="S23" s="23"/>
    </row>
    <row r="24" spans="1:19" ht="15.75">
      <c r="A24" s="127" t="s">
        <v>49</v>
      </c>
      <c r="S24" s="23"/>
    </row>
    <row r="25" spans="1:19" ht="15.75">
      <c r="A25" s="127" t="s">
        <v>88</v>
      </c>
      <c r="S25" s="23"/>
    </row>
    <row r="26" spans="1:19" ht="15.75">
      <c r="A26" s="127" t="s">
        <v>62</v>
      </c>
      <c r="S26" s="23"/>
    </row>
    <row r="27" spans="1:19" s="25" customFormat="1">
      <c r="A27" s="24" t="s">
        <v>18</v>
      </c>
    </row>
    <row r="28" spans="1:19" s="27" customFormat="1">
      <c r="A28" s="26" t="s">
        <v>19</v>
      </c>
    </row>
    <row r="29" spans="1:19">
      <c r="A29" s="28" t="s">
        <v>11</v>
      </c>
    </row>
    <row r="30" spans="1:19" s="30" customFormat="1">
      <c r="A30" s="29" t="s">
        <v>20</v>
      </c>
    </row>
    <row r="32" spans="1:1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107</v>
      </c>
      <c r="B2" s="49"/>
      <c r="C2" s="74"/>
    </row>
    <row r="3" spans="1:45" ht="17.25" customHeight="1">
      <c r="A3" s="76" t="s">
        <v>108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 t="s">
        <v>131</v>
      </c>
      <c r="D4" s="109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5" t="s">
        <v>132</v>
      </c>
      <c r="D5" s="79"/>
      <c r="E5" s="113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 t="s">
        <v>97</v>
      </c>
      <c r="E6" s="107"/>
      <c r="F6" s="143"/>
    </row>
    <row r="7" spans="1:45" ht="20.25">
      <c r="A7" s="46" t="s">
        <v>66</v>
      </c>
      <c r="C7" s="107" t="s">
        <v>97</v>
      </c>
      <c r="E7" s="114"/>
    </row>
    <row r="8" spans="1:45" ht="20.25">
      <c r="A8" s="46" t="s">
        <v>54</v>
      </c>
      <c r="C8" s="144" t="s">
        <v>103</v>
      </c>
      <c r="E8" s="107"/>
    </row>
    <row r="9" spans="1:45" ht="20.25">
      <c r="A9" s="82" t="s">
        <v>55</v>
      </c>
      <c r="C9" s="114" t="s">
        <v>102</v>
      </c>
      <c r="E9" s="114"/>
    </row>
    <row r="10" spans="1:45" ht="20.25">
      <c r="A10" s="46" t="s">
        <v>28</v>
      </c>
      <c r="C10" s="107" t="s">
        <v>97</v>
      </c>
      <c r="E10" s="107"/>
    </row>
    <row r="11" spans="1:45" ht="20.25">
      <c r="A11" s="46" t="s">
        <v>56</v>
      </c>
      <c r="C11" s="107" t="s">
        <v>97</v>
      </c>
      <c r="E11" s="107"/>
    </row>
    <row r="12" spans="1:45" ht="20.25">
      <c r="A12" s="46" t="s">
        <v>22</v>
      </c>
      <c r="C12" s="107" t="s">
        <v>97</v>
      </c>
      <c r="E12" s="107"/>
    </row>
    <row r="13" spans="1:45" ht="20.25">
      <c r="A13" s="46" t="s">
        <v>23</v>
      </c>
      <c r="C13" s="114" t="s">
        <v>53</v>
      </c>
      <c r="E13" s="107"/>
    </row>
    <row r="14" spans="1:45" ht="20.25">
      <c r="A14" s="46" t="s">
        <v>24</v>
      </c>
      <c r="C14" s="107" t="s">
        <v>97</v>
      </c>
      <c r="E14" s="107"/>
    </row>
    <row r="15" spans="1:45" ht="20.25">
      <c r="A15" s="46" t="s">
        <v>57</v>
      </c>
      <c r="C15" s="144" t="s">
        <v>103</v>
      </c>
      <c r="E15" s="114"/>
    </row>
    <row r="16" spans="1:45" ht="20.25">
      <c r="A16" s="46" t="s">
        <v>58</v>
      </c>
      <c r="C16" s="144" t="s">
        <v>103</v>
      </c>
      <c r="E16" s="107"/>
    </row>
    <row r="17" spans="1:130" ht="20.25">
      <c r="A17" s="46" t="s">
        <v>59</v>
      </c>
      <c r="C17" s="114" t="s">
        <v>53</v>
      </c>
      <c r="E17" s="107"/>
    </row>
    <row r="18" spans="1:130" ht="20.25">
      <c r="A18" s="46" t="s">
        <v>25</v>
      </c>
      <c r="C18" s="114" t="s">
        <v>53</v>
      </c>
      <c r="E18" s="107"/>
    </row>
    <row r="19" spans="1:130" ht="20.25">
      <c r="A19" s="46" t="s">
        <v>60</v>
      </c>
      <c r="C19" s="107" t="s">
        <v>97</v>
      </c>
      <c r="E19" s="107"/>
    </row>
    <row r="20" spans="1:130" ht="20.25">
      <c r="A20" s="46" t="s">
        <v>94</v>
      </c>
      <c r="C20" s="114" t="s">
        <v>133</v>
      </c>
      <c r="E20" s="107"/>
    </row>
    <row r="21" spans="1:130" ht="20.25">
      <c r="A21" s="46" t="s">
        <v>26</v>
      </c>
      <c r="C21" s="114" t="s">
        <v>53</v>
      </c>
      <c r="E21" s="114"/>
    </row>
    <row r="22" spans="1:130" ht="20.25">
      <c r="A22" s="46" t="s">
        <v>61</v>
      </c>
      <c r="C22" s="144" t="s">
        <v>103</v>
      </c>
      <c r="E22" s="107"/>
    </row>
    <row r="23" spans="1:130" ht="20.25">
      <c r="A23" s="46" t="s">
        <v>67</v>
      </c>
      <c r="C23" s="114" t="s">
        <v>53</v>
      </c>
      <c r="E23" s="107"/>
    </row>
    <row r="24" spans="1:130" ht="20.25">
      <c r="A24" s="46" t="s">
        <v>49</v>
      </c>
      <c r="C24" s="114" t="s">
        <v>53</v>
      </c>
      <c r="E24" s="107"/>
    </row>
    <row r="25" spans="1:130" ht="20.25">
      <c r="A25" s="46" t="s">
        <v>88</v>
      </c>
      <c r="C25" s="114" t="s">
        <v>53</v>
      </c>
      <c r="E25" s="107"/>
    </row>
    <row r="26" spans="1:130" ht="20.25">
      <c r="A26" s="46" t="s">
        <v>62</v>
      </c>
      <c r="C26" s="107" t="s">
        <v>97</v>
      </c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8</v>
      </c>
      <c r="D27"/>
      <c r="E27" s="103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1">COUNTIF(C6:C26,"não")</f>
        <v>4</v>
      </c>
      <c r="D28"/>
      <c r="E28" s="104">
        <f t="shared" ref="E28" si="2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3">COUNTIF(C6:C26,"ausente")</f>
        <v>7</v>
      </c>
      <c r="E29" s="40">
        <f t="shared" ref="E29" si="4">COUNTIF(E6:E26,"ausente")</f>
        <v>0</v>
      </c>
    </row>
    <row r="30" spans="1:130" s="20" customFormat="1" ht="15.75">
      <c r="A30" s="19" t="s">
        <v>20</v>
      </c>
      <c r="B30"/>
      <c r="C30" s="105">
        <f t="shared" ref="C30" si="5">COUNTIF(C6:C26,"abstenção")</f>
        <v>1</v>
      </c>
      <c r="D30"/>
      <c r="E30" s="105">
        <f t="shared" ref="E30" si="6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F8" sqref="F8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134</v>
      </c>
      <c r="D4" s="139" t="s">
        <v>135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18" t="s">
        <v>136</v>
      </c>
      <c r="D5" s="113" t="s">
        <v>100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/>
      <c r="V6" s="7"/>
      <c r="W6" s="7"/>
    </row>
    <row r="7" spans="1:30" ht="18">
      <c r="A7" s="129" t="s">
        <v>66</v>
      </c>
      <c r="C7" s="114"/>
      <c r="D7" s="114"/>
      <c r="V7" s="7"/>
      <c r="W7" s="7"/>
    </row>
    <row r="8" spans="1:30" ht="18">
      <c r="A8" s="129" t="s">
        <v>54</v>
      </c>
      <c r="C8" s="107"/>
      <c r="D8" s="107"/>
      <c r="V8" s="7"/>
      <c r="W8" s="7"/>
    </row>
    <row r="9" spans="1:30" ht="18">
      <c r="A9" s="130" t="s">
        <v>55</v>
      </c>
      <c r="C9" s="114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56</v>
      </c>
      <c r="C11" s="107"/>
      <c r="D11" s="107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07"/>
      <c r="D13" s="107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57</v>
      </c>
      <c r="C15" s="114"/>
      <c r="D15" s="114"/>
      <c r="V15" s="7"/>
      <c r="W15" s="7"/>
    </row>
    <row r="16" spans="1:30" ht="18">
      <c r="A16" s="129" t="s">
        <v>58</v>
      </c>
      <c r="C16" s="107"/>
      <c r="D16" s="107"/>
      <c r="V16" s="7"/>
      <c r="W16" s="7"/>
    </row>
    <row r="17" spans="1:124" ht="15" customHeight="1">
      <c r="A17" s="129" t="s">
        <v>59</v>
      </c>
      <c r="C17" s="107"/>
      <c r="D17" s="107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60</v>
      </c>
      <c r="C19" s="107"/>
      <c r="D19" s="107"/>
      <c r="V19" s="7"/>
      <c r="W19" s="7"/>
    </row>
    <row r="20" spans="1:124" ht="18">
      <c r="A20" s="129" t="s">
        <v>94</v>
      </c>
      <c r="C20" s="107"/>
      <c r="D20" s="107"/>
      <c r="V20" s="7"/>
      <c r="W20" s="7"/>
    </row>
    <row r="21" spans="1:124" ht="18">
      <c r="A21" s="129" t="s">
        <v>26</v>
      </c>
      <c r="C21" s="114"/>
      <c r="D21" s="114"/>
      <c r="V21" s="7"/>
      <c r="W21" s="7"/>
    </row>
    <row r="22" spans="1:124" ht="18">
      <c r="A22" s="129" t="s">
        <v>61</v>
      </c>
      <c r="C22" s="107"/>
      <c r="D22" s="107"/>
      <c r="V22" s="7"/>
      <c r="W22" s="7"/>
    </row>
    <row r="23" spans="1:124" ht="18">
      <c r="A23" s="129" t="s">
        <v>67</v>
      </c>
      <c r="C23" s="107"/>
      <c r="D23" s="107"/>
      <c r="V23" s="7"/>
      <c r="W23" s="7"/>
    </row>
    <row r="24" spans="1:124" ht="18">
      <c r="A24" s="129" t="s">
        <v>49</v>
      </c>
      <c r="C24" s="107"/>
      <c r="D24" s="107"/>
      <c r="V24" s="7"/>
      <c r="W24" s="7"/>
    </row>
    <row r="25" spans="1:124" ht="18">
      <c r="A25" s="129" t="s">
        <v>88</v>
      </c>
      <c r="C25" s="107"/>
      <c r="D25" s="107"/>
      <c r="V25" s="7"/>
      <c r="W25" s="7"/>
    </row>
    <row r="26" spans="1:124" ht="18">
      <c r="A26" s="129" t="s">
        <v>62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 t="shared" ref="B27:D27" si="0">COUNTIF(B6:B26,"sim")</f>
        <v>0</v>
      </c>
      <c r="C27" s="103">
        <f t="shared" ref="C27" si="1">COUNTIF(C6:C26,"sim")</f>
        <v>0</v>
      </c>
      <c r="D27" s="103">
        <f t="shared" si="0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:D28" si="6">COUNTIF(B6:B26,"não")</f>
        <v>0</v>
      </c>
      <c r="C28" s="104">
        <f t="shared" ref="C28" si="7">COUNTIF(C6:C26,"não")</f>
        <v>0</v>
      </c>
      <c r="D28" s="104">
        <f t="shared" si="6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:D29" si="12">COUNTIF(B6:B26,"ausente")</f>
        <v>0</v>
      </c>
      <c r="C29" s="40">
        <f t="shared" ref="C29" si="13">COUNTIF(C6:C26,"ausente")</f>
        <v>0</v>
      </c>
      <c r="D29" s="40">
        <f t="shared" si="12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:D30" si="18">COUNTIF(B6:B26,"abstenção")</f>
        <v>0</v>
      </c>
      <c r="C30" s="105">
        <f t="shared" ref="C30" si="19">COUNTIF(C6:C26,"abstenção")</f>
        <v>0</v>
      </c>
      <c r="D30" s="105">
        <f t="shared" si="18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E27" sqref="E27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107</v>
      </c>
      <c r="B2" s="2"/>
    </row>
    <row r="3" spans="1:5" ht="15.75" thickBot="1">
      <c r="A3" s="121" t="s">
        <v>108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137</v>
      </c>
      <c r="D4" s="139" t="s">
        <v>138</v>
      </c>
      <c r="E4" s="139" t="s">
        <v>139</v>
      </c>
    </row>
    <row r="5" spans="1:5" s="6" customFormat="1" ht="60.75" customHeight="1">
      <c r="A5" s="122"/>
      <c r="B5" s="111"/>
      <c r="C5" s="113" t="s">
        <v>96</v>
      </c>
      <c r="D5" s="113" t="s">
        <v>96</v>
      </c>
      <c r="E5" s="113" t="s">
        <v>96</v>
      </c>
    </row>
    <row r="6" spans="1:5" ht="15.75">
      <c r="A6" s="127" t="s">
        <v>51</v>
      </c>
      <c r="C6" s="107" t="s">
        <v>97</v>
      </c>
      <c r="D6" s="107" t="s">
        <v>97</v>
      </c>
      <c r="E6" s="107" t="s">
        <v>97</v>
      </c>
    </row>
    <row r="7" spans="1:5" ht="15.75">
      <c r="A7" s="127" t="s">
        <v>66</v>
      </c>
      <c r="C7" s="107" t="s">
        <v>97</v>
      </c>
      <c r="D7" s="107" t="s">
        <v>97</v>
      </c>
      <c r="E7" s="107" t="s">
        <v>97</v>
      </c>
    </row>
    <row r="8" spans="1:5" ht="15.75">
      <c r="A8" s="127" t="s">
        <v>54</v>
      </c>
      <c r="C8" s="107" t="s">
        <v>97</v>
      </c>
      <c r="D8" s="107" t="s">
        <v>97</v>
      </c>
      <c r="E8" s="107" t="s">
        <v>97</v>
      </c>
    </row>
    <row r="9" spans="1:5" ht="15.75">
      <c r="A9" s="128" t="s">
        <v>55</v>
      </c>
      <c r="C9" s="107" t="s">
        <v>97</v>
      </c>
      <c r="D9" s="107" t="s">
        <v>97</v>
      </c>
      <c r="E9" s="107" t="s">
        <v>97</v>
      </c>
    </row>
    <row r="10" spans="1:5" ht="15.75">
      <c r="A10" s="127" t="s">
        <v>28</v>
      </c>
      <c r="C10" s="107" t="s">
        <v>97</v>
      </c>
      <c r="D10" s="107" t="s">
        <v>97</v>
      </c>
      <c r="E10" s="107" t="s">
        <v>97</v>
      </c>
    </row>
    <row r="11" spans="1:5" ht="15.75">
      <c r="A11" s="127" t="s">
        <v>56</v>
      </c>
      <c r="C11" s="107" t="s">
        <v>97</v>
      </c>
      <c r="D11" s="107" t="s">
        <v>97</v>
      </c>
      <c r="E11" s="107" t="s">
        <v>97</v>
      </c>
    </row>
    <row r="12" spans="1:5" ht="15.75">
      <c r="A12" s="127" t="s">
        <v>22</v>
      </c>
      <c r="C12" s="107" t="s">
        <v>97</v>
      </c>
      <c r="D12" s="107" t="s">
        <v>97</v>
      </c>
      <c r="E12" s="107" t="s">
        <v>97</v>
      </c>
    </row>
    <row r="13" spans="1:5" ht="15.75">
      <c r="A13" s="127" t="s">
        <v>23</v>
      </c>
      <c r="B13" s="138"/>
      <c r="C13" s="114" t="s">
        <v>53</v>
      </c>
      <c r="D13" s="114" t="s">
        <v>53</v>
      </c>
      <c r="E13" s="114" t="s">
        <v>53</v>
      </c>
    </row>
    <row r="14" spans="1:5" ht="15.75">
      <c r="A14" s="127" t="s">
        <v>24</v>
      </c>
      <c r="C14" s="107" t="s">
        <v>97</v>
      </c>
      <c r="D14" s="107" t="s">
        <v>97</v>
      </c>
      <c r="E14" s="107" t="s">
        <v>97</v>
      </c>
    </row>
    <row r="15" spans="1:5" ht="15.75">
      <c r="A15" s="127" t="s">
        <v>57</v>
      </c>
      <c r="C15" s="114" t="s">
        <v>53</v>
      </c>
      <c r="D15" s="107" t="s">
        <v>97</v>
      </c>
      <c r="E15" s="107" t="s">
        <v>97</v>
      </c>
    </row>
    <row r="16" spans="1:5" ht="15.75">
      <c r="A16" s="127" t="s">
        <v>58</v>
      </c>
      <c r="C16" s="107" t="s">
        <v>97</v>
      </c>
      <c r="D16" s="107" t="s">
        <v>97</v>
      </c>
      <c r="E16" s="107" t="s">
        <v>97</v>
      </c>
    </row>
    <row r="17" spans="1:5" ht="15.75">
      <c r="A17" s="127" t="s">
        <v>59</v>
      </c>
      <c r="C17" s="114" t="s">
        <v>53</v>
      </c>
      <c r="D17" s="114" t="s">
        <v>53</v>
      </c>
      <c r="E17" s="114" t="s">
        <v>53</v>
      </c>
    </row>
    <row r="18" spans="1:5" ht="15.75">
      <c r="A18" s="127" t="s">
        <v>25</v>
      </c>
      <c r="C18" s="107" t="s">
        <v>97</v>
      </c>
      <c r="D18" s="107" t="s">
        <v>97</v>
      </c>
      <c r="E18" s="107" t="s">
        <v>97</v>
      </c>
    </row>
    <row r="19" spans="1:5" ht="15.75">
      <c r="A19" s="127" t="s">
        <v>60</v>
      </c>
      <c r="C19" s="107" t="s">
        <v>97</v>
      </c>
      <c r="D19" s="107" t="s">
        <v>97</v>
      </c>
      <c r="E19" s="107" t="s">
        <v>97</v>
      </c>
    </row>
    <row r="20" spans="1:5" ht="15.75">
      <c r="A20" s="127" t="s">
        <v>94</v>
      </c>
      <c r="C20" s="107" t="s">
        <v>97</v>
      </c>
      <c r="D20" s="107" t="s">
        <v>97</v>
      </c>
      <c r="E20" s="107" t="s">
        <v>97</v>
      </c>
    </row>
    <row r="21" spans="1:5" ht="15.75">
      <c r="A21" s="127" t="s">
        <v>26</v>
      </c>
      <c r="C21" s="114" t="s">
        <v>53</v>
      </c>
      <c r="D21" s="114" t="s">
        <v>53</v>
      </c>
      <c r="E21" s="114" t="s">
        <v>53</v>
      </c>
    </row>
    <row r="22" spans="1:5" ht="15.75">
      <c r="A22" s="127" t="s">
        <v>61</v>
      </c>
      <c r="C22" s="107" t="s">
        <v>97</v>
      </c>
      <c r="D22" s="107" t="s">
        <v>97</v>
      </c>
      <c r="E22" s="107" t="s">
        <v>97</v>
      </c>
    </row>
    <row r="23" spans="1:5" ht="15.75">
      <c r="A23" s="127" t="s">
        <v>67</v>
      </c>
      <c r="C23" s="114" t="s">
        <v>53</v>
      </c>
      <c r="D23" s="114" t="s">
        <v>53</v>
      </c>
      <c r="E23" s="114" t="s">
        <v>53</v>
      </c>
    </row>
    <row r="24" spans="1:5" ht="15.75">
      <c r="A24" s="127" t="s">
        <v>49</v>
      </c>
      <c r="C24" s="114" t="s">
        <v>53</v>
      </c>
      <c r="D24" s="114" t="s">
        <v>53</v>
      </c>
      <c r="E24" s="114" t="s">
        <v>53</v>
      </c>
    </row>
    <row r="25" spans="1:5" ht="15.75">
      <c r="A25" s="127" t="s">
        <v>88</v>
      </c>
      <c r="C25" s="114" t="s">
        <v>53</v>
      </c>
      <c r="D25" s="114" t="s">
        <v>53</v>
      </c>
      <c r="E25" s="114" t="s">
        <v>53</v>
      </c>
    </row>
    <row r="26" spans="1:5" ht="15.75">
      <c r="A26" s="127" t="s">
        <v>62</v>
      </c>
      <c r="C26" s="107" t="s">
        <v>97</v>
      </c>
      <c r="D26" s="107" t="s">
        <v>97</v>
      </c>
      <c r="E26" s="107" t="s">
        <v>97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14</v>
      </c>
      <c r="D28" s="103">
        <f t="shared" si="0"/>
        <v>15</v>
      </c>
      <c r="E28" s="103">
        <f t="shared" si="0"/>
        <v>15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7</v>
      </c>
      <c r="D30" s="40">
        <f t="shared" si="2"/>
        <v>6</v>
      </c>
      <c r="E30" s="40">
        <f t="shared" si="2"/>
        <v>6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107</v>
      </c>
      <c r="B2" s="2"/>
      <c r="C2" s="54"/>
      <c r="D2" s="54"/>
      <c r="E2" s="54"/>
    </row>
    <row r="3" spans="1:10" ht="15.75" thickBot="1">
      <c r="A3" s="121" t="s">
        <v>108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107</v>
      </c>
      <c r="B2" s="2"/>
    </row>
    <row r="3" spans="1:23">
      <c r="A3" s="76" t="s">
        <v>108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2026-04-27T16:02:02Z</dcterms:modified>
</cp:coreProperties>
</file>