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9A132EA0-EB4D-4545-B603-212F0ADEA6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3" l="1"/>
  <c r="D28" i="3"/>
  <c r="D29" i="3"/>
  <c r="D30" i="3"/>
  <c r="F27" i="2"/>
  <c r="F28" i="2"/>
  <c r="F29" i="2"/>
  <c r="F30" i="2"/>
  <c r="C27" i="3"/>
  <c r="C28" i="3"/>
  <c r="C29" i="3"/>
  <c r="C30" i="3"/>
  <c r="E27" i="2"/>
  <c r="E28" i="2"/>
  <c r="E29" i="2"/>
  <c r="E30" i="2"/>
  <c r="G27" i="2"/>
  <c r="H27" i="2"/>
  <c r="G28" i="2"/>
  <c r="H28" i="2"/>
  <c r="G29" i="2"/>
  <c r="H29" i="2"/>
  <c r="G30" i="2"/>
  <c r="H30" i="2"/>
  <c r="C28" i="10"/>
  <c r="C29" i="10"/>
  <c r="C30" i="10"/>
  <c r="C31" i="10"/>
  <c r="E27" i="3"/>
  <c r="E28" i="3"/>
  <c r="E29" i="3"/>
  <c r="E30" i="3"/>
  <c r="F28" i="11"/>
  <c r="G28" i="11"/>
  <c r="H28" i="11"/>
  <c r="I28" i="11"/>
  <c r="F29" i="11"/>
  <c r="G29" i="11"/>
  <c r="H29" i="11"/>
  <c r="I29" i="11"/>
  <c r="F30" i="11"/>
  <c r="G30" i="11"/>
  <c r="H30" i="11"/>
  <c r="I30" i="11"/>
  <c r="F31" i="11"/>
  <c r="G31" i="11"/>
  <c r="H31" i="11"/>
  <c r="I31" i="11"/>
  <c r="F27" i="3"/>
  <c r="F28" i="3"/>
  <c r="F29" i="3"/>
  <c r="F30" i="3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V27" i="3" l="1"/>
  <c r="DV28" i="3" s="1"/>
  <c r="DV29" i="3" s="1"/>
  <c r="DV30" i="3" s="1"/>
  <c r="DU27" i="3"/>
  <c r="DU28" i="3" s="1"/>
  <c r="DU29" i="3" s="1"/>
  <c r="DU30" i="3" s="1"/>
  <c r="DT27" i="3"/>
  <c r="DT28" i="3" s="1"/>
  <c r="DS27" i="3"/>
  <c r="DR27" i="3"/>
  <c r="DR28" i="3" s="1"/>
  <c r="DR29" i="3" s="1"/>
  <c r="DR30" i="3" s="1"/>
  <c r="DQ27" i="3"/>
  <c r="DQ28" i="3" s="1"/>
  <c r="DQ29" i="3" s="1"/>
  <c r="DQ30" i="3" s="1"/>
  <c r="DP27" i="3"/>
  <c r="DP28" i="3" s="1"/>
  <c r="DP29" i="3" s="1"/>
  <c r="DP30" i="3" s="1"/>
  <c r="DO27" i="3"/>
  <c r="DN27" i="3"/>
  <c r="DN28" i="3" s="1"/>
  <c r="DM27" i="3"/>
  <c r="DM28" i="3" s="1"/>
  <c r="DL27" i="3"/>
  <c r="DL28" i="3" s="1"/>
  <c r="DK27" i="3"/>
  <c r="DK28" i="3" s="1"/>
  <c r="DJ27" i="3"/>
  <c r="DJ28" i="3" s="1"/>
  <c r="DJ29" i="3" s="1"/>
  <c r="DI27" i="3"/>
  <c r="DI28" i="3" s="1"/>
  <c r="DI29" i="3" s="1"/>
  <c r="DI30" i="3" s="1"/>
  <c r="DH27" i="3"/>
  <c r="DH28" i="3" s="1"/>
  <c r="DG27" i="3"/>
  <c r="DG28" i="3" s="1"/>
  <c r="DF27" i="3"/>
  <c r="DF28" i="3" s="1"/>
  <c r="DF29" i="3" s="1"/>
  <c r="DE27" i="3"/>
  <c r="DE28" i="3" s="1"/>
  <c r="DD27" i="3"/>
  <c r="DD28" i="3" s="1"/>
  <c r="DD29" i="3" s="1"/>
  <c r="DC27" i="3"/>
  <c r="DC28" i="3" s="1"/>
  <c r="DC29" i="3" s="1"/>
  <c r="DC30" i="3" s="1"/>
  <c r="DB27" i="3"/>
  <c r="DB28" i="3" s="1"/>
  <c r="DA27" i="3"/>
  <c r="DA28" i="3" s="1"/>
  <c r="DA29" i="3" s="1"/>
  <c r="DA30" i="3" s="1"/>
  <c r="CZ27" i="3"/>
  <c r="CZ28" i="3" s="1"/>
  <c r="CY27" i="3"/>
  <c r="CX27" i="3"/>
  <c r="CX28" i="3" s="1"/>
  <c r="CX29" i="3" s="1"/>
  <c r="CW27" i="3"/>
  <c r="CW28" i="3" s="1"/>
  <c r="CV27" i="3"/>
  <c r="CV28" i="3" s="1"/>
  <c r="CV29" i="3" s="1"/>
  <c r="CV30" i="3" s="1"/>
  <c r="CU27" i="3"/>
  <c r="CU28" i="3" s="1"/>
  <c r="CU29" i="3" s="1"/>
  <c r="CU30" i="3" s="1"/>
  <c r="CT27" i="3"/>
  <c r="CT28" i="3" s="1"/>
  <c r="CS27" i="3"/>
  <c r="CS28" i="3" s="1"/>
  <c r="CS29" i="3" s="1"/>
  <c r="CS30" i="3" s="1"/>
  <c r="CR27" i="3"/>
  <c r="CR28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N29" i="3" s="1"/>
  <c r="CM27" i="3"/>
  <c r="CM28" i="3" s="1"/>
  <c r="CL27" i="3"/>
  <c r="CL28" i="3" s="1"/>
  <c r="CK27" i="3"/>
  <c r="CK28" i="3" s="1"/>
  <c r="CK29" i="3" s="1"/>
  <c r="CK30" i="3" s="1"/>
  <c r="CJ27" i="3"/>
  <c r="CJ28" i="3" s="1"/>
  <c r="CI27" i="3"/>
  <c r="CI28" i="3" s="1"/>
  <c r="CH27" i="3"/>
  <c r="CG27" i="3"/>
  <c r="CG28" i="3" s="1"/>
  <c r="CF27" i="3"/>
  <c r="CF28" i="3" s="1"/>
  <c r="CF29" i="3" s="1"/>
  <c r="CF30" i="3" s="1"/>
  <c r="CE27" i="3"/>
  <c r="CD27" i="3"/>
  <c r="CD28" i="3" s="1"/>
  <c r="CC27" i="3"/>
  <c r="CC28" i="3" s="1"/>
  <c r="CC29" i="3" s="1"/>
  <c r="CC30" i="3" s="1"/>
  <c r="CB27" i="3"/>
  <c r="CB28" i="3" s="1"/>
  <c r="CA27" i="3"/>
  <c r="CA28" i="3" s="1"/>
  <c r="CA29" i="3" s="1"/>
  <c r="BZ27" i="3"/>
  <c r="BZ28" i="3" s="1"/>
  <c r="BZ29" i="3" s="1"/>
  <c r="BY27" i="3"/>
  <c r="BY28" i="3" s="1"/>
  <c r="BX27" i="3"/>
  <c r="BX28" i="3" s="1"/>
  <c r="BW27" i="3"/>
  <c r="BW28" i="3" s="1"/>
  <c r="BV27" i="3"/>
  <c r="BV28" i="3" s="1"/>
  <c r="BU27" i="3"/>
  <c r="BU28" i="3" s="1"/>
  <c r="BU29" i="3" s="1"/>
  <c r="BU30" i="3" s="1"/>
  <c r="BT27" i="3"/>
  <c r="BT28" i="3" s="1"/>
  <c r="BS27" i="3"/>
  <c r="BS28" i="3" s="1"/>
  <c r="BR27" i="3"/>
  <c r="BR28" i="3" s="1"/>
  <c r="BQ27" i="3"/>
  <c r="BQ28" i="3" s="1"/>
  <c r="BP27" i="3"/>
  <c r="BP28" i="3" s="1"/>
  <c r="BP29" i="3" s="1"/>
  <c r="BO27" i="3"/>
  <c r="BN27" i="3"/>
  <c r="BN28" i="3" s="1"/>
  <c r="BN29" i="3" s="1"/>
  <c r="BM27" i="3"/>
  <c r="BM28" i="3" s="1"/>
  <c r="BM29" i="3" s="1"/>
  <c r="BM30" i="3" s="1"/>
  <c r="BL27" i="3"/>
  <c r="BL28" i="3" s="1"/>
  <c r="BK27" i="3"/>
  <c r="BK28" i="3" s="1"/>
  <c r="BJ27" i="3"/>
  <c r="BJ28" i="3" s="1"/>
  <c r="BJ29" i="3" s="1"/>
  <c r="BJ30" i="3" s="1"/>
  <c r="BI27" i="3"/>
  <c r="BI28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D27" i="3"/>
  <c r="BD28" i="3" s="1"/>
  <c r="BC27" i="3"/>
  <c r="BC28" i="3" s="1"/>
  <c r="BC29" i="3" s="1"/>
  <c r="BB27" i="3"/>
  <c r="BB28" i="3" s="1"/>
  <c r="BB29" i="3" s="1"/>
  <c r="BA27" i="3"/>
  <c r="BA28" i="3" s="1"/>
  <c r="BA29" i="3" s="1"/>
  <c r="BA30" i="3" s="1"/>
  <c r="AZ27" i="3"/>
  <c r="AZ28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T27" i="3"/>
  <c r="AT28" i="3" s="1"/>
  <c r="AS27" i="3"/>
  <c r="AS28" i="3" s="1"/>
  <c r="AR27" i="3"/>
  <c r="AR28" i="3" s="1"/>
  <c r="AR29" i="3" s="1"/>
  <c r="AR30" i="3" s="1"/>
  <c r="AQ27" i="3"/>
  <c r="AQ28" i="3" s="1"/>
  <c r="AQ29" i="3" s="1"/>
  <c r="AP27" i="3"/>
  <c r="AP28" i="3" s="1"/>
  <c r="AP29" i="3" s="1"/>
  <c r="AP30" i="3" s="1"/>
  <c r="AO27" i="3"/>
  <c r="AO28" i="3" s="1"/>
  <c r="AN27" i="3"/>
  <c r="AN28" i="3" s="1"/>
  <c r="AM27" i="3"/>
  <c r="AM28" i="3" s="1"/>
  <c r="AL27" i="3"/>
  <c r="AL28" i="3" s="1"/>
  <c r="AL29" i="3" s="1"/>
  <c r="AK27" i="3"/>
  <c r="AK28" i="3" s="1"/>
  <c r="AK29" i="3" s="1"/>
  <c r="AJ27" i="3"/>
  <c r="AJ28" i="3" s="1"/>
  <c r="AJ29" i="3" s="1"/>
  <c r="AI27" i="3"/>
  <c r="AH27" i="3"/>
  <c r="AH28" i="3" s="1"/>
  <c r="AH29" i="3" s="1"/>
  <c r="AH30" i="3" s="1"/>
  <c r="AG27" i="3"/>
  <c r="AG28" i="3" s="1"/>
  <c r="AF27" i="3"/>
  <c r="AF28" i="3" s="1"/>
  <c r="AF29" i="3" s="1"/>
  <c r="AF30" i="3" s="1"/>
  <c r="AE27" i="3"/>
  <c r="AE28" i="3" s="1"/>
  <c r="AE29" i="3" s="1"/>
  <c r="AD27" i="3"/>
  <c r="AD28" i="3" s="1"/>
  <c r="AC27" i="3"/>
  <c r="AC28" i="3" s="1"/>
  <c r="AB27" i="3"/>
  <c r="AB28" i="3" s="1"/>
  <c r="AA27" i="3"/>
  <c r="AA28" i="3" s="1"/>
  <c r="AA29" i="3" s="1"/>
  <c r="AA30" i="3" s="1"/>
  <c r="Z27" i="3"/>
  <c r="Z28" i="3" s="1"/>
  <c r="Z29" i="3" s="1"/>
  <c r="Z30" i="3" s="1"/>
  <c r="Y27" i="3"/>
  <c r="Y28" i="3" s="1"/>
  <c r="X27" i="3"/>
  <c r="W27" i="3"/>
  <c r="V27" i="3"/>
  <c r="V28" i="3" s="1"/>
  <c r="V29" i="3" s="1"/>
  <c r="U27" i="3"/>
  <c r="U28" i="3" s="1"/>
  <c r="T27" i="3"/>
  <c r="T28" i="3" s="1"/>
  <c r="T29" i="3" s="1"/>
  <c r="T30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DE29" i="3" l="1"/>
  <c r="DE30" i="3" s="1"/>
  <c r="BY29" i="3"/>
  <c r="BY30" i="3" s="1"/>
  <c r="CO29" i="3"/>
  <c r="CO30" i="3" s="1"/>
  <c r="AS29" i="3"/>
  <c r="AS30" i="3" s="1"/>
  <c r="CZ29" i="3"/>
  <c r="CZ30" i="3" s="1"/>
  <c r="BQ29" i="3"/>
  <c r="BQ30" i="3" s="1"/>
  <c r="BT29" i="3"/>
  <c r="BT30" i="3" s="1"/>
  <c r="BI29" i="3"/>
  <c r="BI30" i="3" s="1"/>
  <c r="CB29" i="3"/>
  <c r="CB30" i="3" s="1"/>
  <c r="U29" i="3"/>
  <c r="U30" i="3" s="1"/>
  <c r="AD29" i="3"/>
  <c r="AD30" i="3" s="1"/>
  <c r="BV29" i="3"/>
  <c r="BV30" i="3" s="1"/>
  <c r="AT29" i="3"/>
  <c r="AT30" i="3" s="1"/>
  <c r="CR29" i="3"/>
  <c r="CR30" i="3" s="1"/>
  <c r="CY28" i="3"/>
  <c r="CY29" i="3" s="1"/>
  <c r="CY30" i="3" s="1"/>
  <c r="DS28" i="3"/>
  <c r="DS29" i="3" s="1"/>
  <c r="DS30" i="3" s="1"/>
  <c r="CJ29" i="3"/>
  <c r="CJ30" i="3" s="1"/>
  <c r="AI28" i="3"/>
  <c r="AI29" i="3" s="1"/>
  <c r="AI30" i="3" s="1"/>
  <c r="CE28" i="3"/>
  <c r="CE29" i="3" s="1"/>
  <c r="CE30" i="3" s="1"/>
  <c r="CI29" i="3"/>
  <c r="CI30" i="3" s="1"/>
  <c r="AB29" i="3"/>
  <c r="AB30" i="3" s="1"/>
  <c r="AM29" i="3"/>
  <c r="AM30" i="3" s="1"/>
  <c r="BO28" i="3"/>
  <c r="BO29" i="3" s="1"/>
  <c r="BO30" i="3" s="1"/>
  <c r="DO28" i="3"/>
  <c r="DO29" i="3" s="1"/>
  <c r="DO30" i="3" s="1"/>
  <c r="BK29" i="3"/>
  <c r="BK30" i="3" s="1"/>
  <c r="BR29" i="3"/>
  <c r="BR30" i="3" s="1"/>
  <c r="AJ30" i="3"/>
  <c r="CX30" i="3"/>
  <c r="DH29" i="3"/>
  <c r="DH30" i="3" s="1"/>
  <c r="X28" i="3"/>
  <c r="X29" i="3" s="1"/>
  <c r="X30" i="3" s="1"/>
  <c r="AU29" i="3"/>
  <c r="AU30" i="3" s="1"/>
  <c r="CH28" i="3"/>
  <c r="CH29" i="3" s="1"/>
  <c r="CH30" i="3" s="1"/>
  <c r="O29" i="3"/>
  <c r="O30" i="3" s="1"/>
  <c r="S29" i="3"/>
  <c r="S30" i="3" s="1"/>
  <c r="DG29" i="3"/>
  <c r="DG30" i="3" s="1"/>
  <c r="DK29" i="3"/>
  <c r="DK30" i="3" s="1"/>
  <c r="M29" i="3"/>
  <c r="M30" i="3" s="1"/>
  <c r="DB29" i="3"/>
  <c r="DB30" i="3" s="1"/>
  <c r="DM29" i="3"/>
  <c r="DM30" i="3" s="1"/>
  <c r="BX29" i="3"/>
  <c r="BX30" i="3" s="1"/>
  <c r="CL29" i="3"/>
  <c r="CL30" i="3" s="1"/>
  <c r="CD29" i="3"/>
  <c r="CD30" i="3" s="1"/>
  <c r="V30" i="3"/>
  <c r="DN29" i="3"/>
  <c r="DN30" i="3" s="1"/>
  <c r="AQ30" i="3"/>
  <c r="DD30" i="3"/>
  <c r="CW29" i="3"/>
  <c r="CW30" i="3" s="1"/>
  <c r="CG29" i="3"/>
  <c r="CG30" i="3" s="1"/>
  <c r="AC29" i="3"/>
  <c r="AC30" i="3" s="1"/>
  <c r="CT29" i="3"/>
  <c r="CT30" i="3" s="1"/>
  <c r="W28" i="3"/>
  <c r="W29" i="3" s="1"/>
  <c r="W30" i="3" s="1"/>
  <c r="DF30" i="3"/>
  <c r="AN29" i="3"/>
  <c r="AN30" i="3" s="1"/>
  <c r="AE30" i="3"/>
  <c r="AK30" i="3"/>
  <c r="BL29" i="3"/>
  <c r="BL30" i="3" s="1"/>
  <c r="AL30" i="3"/>
  <c r="BW29" i="3"/>
  <c r="BW30" i="3" s="1"/>
  <c r="CQ29" i="3"/>
  <c r="CQ30" i="3" s="1"/>
  <c r="BC30" i="3"/>
  <c r="BB30" i="3"/>
  <c r="BP30" i="3"/>
  <c r="CN30" i="3"/>
  <c r="Y29" i="3"/>
  <c r="Y30" i="3" s="1"/>
  <c r="BS29" i="3"/>
  <c r="BS30" i="3" s="1"/>
  <c r="AV29" i="3"/>
  <c r="AV30" i="3" s="1"/>
  <c r="CM29" i="3"/>
  <c r="CM30" i="3" s="1"/>
  <c r="BN30" i="3"/>
  <c r="AG29" i="3"/>
  <c r="AG30" i="3" s="1"/>
  <c r="BD29" i="3"/>
  <c r="BD30" i="3" s="1"/>
  <c r="DT29" i="3"/>
  <c r="DT30" i="3" s="1"/>
  <c r="DL29" i="3"/>
  <c r="DL30" i="3" s="1"/>
  <c r="DJ30" i="3"/>
  <c r="Q29" i="3"/>
  <c r="Q30" i="3" s="1"/>
  <c r="AX29" i="3"/>
  <c r="AX30" i="3" s="1"/>
  <c r="CA30" i="3"/>
  <c r="BZ30" i="3"/>
  <c r="AO29" i="3"/>
  <c r="AO30" i="3" s="1"/>
  <c r="AZ29" i="3"/>
  <c r="AZ30" i="3" s="1"/>
  <c r="BE29" i="3"/>
  <c r="BE30" i="3" s="1"/>
</calcChain>
</file>

<file path=xl/sharedStrings.xml><?xml version="1.0" encoding="utf-8"?>
<sst xmlns="http://schemas.openxmlformats.org/spreadsheetml/2006/main" count="560" uniqueCount="126">
  <si>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</si>
  <si>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</si>
  <si>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</si>
  <si>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</si>
  <si>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</si>
  <si>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</si>
  <si>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</si>
  <si>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</si>
  <si>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</si>
  <si>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</si>
  <si>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</si>
  <si>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</si>
  <si>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</si>
  <si>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</si>
  <si>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</si>
  <si>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</si>
  <si>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</si>
  <si>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</si>
  <si>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</si>
  <si>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</si>
  <si>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</si>
  <si>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</si>
  <si>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</si>
  <si>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</si>
  <si>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</si>
  <si>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</si>
  <si>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</si>
  <si>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</si>
  <si>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</si>
  <si>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</si>
  <si>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</si>
  <si>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</si>
  <si>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</si>
  <si>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</si>
  <si>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</si>
  <si>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</si>
  <si>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</si>
  <si>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</si>
  <si>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</si>
  <si>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</si>
  <si>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</si>
  <si>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</si>
  <si>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</si>
  <si>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</si>
  <si>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</si>
  <si>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</si>
  <si>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</si>
  <si>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</si>
  <si>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</si>
  <si>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</si>
  <si>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</si>
  <si>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</si>
  <si>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</si>
  <si>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</si>
  <si>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</si>
  <si>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</si>
  <si>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</si>
  <si>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</si>
  <si>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</si>
  <si>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</si>
  <si>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</si>
  <si>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</si>
  <si>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</si>
  <si>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</si>
  <si>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</si>
  <si>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</si>
  <si>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</si>
  <si>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</si>
  <si>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</si>
  <si>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</si>
  <si>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</si>
  <si>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</si>
  <si>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</si>
  <si>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</si>
  <si>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</si>
  <si>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</si>
  <si>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</si>
  <si>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</si>
  <si>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</si>
  <si>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</si>
  <si>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</si>
  <si>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</si>
  <si>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</si>
  <si>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</si>
  <si>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</si>
  <si>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</si>
  <si>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</si>
  <si>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</si>
  <si>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</si>
  <si>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</si>
  <si>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</si>
  <si>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</si>
  <si>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</si>
  <si>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</si>
  <si>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</si>
  <si>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</si>
  <si>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pela ausência do autor, será pautada na próxima sessão.</t>
  </si>
  <si>
    <t>8.RECURSO DE AUTORIA DO VEREADOR PEDRINHO CANTAGESSI AO PL N.º 57/2026, que dispõe sobre a criação do Programa Ônibus Rosa e dá outras providências, em face do parecer contrário da Comissão de Constituição e Justiça – CCJ.</t>
  </si>
  <si>
    <t>APROVADO</t>
  </si>
  <si>
    <t>sim</t>
  </si>
  <si>
    <t>na presidência</t>
  </si>
  <si>
    <t>pela ausêmcia do autor, será pautado na próxima sessão.</t>
  </si>
  <si>
    <r>
      <t xml:space="preserve">MOÇÃO DE APLAUSO N.º 277/2026 – JOSIAS DA JUCO – </t>
    </r>
    <r>
      <rPr>
        <sz val="11"/>
        <color theme="1"/>
        <rFont val="Arial"/>
        <family val="2"/>
      </rPr>
      <t>À Beatriz Grasiano, em reconhecimento à sua trajetória acadêmica, ao mérito profissional e ao trabalho que vem desenvolvendo na Câmara Municipal de Osasco.</t>
    </r>
  </si>
  <si>
    <t>55ª SESSÃO ORDINÁRIA</t>
  </si>
  <si>
    <t>DIA 1º DE OUTUBRO DE 2026 - QUINTA-FEIRA</t>
  </si>
  <si>
    <t>OFÍCIO PROLEGIS Nº 202603325805 – Prefeito do Município de Osasco – Informa a sanção da Lei nº 5.525, de 28 de setembro de 2026, referente ao Projeto de Lei nº 147/2026, de autoria do vereador Gabriel Saúde, que denomina Viela José Carlos de Arruda a atual Viela 15 do Loteamento Jardim Velloso, situado no Bairro Veloso.</t>
  </si>
  <si>
    <t>OFÍCIO PROLEGIS nº 202603325861 - Prefeito do Município de Osasco – Informa a sanção da Lei nº 5.526, de 29 de setembro de 2026, referente ao Projeto de Lei nº 200/2026, de autoria do Prefeito do Município de Osasco, que dispõe sobre abertura de crédito adicional especial ao orçamento vigente e dá outras providências.</t>
  </si>
  <si>
    <t>OFÍCIO PROLEGIS nº 202603325870 - Prefeito do Município de Osasco – Informa a sanção da Lei nº 5.527, de 29 de setembro de 2026, referente ao Projeto de Lei nº 201/2026, de autoria do Prefeito do Município de Osasco, que dispõe sobre abertura de crédito adicional especial ao orçamento vigente e dá outras providências.</t>
  </si>
  <si>
    <t>PROJETO DE LEI Nº 218/2026 – Sergio Fontellas - Autoriza o Poder Executivo a fornecer equipamentos eletrônicos portáteis aos Agentes Comunitários de Saúde e aos Agentes de Combate às Endemias para o registro e a transmissão em tempo real dos dados coletados.</t>
  </si>
  <si>
    <t>PROJETO DE RESOLUÇÃO Nº 7/2026 – Stephane Rossi - Institui o Sinal de Identificação em Língua Brasileira de Sinais – Libras, dos Vereadores da Câmara Municipal de Osasco e estabelece seu reconhecimento como ato integrante da posse em cada Legislatura.</t>
  </si>
  <si>
    <r>
      <t xml:space="preserve">MOÇÃO DE RECONHECIMENTO N.º 274/2026 – LAÉRCIO MENDONÇA - </t>
    </r>
    <r>
      <rPr>
        <sz val="11"/>
        <color theme="1"/>
        <rFont val="Arial"/>
        <family val="2"/>
      </rPr>
      <t>À Escola Mimo da Gente, pelos relevantes serviços prestados à comunidade, especialmente às crianças e famílias do município, pela valorização da educação e o desenvolvimento de projetos de formação cidadã.</t>
    </r>
  </si>
  <si>
    <r>
      <t xml:space="preserve">MOÇÃO DE APLAUSO N.º 282/2026 – ALEXANDRE CAPRIOTTI– </t>
    </r>
    <r>
      <rPr>
        <sz val="11"/>
        <color theme="1"/>
        <rFont val="Arial"/>
        <family val="2"/>
      </rPr>
      <t>Ao sr. Alexandre Francisco Gomes, pelo relevante trabalho social desenvolvido por meio da Corrida das Cores, promovendo esporte, solidariedade, inclusão e qualidade de vida.</t>
    </r>
  </si>
  <si>
    <r>
      <t>MOÇÃO DE CONGRATULAÇÕES N.º 283/2026 – DELBIO TERUEL –</t>
    </r>
    <r>
      <rPr>
        <sz val="11"/>
        <color theme="1"/>
        <rFont val="Arial"/>
        <family val="2"/>
      </rPr>
      <t xml:space="preserve"> À Associação Atlética AFUJAB, do Jardim Baronesa, pelos 57 anos de fundação, celebrados em 29 de setembro.</t>
    </r>
  </si>
  <si>
    <r>
      <t xml:space="preserve">MOÇÃO DE APOIO N.º 284/2026 – IVANILDO EVENTOS – </t>
    </r>
    <r>
      <rPr>
        <sz val="11"/>
        <color theme="1"/>
        <rFont val="Arial"/>
        <family val="2"/>
      </rPr>
      <t>Ao Dia Nacional e Internacional da Pessoa Idosa e ao Estatuto da Pessoa Idosa, celebrado em 1º de outubro, data que também marca a promulgação da Lei Municipal nº 4642/2014.</t>
    </r>
  </si>
  <si>
    <r>
      <t>MOÇÃO DE PESAR N.º 285/2026 – JOSIAS DA JUCO –</t>
    </r>
    <r>
      <rPr>
        <sz val="11"/>
        <color theme="1"/>
        <rFont val="Arial"/>
        <family val="2"/>
      </rPr>
      <t xml:space="preserve"> Pelo falecimento do Sr. Francisco Antônio Guerra, carinhosamente conhecido por toda a comunidade como Chico da Padaria Jaguaribe, ocorrido em 27 de setembro.</t>
    </r>
  </si>
  <si>
    <r>
      <t xml:space="preserve">MOÇÃO DE APLAUSO N.º 286/2026 – BATISTA COMUNIDADE – </t>
    </r>
    <r>
      <rPr>
        <sz val="11"/>
        <color theme="1"/>
        <rFont val="Arial"/>
        <family val="2"/>
      </rPr>
      <t>Ao Conselho Nacional dos Profissionais da Beleza – CNPB, pelo relevante trabalho desenvolvido na defesa, valorização, qualificação e reconhecimento dos profissionais da área da beleza e estética.</t>
    </r>
  </si>
  <si>
    <r>
      <t xml:space="preserve">PROJETO DE LEI N.º 204/2026 - PREFEITO DO MUNICÍPIO DE OSASCO - </t>
    </r>
    <r>
      <rPr>
        <sz val="14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</si>
  <si>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211/2026 - PREFEITO DO MUNICÍPIO DE OSASCO - </t>
    </r>
    <r>
      <rPr>
        <sz val="14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</si>
  <si>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212/2026 - PREFEITO DO MUNICÍPIO DE OSASCO - </t>
    </r>
    <r>
      <rPr>
        <sz val="14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</si>
  <si>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Nº 141/2026 – CANTOR GOLEIRO - </t>
    </r>
    <r>
      <rPr>
        <sz val="14"/>
        <color theme="1"/>
        <rFont val="Arial"/>
        <family val="2"/>
      </rPr>
      <t>Institui no Calendário Oficial de Eventos do Município, o dia do aniversário do Conjunto Habitacional Miguel Costa.</t>
    </r>
  </si>
  <si>
    <r>
      <t xml:space="preserve">APROVADO
</t>
    </r>
    <r>
      <rPr>
        <b/>
        <sz val="14"/>
        <color rgb="FF00B050"/>
        <rFont val="Arial"/>
        <family val="2"/>
      </rPr>
      <t>VOTAÇÃO SIMBÓLICA</t>
    </r>
  </si>
  <si>
    <r>
      <t xml:space="preserve">PROJETO DE LEI Nº 193/2026 – PREFEITO DO MUNICÍPIO DE OSASCO - </t>
    </r>
    <r>
      <rPr>
        <sz val="11"/>
        <color theme="1"/>
        <rFont val="Arial"/>
        <family val="2"/>
      </rPr>
      <t xml:space="preserve">Autoriza o Poder Executivo a doar áreas de propriedade municipal ao Fundo de Arrendamento Residencial - FAR, representado pela Caixa Econômica Federal, para fins de construção de moradias destinadas à alienação no âmbito do Programa Minha Casa Minha Vida – PMCMV. </t>
    </r>
  </si>
  <si>
    <t>EMENDA N. 01/2026 DA CCJ AO PROJETO DE LEI Nº 193/2026.</t>
  </si>
  <si>
    <r>
      <t xml:space="preserve">PROJETO DE LEI Nº 194/2026 – PREFEITO DO MUNICÍPIO DE OSASCO - </t>
    </r>
    <r>
      <rPr>
        <sz val="11"/>
        <color theme="1"/>
        <rFont val="Arial"/>
        <family val="2"/>
      </rPr>
      <t>Autoriza o Poder Executivo a doar área de propriedade municipal às entidades privadas sem fins lucrativos, habilitadas e credenciadas, nos termos do Decreto nº 14.872, de 23 de outubro de 2025, para desenvolvimento de projetos habitacionais no âmbito do Programa Minha Casa Minha Vida Entidades – PMCMV-E.</t>
    </r>
  </si>
  <si>
    <r>
      <t xml:space="preserve">PROJETO DE LEI Nº 46/2026 – LAÉRCIO MENDONÇA - </t>
    </r>
    <r>
      <rPr>
        <sz val="11"/>
        <color theme="1"/>
        <rFont val="Arial"/>
        <family val="2"/>
      </rPr>
      <t>Dispõe sobre a obrigatoriedade de concessão de isenção total ou parcial da taxa de inscrição em corridas de rua realizadas por entidades privadas, para pessoas de baixa renda.</t>
    </r>
  </si>
  <si>
    <r>
      <t xml:space="preserve">PROJETO DE LEI Nº 85/2026 – JOSIAS DA JUCO - </t>
    </r>
    <r>
      <rPr>
        <sz val="11"/>
        <color theme="1"/>
        <rFont val="Arial"/>
        <family val="2"/>
      </rPr>
      <t>Dispõe sobre a denominação da Arena Esportiva Antonio Soares dos Santos.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</si>
</sst>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K23" sqref="K2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1" t="s">
        <v>27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70"/>
      <c r="O1" s="70"/>
      <c r="P1" s="70"/>
      <c r="Q1" s="40">
        <v>1</v>
      </c>
      <c r="R1" s="36" t="s">
        <v>10</v>
      </c>
      <c r="T1" s="155"/>
      <c r="U1" s="155"/>
      <c r="V1" s="155"/>
      <c r="W1" s="155"/>
      <c r="X1" s="155"/>
      <c r="Y1" s="155"/>
      <c r="Z1" s="7" t="s">
        <v>16</v>
      </c>
    </row>
    <row r="2" spans="1:28" ht="19.5" customHeight="1">
      <c r="A2" s="83" t="s">
        <v>103</v>
      </c>
      <c r="B2" s="153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70"/>
      <c r="O2" s="70"/>
      <c r="P2" s="70"/>
      <c r="Q2" s="35">
        <v>2</v>
      </c>
      <c r="R2" s="36" t="s">
        <v>11</v>
      </c>
      <c r="T2" s="155"/>
      <c r="U2" s="155"/>
      <c r="V2" s="155"/>
      <c r="W2" s="155"/>
      <c r="X2" s="155"/>
      <c r="Y2" s="155"/>
      <c r="Z2" s="7" t="s">
        <v>17</v>
      </c>
    </row>
    <row r="3" spans="1:28" ht="19.5" customHeight="1" thickBot="1">
      <c r="A3" s="83" t="s">
        <v>104</v>
      </c>
      <c r="B3" s="153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70"/>
      <c r="O3" s="70"/>
      <c r="P3" s="70"/>
      <c r="Q3" s="41">
        <v>3</v>
      </c>
      <c r="R3" s="37" t="s">
        <v>12</v>
      </c>
      <c r="T3" s="155"/>
      <c r="U3" s="155"/>
      <c r="V3" s="155"/>
      <c r="W3" s="155"/>
      <c r="X3" s="155"/>
      <c r="Y3" s="155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5"/>
      <c r="U4" s="155"/>
      <c r="V4" s="155"/>
      <c r="W4" s="155"/>
      <c r="X4" s="155"/>
      <c r="Y4" s="155"/>
    </row>
    <row r="5" spans="1:28" ht="18" customHeight="1">
      <c r="A5" s="46" t="s">
        <v>94</v>
      </c>
      <c r="B5" s="88">
        <v>2</v>
      </c>
      <c r="C5" s="102" t="s">
        <v>48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5"/>
      <c r="U5" s="155"/>
      <c r="V5" s="155"/>
      <c r="W5" s="155"/>
      <c r="X5" s="155"/>
      <c r="Y5" s="155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2</v>
      </c>
      <c r="K6" s="102" t="s">
        <v>48</v>
      </c>
      <c r="L6" s="67"/>
      <c r="M6" s="65"/>
      <c r="N6" s="63"/>
      <c r="O6" s="102"/>
      <c r="P6" s="63"/>
      <c r="Q6" s="63"/>
      <c r="R6" s="102"/>
      <c r="S6" s="89"/>
      <c r="T6" s="155"/>
      <c r="U6" s="155"/>
      <c r="V6" s="155"/>
      <c r="W6" s="155"/>
      <c r="X6" s="155"/>
      <c r="Y6" s="155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5"/>
      <c r="U7" s="155"/>
      <c r="V7" s="155"/>
      <c r="W7" s="155"/>
      <c r="X7" s="155"/>
      <c r="Y7" s="155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5"/>
      <c r="U8" s="155"/>
      <c r="V8" s="155"/>
      <c r="W8" s="155"/>
      <c r="X8" s="155"/>
      <c r="Y8" s="155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5"/>
      <c r="U9" s="155"/>
      <c r="V9" s="155"/>
      <c r="W9" s="155"/>
      <c r="X9" s="155"/>
      <c r="Y9" s="155"/>
    </row>
    <row r="10" spans="1:28" ht="18" customHeight="1">
      <c r="A10" s="46" t="s">
        <v>51</v>
      </c>
      <c r="B10" s="88">
        <v>1</v>
      </c>
      <c r="C10" s="62" t="s">
        <v>47</v>
      </c>
      <c r="D10" s="63"/>
      <c r="E10" s="102"/>
      <c r="F10" s="88">
        <v>1</v>
      </c>
      <c r="G10" s="62" t="s">
        <v>47</v>
      </c>
      <c r="H10" s="63"/>
      <c r="I10" s="62"/>
      <c r="J10" s="63">
        <v>2</v>
      </c>
      <c r="K10" s="102" t="s">
        <v>48</v>
      </c>
      <c r="L10" s="67"/>
      <c r="M10" s="65"/>
      <c r="N10" s="63"/>
      <c r="O10" s="62"/>
      <c r="P10" s="63"/>
      <c r="Q10" s="63"/>
      <c r="R10" s="62"/>
      <c r="S10" s="89"/>
      <c r="T10" s="155"/>
      <c r="U10" s="155"/>
      <c r="V10" s="155"/>
      <c r="W10" s="155"/>
      <c r="X10" s="155"/>
      <c r="Y10" s="155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5"/>
      <c r="U11" s="155"/>
      <c r="V11" s="155"/>
      <c r="W11" s="155"/>
      <c r="X11" s="155"/>
      <c r="Y11" s="155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1</v>
      </c>
      <c r="K12" s="62" t="s">
        <v>47</v>
      </c>
      <c r="L12" s="67"/>
      <c r="M12" s="65"/>
      <c r="N12" s="63"/>
      <c r="O12" s="102"/>
      <c r="P12" s="63"/>
      <c r="Q12" s="63"/>
      <c r="R12" s="102"/>
      <c r="S12" s="91"/>
      <c r="T12" s="155"/>
      <c r="U12" s="155"/>
      <c r="V12" s="155"/>
      <c r="W12" s="155"/>
      <c r="X12" s="155"/>
      <c r="Y12" s="155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5"/>
      <c r="U13" s="155"/>
      <c r="V13" s="155"/>
      <c r="W13" s="155"/>
      <c r="X13" s="155"/>
      <c r="Y13" s="155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5"/>
      <c r="U14" s="155"/>
      <c r="V14" s="155"/>
      <c r="W14" s="155"/>
      <c r="X14" s="155"/>
      <c r="Y14" s="155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2</v>
      </c>
      <c r="G15" s="102" t="s">
        <v>48</v>
      </c>
      <c r="H15" s="63"/>
      <c r="I15" s="62"/>
      <c r="J15" s="63">
        <v>1</v>
      </c>
      <c r="K15" s="62" t="s">
        <v>47</v>
      </c>
      <c r="L15" s="67"/>
      <c r="M15" s="65"/>
      <c r="N15" s="63"/>
      <c r="O15" s="102"/>
      <c r="P15" s="63"/>
      <c r="Q15" s="63"/>
      <c r="R15" s="102"/>
      <c r="S15" s="91"/>
      <c r="T15" s="155"/>
      <c r="U15" s="155"/>
      <c r="V15" s="155"/>
      <c r="W15" s="155"/>
      <c r="X15" s="155"/>
      <c r="Y15" s="155"/>
    </row>
    <row r="16" spans="1:28" ht="18.75" customHeight="1">
      <c r="A16" s="46" t="s">
        <v>87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5"/>
      <c r="U16" s="155"/>
      <c r="V16" s="155"/>
      <c r="W16" s="155"/>
      <c r="X16" s="155"/>
      <c r="Y16" s="155"/>
    </row>
    <row r="17" spans="1:28" ht="18.75" customHeight="1">
      <c r="A17" s="46" t="s">
        <v>24</v>
      </c>
      <c r="B17" s="88">
        <v>2</v>
      </c>
      <c r="C17" s="102" t="s">
        <v>48</v>
      </c>
      <c r="D17" s="63"/>
      <c r="E17" s="102"/>
      <c r="F17" s="88">
        <v>2</v>
      </c>
      <c r="G17" s="102" t="s">
        <v>48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5"/>
      <c r="U17" s="155"/>
      <c r="V17" s="155"/>
      <c r="W17" s="155"/>
      <c r="X17" s="155"/>
      <c r="Y17" s="155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2</v>
      </c>
      <c r="G18" s="102" t="s">
        <v>48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5"/>
      <c r="U18" s="155"/>
      <c r="V18" s="155"/>
      <c r="W18" s="155"/>
      <c r="X18" s="155"/>
      <c r="Y18" s="155"/>
    </row>
    <row r="19" spans="1:28" ht="18" customHeight="1">
      <c r="A19" s="46" t="s">
        <v>88</v>
      </c>
      <c r="B19" s="88">
        <v>2</v>
      </c>
      <c r="C19" s="102" t="s">
        <v>48</v>
      </c>
      <c r="D19" s="63"/>
      <c r="E19" s="62"/>
      <c r="F19" s="88">
        <v>2</v>
      </c>
      <c r="G19" s="102" t="s">
        <v>48</v>
      </c>
      <c r="H19" s="63"/>
      <c r="I19" s="62"/>
      <c r="J19" s="63">
        <v>2</v>
      </c>
      <c r="K19" s="102" t="s">
        <v>48</v>
      </c>
      <c r="L19" s="67"/>
      <c r="M19" s="65"/>
      <c r="N19" s="63"/>
      <c r="O19" s="102"/>
      <c r="P19" s="63"/>
      <c r="Q19" s="63"/>
      <c r="R19" s="102"/>
      <c r="S19" s="91"/>
      <c r="T19" s="155"/>
      <c r="U19" s="155"/>
      <c r="V19" s="155"/>
      <c r="W19" s="155"/>
      <c r="X19" s="155"/>
      <c r="Y19" s="155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2</v>
      </c>
      <c r="K20" s="102" t="s">
        <v>48</v>
      </c>
      <c r="L20" s="67"/>
      <c r="M20" s="65"/>
      <c r="N20" s="63"/>
      <c r="O20" s="102"/>
      <c r="P20" s="63"/>
      <c r="Q20" s="63"/>
      <c r="R20" s="102"/>
      <c r="S20" s="91"/>
      <c r="T20" s="155"/>
      <c r="U20" s="155"/>
      <c r="V20" s="155"/>
      <c r="W20" s="155"/>
      <c r="X20" s="155"/>
      <c r="Y20" s="155"/>
    </row>
    <row r="21" spans="1:28" ht="18" customHeight="1">
      <c r="A21" s="46" t="s">
        <v>93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5"/>
      <c r="U21" s="155"/>
      <c r="V21" s="155"/>
      <c r="W21" s="155"/>
      <c r="X21" s="155"/>
      <c r="Y21" s="155"/>
    </row>
    <row r="22" spans="1:28" ht="18.75" customHeight="1">
      <c r="A22" s="46" t="s">
        <v>95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5"/>
      <c r="U22" s="155"/>
      <c r="V22" s="155"/>
      <c r="W22" s="155"/>
      <c r="X22" s="155"/>
      <c r="Y22" s="155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2</v>
      </c>
      <c r="K23" s="102" t="s">
        <v>48</v>
      </c>
      <c r="L23" s="67"/>
      <c r="M23" s="65"/>
      <c r="N23" s="63"/>
      <c r="O23" s="102"/>
      <c r="P23" s="63"/>
      <c r="Q23" s="63"/>
      <c r="R23" s="102"/>
      <c r="S23" s="91"/>
      <c r="T23" s="155"/>
      <c r="U23" s="155"/>
      <c r="V23" s="155"/>
      <c r="W23" s="155"/>
      <c r="X23" s="155"/>
      <c r="Y23" s="155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1</v>
      </c>
      <c r="G24" s="62" t="s">
        <v>47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5"/>
      <c r="U24" s="155"/>
      <c r="V24" s="155"/>
      <c r="W24" s="155"/>
      <c r="X24" s="155"/>
      <c r="Y24" s="155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5"/>
      <c r="U25" s="155"/>
      <c r="V25" s="155"/>
      <c r="W25" s="155"/>
      <c r="X25" s="155"/>
      <c r="Y25" s="155"/>
    </row>
    <row r="26" spans="1:28" ht="16.5" thickBot="1">
      <c r="A26" s="38" t="s">
        <v>13</v>
      </c>
      <c r="B26" s="98">
        <v>11</v>
      </c>
      <c r="C26" s="96" t="s">
        <v>43</v>
      </c>
      <c r="D26" s="98"/>
      <c r="E26" s="96" t="s">
        <v>43</v>
      </c>
      <c r="F26" s="98">
        <v>13</v>
      </c>
      <c r="G26" s="96" t="s">
        <v>43</v>
      </c>
      <c r="H26" s="100"/>
      <c r="I26" s="101"/>
      <c r="J26" s="98">
        <v>16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44</v>
      </c>
      <c r="D27" s="98"/>
      <c r="E27" s="96" t="s">
        <v>44</v>
      </c>
      <c r="F27" s="98">
        <v>8</v>
      </c>
      <c r="G27" s="96" t="s">
        <v>44</v>
      </c>
      <c r="H27" s="100"/>
      <c r="I27" s="96"/>
      <c r="J27" s="98">
        <v>5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94</v>
      </c>
      <c r="V32" s="12"/>
      <c r="W32" s="12"/>
    </row>
    <row r="33" spans="1:23" ht="18">
      <c r="A33" s="34" t="s">
        <v>82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88</v>
      </c>
      <c r="V44" s="12"/>
      <c r="W44" s="12"/>
    </row>
    <row r="45" spans="1:23" ht="18">
      <c r="A45" s="34" t="s">
        <v>55</v>
      </c>
      <c r="V45" s="12"/>
      <c r="W45" s="12"/>
    </row>
    <row r="46" spans="1:23" ht="18">
      <c r="A46" s="34" t="s">
        <v>24</v>
      </c>
      <c r="V46" s="12"/>
      <c r="W46" s="12"/>
    </row>
    <row r="47" spans="1:23" ht="18">
      <c r="A47" s="34" t="s">
        <v>61</v>
      </c>
      <c r="V47" s="12"/>
      <c r="W47" s="12"/>
    </row>
    <row r="48" spans="1:23" ht="18">
      <c r="A48" s="34" t="s">
        <v>83</v>
      </c>
      <c r="B48" s="7"/>
      <c r="V48" s="12"/>
      <c r="W48" s="32"/>
    </row>
    <row r="49" spans="1:23" ht="18">
      <c r="A49" s="34" t="s">
        <v>54</v>
      </c>
      <c r="W49" s="12"/>
    </row>
    <row r="50" spans="1:23" ht="18">
      <c r="A50" s="34" t="s">
        <v>23</v>
      </c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60</v>
      </c>
    </row>
    <row r="56" spans="1:23" ht="18">
      <c r="A56" s="34" t="s">
        <v>88</v>
      </c>
    </row>
    <row r="57" spans="1:23" ht="18">
      <c r="A57" s="34" t="s">
        <v>83</v>
      </c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Q39"/>
  <sheetViews>
    <sheetView workbookViewId="0">
      <pane xSplit="1" topLeftCell="B1" activePane="topRight" state="frozen"/>
      <selection pane="topRight" activeCell="B4" sqref="B4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17" width="22.7109375" style="22" customWidth="1"/>
    <col min="18" max="16384" width="9.140625" style="22"/>
  </cols>
  <sheetData>
    <row r="1" spans="1:17" ht="15">
      <c r="A1" s="76" t="s">
        <v>8</v>
      </c>
      <c r="B1" s="21"/>
      <c r="C1" s="21"/>
      <c r="D1" s="21"/>
      <c r="E1" s="21"/>
      <c r="F1" s="21"/>
      <c r="G1" s="21"/>
      <c r="H1" s="21"/>
      <c r="I1" s="21"/>
    </row>
    <row r="2" spans="1:17" ht="15">
      <c r="A2" s="76" t="s">
        <v>103</v>
      </c>
      <c r="B2" s="21"/>
      <c r="C2" s="21"/>
      <c r="D2" s="21"/>
      <c r="E2" s="21"/>
      <c r="F2" s="21"/>
      <c r="G2" s="21"/>
      <c r="H2" s="21"/>
      <c r="I2" s="21"/>
    </row>
    <row r="3" spans="1:17" ht="17.25" customHeight="1">
      <c r="A3" s="76" t="s">
        <v>104</v>
      </c>
      <c r="B3" s="21"/>
      <c r="C3" s="21"/>
      <c r="D3" s="21"/>
      <c r="E3" s="21"/>
      <c r="F3" s="21"/>
      <c r="G3" s="21"/>
      <c r="H3" s="21"/>
      <c r="I3" s="21"/>
    </row>
    <row r="4" spans="1:17" ht="63" customHeight="1">
      <c r="A4" s="51" t="str">
        <f>'[1]MOÇÃO E REQUERIMENTO'!B7</f>
        <v>EXPEDIENTE</v>
      </c>
      <c r="B4" s="50" t="s">
        <v>42</v>
      </c>
      <c r="C4" s="117" t="s">
        <v>105</v>
      </c>
      <c r="D4" s="117" t="s">
        <v>106</v>
      </c>
      <c r="E4" s="117" t="s">
        <v>107</v>
      </c>
      <c r="F4" s="117" t="s">
        <v>108</v>
      </c>
      <c r="G4" s="117" t="s">
        <v>109</v>
      </c>
      <c r="H4" s="112" t="s">
        <v>32</v>
      </c>
      <c r="I4" s="123"/>
      <c r="J4" s="50" t="s">
        <v>25</v>
      </c>
      <c r="K4" s="84" t="s">
        <v>110</v>
      </c>
      <c r="L4" s="84" t="s">
        <v>102</v>
      </c>
      <c r="M4" s="84" t="s">
        <v>111</v>
      </c>
      <c r="N4" s="84" t="s">
        <v>112</v>
      </c>
      <c r="O4" s="84" t="s">
        <v>113</v>
      </c>
      <c r="P4" s="84" t="s">
        <v>114</v>
      </c>
      <c r="Q4" s="84" t="s">
        <v>115</v>
      </c>
    </row>
    <row r="5" spans="1:17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113"/>
      <c r="K5" s="113" t="s">
        <v>84</v>
      </c>
      <c r="L5" s="113" t="s">
        <v>84</v>
      </c>
      <c r="M5" s="149" t="s">
        <v>96</v>
      </c>
      <c r="N5" s="149" t="s">
        <v>96</v>
      </c>
      <c r="O5" s="113" t="s">
        <v>84</v>
      </c>
      <c r="P5" s="149" t="s">
        <v>96</v>
      </c>
      <c r="Q5" s="113" t="s">
        <v>84</v>
      </c>
    </row>
    <row r="6" spans="1:17" ht="15.75">
      <c r="A6" s="126" t="s">
        <v>94</v>
      </c>
      <c r="J6" s="23"/>
    </row>
    <row r="7" spans="1:17" ht="15.75">
      <c r="A7" s="126" t="s">
        <v>60</v>
      </c>
      <c r="J7" s="23"/>
    </row>
    <row r="8" spans="1:17" ht="15.75">
      <c r="A8" s="126" t="s">
        <v>49</v>
      </c>
      <c r="J8" s="23"/>
    </row>
    <row r="9" spans="1:17" ht="15.75">
      <c r="A9" s="127" t="s">
        <v>50</v>
      </c>
      <c r="J9" s="23"/>
    </row>
    <row r="10" spans="1:17" ht="15.75">
      <c r="A10" s="126" t="s">
        <v>26</v>
      </c>
      <c r="J10" s="23"/>
    </row>
    <row r="11" spans="1:17" ht="15.75">
      <c r="A11" s="126" t="s">
        <v>51</v>
      </c>
      <c r="J11" s="23"/>
    </row>
    <row r="12" spans="1:17" ht="15.75">
      <c r="A12" s="126" t="s">
        <v>22</v>
      </c>
      <c r="J12" s="23"/>
    </row>
    <row r="13" spans="1:17" ht="15.75">
      <c r="A13" s="126" t="s">
        <v>23</v>
      </c>
      <c r="J13" s="23"/>
    </row>
    <row r="14" spans="1:17" ht="15.75">
      <c r="A14" s="126" t="s">
        <v>52</v>
      </c>
      <c r="J14" s="23"/>
    </row>
    <row r="15" spans="1:17" ht="15.75">
      <c r="A15" s="126" t="s">
        <v>53</v>
      </c>
      <c r="J15" s="23"/>
    </row>
    <row r="16" spans="1:17" ht="15.75">
      <c r="A16" s="126" t="s">
        <v>54</v>
      </c>
      <c r="J16" s="23"/>
    </row>
    <row r="17" spans="1:10" ht="15.75">
      <c r="A17" s="126" t="s">
        <v>87</v>
      </c>
      <c r="J17" s="23"/>
    </row>
    <row r="18" spans="1:10" ht="15.75">
      <c r="A18" s="126" t="s">
        <v>24</v>
      </c>
      <c r="J18" s="23"/>
    </row>
    <row r="19" spans="1:10" ht="15.75">
      <c r="A19" s="126" t="s">
        <v>55</v>
      </c>
      <c r="J19" s="23"/>
    </row>
    <row r="20" spans="1:10" ht="15.75">
      <c r="A20" s="126" t="s">
        <v>88</v>
      </c>
      <c r="J20" s="23"/>
    </row>
    <row r="21" spans="1:10" ht="15.75">
      <c r="A21" s="126" t="s">
        <v>83</v>
      </c>
      <c r="J21" s="23"/>
    </row>
    <row r="22" spans="1:10" ht="15.75">
      <c r="A22" s="126" t="s">
        <v>93</v>
      </c>
      <c r="J22" s="23"/>
    </row>
    <row r="23" spans="1:10" ht="15.75">
      <c r="A23" s="126" t="s">
        <v>95</v>
      </c>
      <c r="J23" s="23"/>
    </row>
    <row r="24" spans="1:10" ht="15.75">
      <c r="A24" s="126" t="s">
        <v>61</v>
      </c>
      <c r="J24" s="23"/>
    </row>
    <row r="25" spans="1:10" ht="15.75">
      <c r="A25" s="126" t="s">
        <v>82</v>
      </c>
      <c r="J25" s="23"/>
    </row>
    <row r="26" spans="1:10" ht="15.75">
      <c r="A26" s="126" t="s">
        <v>56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C37"/>
  <sheetViews>
    <sheetView zoomScale="80" zoomScaleNormal="80" workbookViewId="0">
      <pane xSplit="1" topLeftCell="B1" activePane="topRight" state="frozen"/>
      <selection activeCell="A4" sqref="A4"/>
      <selection pane="topRight" activeCell="I10" sqref="I10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8" width="36.7109375" customWidth="1"/>
  </cols>
  <sheetData>
    <row r="1" spans="1:48" ht="18" customHeight="1">
      <c r="A1" s="76" t="s">
        <v>8</v>
      </c>
      <c r="B1" s="49"/>
      <c r="C1" s="74"/>
    </row>
    <row r="2" spans="1:48" ht="18" customHeight="1">
      <c r="A2" s="76" t="s">
        <v>103</v>
      </c>
      <c r="B2" s="49"/>
      <c r="C2" s="74"/>
    </row>
    <row r="3" spans="1:48" ht="17.25" customHeight="1">
      <c r="A3" s="76" t="s">
        <v>104</v>
      </c>
      <c r="B3" s="49"/>
      <c r="C3" s="74"/>
      <c r="E3" s="116"/>
      <c r="F3" s="116"/>
      <c r="G3" s="116"/>
      <c r="H3" s="116"/>
    </row>
    <row r="4" spans="1:48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116</v>
      </c>
      <c r="F4" s="139" t="s">
        <v>117</v>
      </c>
      <c r="G4" s="139" t="s">
        <v>118</v>
      </c>
      <c r="H4" s="139" t="s">
        <v>119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3"/>
      <c r="AV4" s="3"/>
    </row>
    <row r="5" spans="1:48" s="81" customFormat="1" ht="48" customHeight="1">
      <c r="A5" s="99" t="s">
        <v>35</v>
      </c>
      <c r="B5" s="78"/>
      <c r="C5" s="144"/>
      <c r="D5" s="79"/>
      <c r="E5" s="150" t="s">
        <v>98</v>
      </c>
      <c r="F5" s="150" t="s">
        <v>98</v>
      </c>
      <c r="G5" s="150" t="s">
        <v>98</v>
      </c>
      <c r="H5" s="150" t="s">
        <v>120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</row>
    <row r="6" spans="1:48" ht="20.25">
      <c r="A6" s="46" t="s">
        <v>94</v>
      </c>
      <c r="C6" s="107"/>
      <c r="E6" s="107" t="s">
        <v>99</v>
      </c>
      <c r="F6" s="107" t="s">
        <v>99</v>
      </c>
      <c r="G6" s="107" t="s">
        <v>99</v>
      </c>
      <c r="H6" s="107"/>
      <c r="I6" s="142"/>
    </row>
    <row r="7" spans="1:48" ht="20.25">
      <c r="A7" s="46" t="s">
        <v>60</v>
      </c>
      <c r="C7" s="107"/>
      <c r="E7" s="107" t="s">
        <v>99</v>
      </c>
      <c r="F7" s="107" t="s">
        <v>99</v>
      </c>
      <c r="G7" s="107" t="s">
        <v>99</v>
      </c>
      <c r="H7" s="107"/>
    </row>
    <row r="8" spans="1:48" ht="20.25">
      <c r="A8" s="46" t="s">
        <v>49</v>
      </c>
      <c r="C8" s="107"/>
      <c r="E8" s="107" t="s">
        <v>99</v>
      </c>
      <c r="F8" s="107" t="s">
        <v>99</v>
      </c>
      <c r="G8" s="107" t="s">
        <v>99</v>
      </c>
      <c r="H8" s="107"/>
    </row>
    <row r="9" spans="1:48" ht="20.25">
      <c r="A9" s="82" t="s">
        <v>50</v>
      </c>
      <c r="C9" s="114"/>
      <c r="E9" s="114" t="s">
        <v>100</v>
      </c>
      <c r="F9" s="114" t="s">
        <v>100</v>
      </c>
      <c r="G9" s="114" t="s">
        <v>100</v>
      </c>
      <c r="H9" s="114"/>
    </row>
    <row r="10" spans="1:48" ht="20.25">
      <c r="A10" s="46" t="s">
        <v>26</v>
      </c>
      <c r="C10" s="107"/>
      <c r="E10" s="107" t="s">
        <v>99</v>
      </c>
      <c r="F10" s="107" t="s">
        <v>99</v>
      </c>
      <c r="G10" s="107" t="s">
        <v>99</v>
      </c>
      <c r="H10" s="107"/>
    </row>
    <row r="11" spans="1:48" ht="20.25">
      <c r="A11" s="46" t="s">
        <v>51</v>
      </c>
      <c r="C11" s="107"/>
      <c r="E11" s="114" t="s">
        <v>48</v>
      </c>
      <c r="F11" s="114" t="s">
        <v>48</v>
      </c>
      <c r="G11" s="114" t="s">
        <v>48</v>
      </c>
      <c r="H11" s="107"/>
    </row>
    <row r="12" spans="1:48" ht="20.25">
      <c r="A12" s="46" t="s">
        <v>22</v>
      </c>
      <c r="C12" s="114"/>
      <c r="E12" s="107" t="s">
        <v>99</v>
      </c>
      <c r="F12" s="107" t="s">
        <v>99</v>
      </c>
      <c r="G12" s="107" t="s">
        <v>99</v>
      </c>
      <c r="H12" s="107"/>
    </row>
    <row r="13" spans="1:48" ht="20.25">
      <c r="A13" s="46" t="s">
        <v>23</v>
      </c>
      <c r="C13" s="107"/>
      <c r="E13" s="114" t="s">
        <v>48</v>
      </c>
      <c r="F13" s="114" t="s">
        <v>48</v>
      </c>
      <c r="G13" s="114" t="s">
        <v>48</v>
      </c>
      <c r="H13" s="114"/>
    </row>
    <row r="14" spans="1:48" ht="20.25">
      <c r="A14" s="46" t="s">
        <v>52</v>
      </c>
      <c r="C14" s="107"/>
      <c r="E14" s="107" t="s">
        <v>99</v>
      </c>
      <c r="F14" s="107" t="s">
        <v>99</v>
      </c>
      <c r="G14" s="107" t="s">
        <v>99</v>
      </c>
      <c r="H14" s="107"/>
    </row>
    <row r="15" spans="1:48" ht="20.25">
      <c r="A15" s="46" t="s">
        <v>53</v>
      </c>
      <c r="C15" s="107"/>
      <c r="E15" s="107" t="s">
        <v>99</v>
      </c>
      <c r="F15" s="107" t="s">
        <v>99</v>
      </c>
      <c r="G15" s="107" t="s">
        <v>99</v>
      </c>
      <c r="H15" s="107"/>
    </row>
    <row r="16" spans="1:48" ht="20.25">
      <c r="A16" s="46" t="s">
        <v>54</v>
      </c>
      <c r="C16" s="143"/>
      <c r="E16" s="107" t="s">
        <v>99</v>
      </c>
      <c r="F16" s="107" t="s">
        <v>99</v>
      </c>
      <c r="G16" s="107" t="s">
        <v>99</v>
      </c>
      <c r="H16" s="107"/>
    </row>
    <row r="17" spans="1:133" ht="20.25">
      <c r="A17" s="46" t="s">
        <v>87</v>
      </c>
      <c r="C17" s="114"/>
      <c r="E17" s="107" t="s">
        <v>99</v>
      </c>
      <c r="F17" s="107" t="s">
        <v>99</v>
      </c>
      <c r="G17" s="107" t="s">
        <v>99</v>
      </c>
      <c r="H17" s="107"/>
    </row>
    <row r="18" spans="1:133" ht="20.25">
      <c r="A18" s="46" t="s">
        <v>24</v>
      </c>
      <c r="C18" s="107"/>
      <c r="E18" s="107" t="s">
        <v>99</v>
      </c>
      <c r="F18" s="107" t="s">
        <v>99</v>
      </c>
      <c r="G18" s="107" t="s">
        <v>99</v>
      </c>
      <c r="H18" s="107"/>
    </row>
    <row r="19" spans="1:133" ht="20.25">
      <c r="A19" s="46" t="s">
        <v>55</v>
      </c>
      <c r="C19" s="107"/>
      <c r="E19" s="107" t="s">
        <v>99</v>
      </c>
      <c r="F19" s="107" t="s">
        <v>99</v>
      </c>
      <c r="G19" s="107" t="s">
        <v>99</v>
      </c>
      <c r="H19" s="107"/>
    </row>
    <row r="20" spans="1:133" ht="20.25">
      <c r="A20" s="46" t="s">
        <v>88</v>
      </c>
      <c r="C20" s="114"/>
      <c r="E20" s="107" t="s">
        <v>99</v>
      </c>
      <c r="F20" s="107" t="s">
        <v>99</v>
      </c>
      <c r="G20" s="107" t="s">
        <v>99</v>
      </c>
      <c r="H20" s="107"/>
    </row>
    <row r="21" spans="1:133" ht="20.25">
      <c r="A21" s="46" t="s">
        <v>83</v>
      </c>
      <c r="C21" s="114"/>
      <c r="E21" s="107" t="s">
        <v>99</v>
      </c>
      <c r="F21" s="107" t="s">
        <v>99</v>
      </c>
      <c r="G21" s="107" t="s">
        <v>99</v>
      </c>
      <c r="H21" s="114"/>
    </row>
    <row r="22" spans="1:133" ht="20.25">
      <c r="A22" s="46" t="s">
        <v>93</v>
      </c>
      <c r="C22" s="107"/>
      <c r="E22" s="107" t="s">
        <v>99</v>
      </c>
      <c r="F22" s="107" t="s">
        <v>99</v>
      </c>
      <c r="G22" s="107" t="s">
        <v>99</v>
      </c>
      <c r="H22" s="114"/>
    </row>
    <row r="23" spans="1:133" ht="20.25">
      <c r="A23" s="46" t="s">
        <v>95</v>
      </c>
      <c r="C23" s="114"/>
      <c r="E23" s="107" t="s">
        <v>99</v>
      </c>
      <c r="F23" s="107" t="s">
        <v>99</v>
      </c>
      <c r="G23" s="107" t="s">
        <v>99</v>
      </c>
      <c r="H23" s="107"/>
    </row>
    <row r="24" spans="1:133" ht="20.25">
      <c r="A24" s="46" t="s">
        <v>61</v>
      </c>
      <c r="C24" s="107"/>
      <c r="E24" s="114" t="s">
        <v>48</v>
      </c>
      <c r="F24" s="114" t="s">
        <v>48</v>
      </c>
      <c r="G24" s="114" t="s">
        <v>48</v>
      </c>
      <c r="H24" s="107"/>
    </row>
    <row r="25" spans="1:133" ht="20.25">
      <c r="A25" s="46" t="s">
        <v>82</v>
      </c>
      <c r="C25" s="107"/>
      <c r="E25" s="107" t="s">
        <v>99</v>
      </c>
      <c r="F25" s="107" t="s">
        <v>99</v>
      </c>
      <c r="G25" s="107" t="s">
        <v>99</v>
      </c>
      <c r="H25" s="107"/>
    </row>
    <row r="26" spans="1:133" ht="20.25">
      <c r="A26" s="46" t="s">
        <v>56</v>
      </c>
      <c r="C26" s="107"/>
      <c r="E26" s="107" t="s">
        <v>99</v>
      </c>
      <c r="F26" s="107" t="s">
        <v>99</v>
      </c>
      <c r="G26" s="107" t="s">
        <v>99</v>
      </c>
      <c r="H26" s="107"/>
    </row>
    <row r="27" spans="1:133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F27" si="0">COUNTIF(E6:E26,"sim")</f>
        <v>17</v>
      </c>
      <c r="F27" s="103">
        <f t="shared" si="0"/>
        <v>17</v>
      </c>
      <c r="G27" s="103">
        <f t="shared" ref="G27:H27" si="1">COUNTIF(G6:G26,"sim")</f>
        <v>17</v>
      </c>
      <c r="H27" s="103">
        <f t="shared" si="1"/>
        <v>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F28" si="2">COUNTIF(E6:E26,"não")</f>
        <v>0</v>
      </c>
      <c r="F28" s="104">
        <f t="shared" si="2"/>
        <v>0</v>
      </c>
      <c r="G28" s="104">
        <f t="shared" ref="G28:H28" si="3">COUNTIF(G6:G26,"não")</f>
        <v>0</v>
      </c>
      <c r="H28" s="104">
        <f t="shared" si="3"/>
        <v>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ht="15.75">
      <c r="A29" s="14" t="s">
        <v>11</v>
      </c>
      <c r="C29" s="40">
        <f>COUNTIF(C6:C26,"ausente")</f>
        <v>0</v>
      </c>
      <c r="E29" s="40">
        <f t="shared" ref="E29:F29" si="4">COUNTIF(E6:E26,"ausente")</f>
        <v>3</v>
      </c>
      <c r="F29" s="40">
        <f t="shared" si="4"/>
        <v>3</v>
      </c>
      <c r="G29" s="40">
        <f t="shared" ref="G29:H29" si="5">COUNTIF(G6:G26,"ausente")</f>
        <v>3</v>
      </c>
      <c r="H29" s="40">
        <f t="shared" si="5"/>
        <v>0</v>
      </c>
    </row>
    <row r="30" spans="1:133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F30" si="6">COUNTIF(E6:E26,"abstenção")</f>
        <v>0</v>
      </c>
      <c r="F30" s="105">
        <f t="shared" si="6"/>
        <v>0</v>
      </c>
      <c r="G30" s="105">
        <f t="shared" ref="G30:H30" si="7">COUNTIF(G6:G26,"abstenção")</f>
        <v>0</v>
      </c>
      <c r="H30" s="105">
        <f t="shared" si="7"/>
        <v>0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20" customFormat="1" ht="15.75">
      <c r="A31" s="19"/>
      <c r="B31"/>
      <c r="C31" s="105"/>
      <c r="D31"/>
      <c r="E31" s="105"/>
      <c r="F31" s="105"/>
      <c r="G31" s="105"/>
      <c r="H31" s="10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V37"/>
  <sheetViews>
    <sheetView zoomScale="90" zoomScaleNormal="90" workbookViewId="0">
      <pane xSplit="1" topLeftCell="B1" activePane="topRight" state="frozen"/>
      <selection pane="topRight" activeCell="F26" sqref="F26"/>
    </sheetView>
  </sheetViews>
  <sheetFormatPr defaultRowHeight="15"/>
  <cols>
    <col min="1" max="1" width="46.85546875" customWidth="1"/>
    <col min="2" max="6" width="30.42578125" customWidth="1"/>
    <col min="7" max="7" width="17.42578125" customWidth="1"/>
    <col min="8" max="8" width="16.85546875" customWidth="1"/>
    <col min="9" max="9" width="29.85546875" customWidth="1"/>
    <col min="10" max="10" width="29.28515625" customWidth="1"/>
    <col min="11" max="11" width="25.7109375" customWidth="1"/>
    <col min="12" max="12" width="28" customWidth="1"/>
    <col min="13" max="13" width="28.140625" customWidth="1"/>
    <col min="14" max="14" width="30.5703125" customWidth="1"/>
    <col min="15" max="15" width="26.7109375" customWidth="1"/>
    <col min="16" max="17" width="29.28515625" customWidth="1"/>
    <col min="18" max="18" width="29.42578125" customWidth="1"/>
    <col min="19" max="20" width="28.7109375" customWidth="1"/>
    <col min="21" max="21" width="28.140625" customWidth="1"/>
    <col min="22" max="22" width="25.7109375" customWidth="1"/>
    <col min="23" max="23" width="21.28515625" customWidth="1"/>
    <col min="24" max="24" width="19.5703125" customWidth="1"/>
    <col min="25" max="25" width="18.28515625" customWidth="1"/>
    <col min="26" max="26" width="17.28515625" customWidth="1"/>
    <col min="27" max="27" width="18.140625" customWidth="1"/>
    <col min="28" max="28" width="22" customWidth="1"/>
    <col min="29" max="29" width="16.140625" customWidth="1"/>
    <col min="30" max="30" width="18" customWidth="1"/>
    <col min="32" max="32" width="18.28515625" customWidth="1"/>
  </cols>
  <sheetData>
    <row r="1" spans="1:32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2">
      <c r="A2" s="76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32" ht="18" customHeight="1" thickBot="1">
      <c r="A3" s="76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32" ht="90.6" customHeight="1" thickBot="1">
      <c r="A4" s="119" t="s">
        <v>5</v>
      </c>
      <c r="B4" s="118" t="s">
        <v>7</v>
      </c>
      <c r="C4" s="138" t="s">
        <v>121</v>
      </c>
      <c r="D4" s="138" t="s">
        <v>122</v>
      </c>
      <c r="E4" s="138" t="s">
        <v>123</v>
      </c>
      <c r="F4" s="138" t="s">
        <v>124</v>
      </c>
      <c r="G4" s="60"/>
      <c r="H4" s="60"/>
      <c r="I4" s="60"/>
      <c r="J4" s="9"/>
      <c r="K4" s="9"/>
      <c r="L4" s="9"/>
      <c r="M4" s="9"/>
      <c r="N4" s="9"/>
      <c r="O4" s="9"/>
      <c r="P4" s="13"/>
      <c r="Q4" s="9"/>
      <c r="R4" s="9"/>
      <c r="S4" s="9"/>
      <c r="T4" s="9"/>
      <c r="U4" s="9"/>
      <c r="V4" s="9"/>
      <c r="W4" s="13"/>
      <c r="X4" s="13"/>
      <c r="Y4" s="13"/>
      <c r="Z4" s="13"/>
      <c r="AA4" s="13"/>
      <c r="AB4" s="9"/>
      <c r="AC4" s="9"/>
      <c r="AD4" s="9"/>
      <c r="AF4" s="8"/>
    </row>
    <row r="5" spans="1:32" s="77" customFormat="1" ht="51.75" customHeight="1">
      <c r="B5" s="75"/>
      <c r="C5" s="150" t="s">
        <v>98</v>
      </c>
      <c r="D5" s="150" t="s">
        <v>84</v>
      </c>
      <c r="E5" s="150" t="s">
        <v>98</v>
      </c>
      <c r="F5" s="150" t="s">
        <v>98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AC5" s="75"/>
      <c r="AD5" s="75"/>
    </row>
    <row r="6" spans="1:32" ht="18">
      <c r="A6" s="128" t="s">
        <v>94</v>
      </c>
      <c r="C6" s="107" t="s">
        <v>99</v>
      </c>
      <c r="D6" s="107" t="s">
        <v>99</v>
      </c>
      <c r="E6" s="107" t="s">
        <v>99</v>
      </c>
      <c r="F6" s="107" t="s">
        <v>99</v>
      </c>
      <c r="X6" s="7"/>
      <c r="Y6" s="7"/>
    </row>
    <row r="7" spans="1:32" ht="18">
      <c r="A7" s="128" t="s">
        <v>60</v>
      </c>
      <c r="C7" s="107" t="s">
        <v>99</v>
      </c>
      <c r="D7" s="107" t="s">
        <v>99</v>
      </c>
      <c r="E7" s="107" t="s">
        <v>99</v>
      </c>
      <c r="F7" s="107" t="s">
        <v>99</v>
      </c>
      <c r="X7" s="7"/>
      <c r="Y7" s="7"/>
    </row>
    <row r="8" spans="1:32" ht="18">
      <c r="A8" s="128" t="s">
        <v>49</v>
      </c>
      <c r="C8" s="107" t="s">
        <v>99</v>
      </c>
      <c r="D8" s="107" t="s">
        <v>99</v>
      </c>
      <c r="E8" s="107" t="s">
        <v>99</v>
      </c>
      <c r="F8" s="107" t="s">
        <v>99</v>
      </c>
      <c r="X8" s="7"/>
      <c r="Y8" s="7"/>
    </row>
    <row r="9" spans="1:32" ht="18">
      <c r="A9" s="129" t="s">
        <v>50</v>
      </c>
      <c r="C9" s="107" t="s">
        <v>99</v>
      </c>
      <c r="D9" s="107" t="s">
        <v>99</v>
      </c>
      <c r="E9" s="107" t="s">
        <v>99</v>
      </c>
      <c r="F9" s="114" t="s">
        <v>100</v>
      </c>
      <c r="X9" s="7"/>
      <c r="Y9" s="7"/>
    </row>
    <row r="10" spans="1:32" ht="18">
      <c r="A10" s="128" t="s">
        <v>26</v>
      </c>
      <c r="C10" s="107" t="s">
        <v>99</v>
      </c>
      <c r="D10" s="107" t="s">
        <v>99</v>
      </c>
      <c r="E10" s="107" t="s">
        <v>99</v>
      </c>
      <c r="F10" s="107" t="s">
        <v>99</v>
      </c>
      <c r="X10" s="7"/>
      <c r="Y10" s="7"/>
    </row>
    <row r="11" spans="1:32" ht="18">
      <c r="A11" s="128" t="s">
        <v>51</v>
      </c>
      <c r="C11" s="114" t="s">
        <v>48</v>
      </c>
      <c r="D11" s="114" t="s">
        <v>48</v>
      </c>
      <c r="E11" s="114" t="s">
        <v>48</v>
      </c>
      <c r="F11" s="114" t="s">
        <v>48</v>
      </c>
      <c r="X11" s="7"/>
      <c r="Y11" s="7"/>
    </row>
    <row r="12" spans="1:32" ht="18">
      <c r="A12" s="128" t="s">
        <v>22</v>
      </c>
      <c r="C12" s="107" t="s">
        <v>99</v>
      </c>
      <c r="D12" s="107" t="s">
        <v>99</v>
      </c>
      <c r="E12" s="107" t="s">
        <v>99</v>
      </c>
      <c r="F12" s="107" t="s">
        <v>99</v>
      </c>
      <c r="X12" s="7"/>
      <c r="Y12" s="7"/>
    </row>
    <row r="13" spans="1:32" ht="18">
      <c r="A13" s="128" t="s">
        <v>23</v>
      </c>
      <c r="C13" s="114" t="s">
        <v>48</v>
      </c>
      <c r="D13" s="114" t="s">
        <v>48</v>
      </c>
      <c r="E13" s="114" t="s">
        <v>48</v>
      </c>
      <c r="F13" s="114" t="s">
        <v>48</v>
      </c>
      <c r="X13" s="7"/>
      <c r="Y13" s="7"/>
    </row>
    <row r="14" spans="1:32" ht="18">
      <c r="A14" s="128" t="s">
        <v>52</v>
      </c>
      <c r="C14" s="107" t="s">
        <v>99</v>
      </c>
      <c r="D14" s="107" t="s">
        <v>99</v>
      </c>
      <c r="E14" s="107" t="s">
        <v>99</v>
      </c>
      <c r="F14" s="107" t="s">
        <v>99</v>
      </c>
      <c r="X14" s="7"/>
      <c r="Y14" s="7"/>
    </row>
    <row r="15" spans="1:32" ht="18">
      <c r="A15" s="128" t="s">
        <v>53</v>
      </c>
      <c r="C15" s="107" t="s">
        <v>99</v>
      </c>
      <c r="D15" s="107" t="s">
        <v>99</v>
      </c>
      <c r="E15" s="107" t="s">
        <v>99</v>
      </c>
      <c r="F15" s="107" t="s">
        <v>99</v>
      </c>
      <c r="X15" s="7"/>
      <c r="Y15" s="7"/>
    </row>
    <row r="16" spans="1:32" ht="18">
      <c r="A16" s="128" t="s">
        <v>54</v>
      </c>
      <c r="C16" s="107" t="s">
        <v>99</v>
      </c>
      <c r="D16" s="107" t="s">
        <v>99</v>
      </c>
      <c r="E16" s="107" t="s">
        <v>99</v>
      </c>
      <c r="F16" s="107" t="s">
        <v>99</v>
      </c>
      <c r="X16" s="7"/>
      <c r="Y16" s="7"/>
    </row>
    <row r="17" spans="1:126" ht="18">
      <c r="A17" s="128" t="s">
        <v>87</v>
      </c>
      <c r="C17" s="107" t="s">
        <v>99</v>
      </c>
      <c r="D17" s="107" t="s">
        <v>99</v>
      </c>
      <c r="E17" s="107" t="s">
        <v>99</v>
      </c>
      <c r="F17" s="107" t="s">
        <v>99</v>
      </c>
      <c r="X17" s="7"/>
      <c r="Y17" s="7"/>
    </row>
    <row r="18" spans="1:126" ht="15" customHeight="1">
      <c r="A18" s="128" t="s">
        <v>24</v>
      </c>
      <c r="C18" s="107" t="s">
        <v>99</v>
      </c>
      <c r="D18" s="107" t="s">
        <v>99</v>
      </c>
      <c r="E18" s="107" t="s">
        <v>99</v>
      </c>
      <c r="F18" s="107" t="s">
        <v>99</v>
      </c>
      <c r="W18" s="8"/>
      <c r="X18" s="7"/>
      <c r="Y18" s="7"/>
    </row>
    <row r="19" spans="1:126" ht="18">
      <c r="A19" s="128" t="s">
        <v>55</v>
      </c>
      <c r="C19" s="107" t="s">
        <v>99</v>
      </c>
      <c r="D19" s="107" t="s">
        <v>99</v>
      </c>
      <c r="E19" s="107" t="s">
        <v>99</v>
      </c>
      <c r="F19" s="107" t="s">
        <v>99</v>
      </c>
      <c r="X19" s="7"/>
      <c r="Y19" s="7"/>
    </row>
    <row r="20" spans="1:126" ht="18">
      <c r="A20" s="128" t="s">
        <v>88</v>
      </c>
      <c r="C20" s="114" t="s">
        <v>48</v>
      </c>
      <c r="D20" s="114" t="s">
        <v>48</v>
      </c>
      <c r="E20" s="114" t="s">
        <v>48</v>
      </c>
      <c r="F20" s="107" t="s">
        <v>99</v>
      </c>
      <c r="X20" s="7"/>
      <c r="Y20" s="7"/>
    </row>
    <row r="21" spans="1:126" ht="18">
      <c r="A21" s="128" t="s">
        <v>83</v>
      </c>
      <c r="C21" s="107" t="s">
        <v>99</v>
      </c>
      <c r="D21" s="107" t="s">
        <v>99</v>
      </c>
      <c r="E21" s="107" t="s">
        <v>99</v>
      </c>
      <c r="F21" s="107" t="s">
        <v>99</v>
      </c>
      <c r="X21" s="7"/>
      <c r="Y21" s="7"/>
    </row>
    <row r="22" spans="1:126" ht="18">
      <c r="A22" s="128" t="s">
        <v>93</v>
      </c>
      <c r="C22" s="107" t="s">
        <v>99</v>
      </c>
      <c r="D22" s="107" t="s">
        <v>99</v>
      </c>
      <c r="E22" s="107" t="s">
        <v>99</v>
      </c>
      <c r="F22" s="107" t="s">
        <v>99</v>
      </c>
      <c r="X22" s="7"/>
      <c r="Y22" s="7"/>
    </row>
    <row r="23" spans="1:126" ht="18">
      <c r="A23" s="128" t="s">
        <v>95</v>
      </c>
      <c r="C23" s="107" t="s">
        <v>99</v>
      </c>
      <c r="D23" s="107" t="s">
        <v>99</v>
      </c>
      <c r="E23" s="107" t="s">
        <v>99</v>
      </c>
      <c r="F23" s="107" t="s">
        <v>99</v>
      </c>
      <c r="X23" s="7"/>
      <c r="Y23" s="7"/>
    </row>
    <row r="24" spans="1:126" ht="18">
      <c r="A24" s="128" t="s">
        <v>61</v>
      </c>
      <c r="C24" s="114" t="s">
        <v>48</v>
      </c>
      <c r="D24" s="114" t="s">
        <v>48</v>
      </c>
      <c r="E24" s="114" t="s">
        <v>48</v>
      </c>
      <c r="F24" s="114" t="s">
        <v>48</v>
      </c>
      <c r="X24" s="7"/>
      <c r="Y24" s="7"/>
    </row>
    <row r="25" spans="1:126" ht="18">
      <c r="A25" s="128" t="s">
        <v>82</v>
      </c>
      <c r="C25" s="107" t="s">
        <v>99</v>
      </c>
      <c r="D25" s="107" t="s">
        <v>99</v>
      </c>
      <c r="E25" s="107" t="s">
        <v>99</v>
      </c>
      <c r="F25" s="107" t="s">
        <v>99</v>
      </c>
      <c r="X25" s="7"/>
      <c r="Y25" s="7"/>
    </row>
    <row r="26" spans="1:126" ht="18">
      <c r="A26" s="128" t="s">
        <v>56</v>
      </c>
      <c r="C26" s="107" t="s">
        <v>99</v>
      </c>
      <c r="D26" s="107" t="s">
        <v>99</v>
      </c>
      <c r="E26" s="107" t="s">
        <v>99</v>
      </c>
      <c r="F26" s="107" t="s">
        <v>99</v>
      </c>
      <c r="X26" s="7"/>
      <c r="Y26" s="7"/>
    </row>
    <row r="27" spans="1:126" s="16" customFormat="1" ht="15.75">
      <c r="A27" s="15" t="s">
        <v>18</v>
      </c>
      <c r="B27" s="145">
        <f>COUNTIF(B6:B26,"sim")</f>
        <v>0</v>
      </c>
      <c r="C27" s="103">
        <f t="shared" ref="C27:D27" si="0">COUNTIF(C6:C26,"sim")</f>
        <v>17</v>
      </c>
      <c r="D27" s="103">
        <f t="shared" si="0"/>
        <v>17</v>
      </c>
      <c r="E27" s="103">
        <f t="shared" ref="E27:F27" si="1">COUNTIF(E6:E26,"sim")</f>
        <v>17</v>
      </c>
      <c r="F27" s="103">
        <f t="shared" si="1"/>
        <v>17</v>
      </c>
      <c r="M27" s="16">
        <f t="shared" ref="M27:AR27" si="2">COUNTIF(M6:M26,"sim")</f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si="2"/>
        <v>0</v>
      </c>
      <c r="AS27" s="16">
        <f t="shared" ref="AS27:BX27" si="3">COUNTIF(AS6:AS26,"sim")</f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si="3"/>
        <v>0</v>
      </c>
      <c r="BY27" s="16">
        <f t="shared" ref="BY27:DD27" si="4">COUNTIF(BY6:BY26,"sim")</f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si="4"/>
        <v>0</v>
      </c>
      <c r="DE27" s="16">
        <f t="shared" ref="DE27:DV27" si="5">COUNTIF(DE6:DE26,"sim")</f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  <c r="DV27" s="16">
        <f t="shared" si="5"/>
        <v>0</v>
      </c>
    </row>
    <row r="28" spans="1:126" s="18" customFormat="1" ht="15.75">
      <c r="A28" s="17" t="s">
        <v>19</v>
      </c>
      <c r="B28" s="146">
        <f>COUNTIF(B6:B26,"não")</f>
        <v>0</v>
      </c>
      <c r="C28" s="104">
        <f t="shared" ref="C28:D28" si="6">COUNTIF(C6:C26,"não")</f>
        <v>0</v>
      </c>
      <c r="D28" s="104">
        <f t="shared" si="6"/>
        <v>0</v>
      </c>
      <c r="E28" s="104">
        <f t="shared" ref="E28:F28" si="7">COUNTIF(E6:E26,"não")</f>
        <v>0</v>
      </c>
      <c r="F28" s="104">
        <f t="shared" si="7"/>
        <v>0</v>
      </c>
      <c r="M28" s="18">
        <f t="shared" ref="M28:AR28" si="8">COUNTIF(M6:M27,"não")</f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si="8"/>
        <v>0</v>
      </c>
      <c r="AS28" s="18">
        <f t="shared" ref="AS28:BX28" si="9">COUNTIF(AS6:AS27,"não")</f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si="9"/>
        <v>0</v>
      </c>
      <c r="BY28" s="18">
        <f t="shared" ref="BY28:DD28" si="10">COUNTIF(BY6:BY27,"não")</f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si="10"/>
        <v>0</v>
      </c>
      <c r="DE28" s="18">
        <f t="shared" ref="DE28:DV28" si="11">COUNTIF(DE6:DE27,"não")</f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  <c r="DV28" s="18">
        <f t="shared" si="11"/>
        <v>0</v>
      </c>
    </row>
    <row r="29" spans="1:126" ht="15.75">
      <c r="A29" s="14" t="s">
        <v>11</v>
      </c>
      <c r="B29" s="147">
        <f>COUNTIF(B6:B26,"ausente")</f>
        <v>0</v>
      </c>
      <c r="C29" s="40">
        <f t="shared" ref="C29:D29" si="12">COUNTIF(C6:C26,"ausente")</f>
        <v>4</v>
      </c>
      <c r="D29" s="40">
        <f t="shared" si="12"/>
        <v>4</v>
      </c>
      <c r="E29" s="40">
        <f t="shared" ref="E29:F29" si="13">COUNTIF(E6:E26,"ausente")</f>
        <v>4</v>
      </c>
      <c r="F29" s="40">
        <f t="shared" si="13"/>
        <v>3</v>
      </c>
      <c r="M29">
        <f t="shared" ref="M29:AR29" si="14">COUNTIF(M6:M28,"ausente")</f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si="14"/>
        <v>0</v>
      </c>
      <c r="AS29">
        <f t="shared" ref="AS29:BX29" si="15">COUNTIF(AS6:AS28,"ausente")</f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si="15"/>
        <v>0</v>
      </c>
      <c r="BY29">
        <f t="shared" ref="BY29:DD29" si="16">COUNTIF(BY6:BY28,"ausente")</f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si="16"/>
        <v>0</v>
      </c>
      <c r="DE29">
        <f t="shared" ref="DE29:DV29" si="17">COUNTIF(DE6:DE28,"ausente")</f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  <c r="DV29">
        <f t="shared" si="17"/>
        <v>0</v>
      </c>
    </row>
    <row r="30" spans="1:126" s="20" customFormat="1" ht="15.75">
      <c r="A30" s="19" t="s">
        <v>20</v>
      </c>
      <c r="B30" s="148">
        <f>COUNTIF(B6:B26,"abstenção")</f>
        <v>0</v>
      </c>
      <c r="C30" s="105">
        <f t="shared" ref="C30:D30" si="18">COUNTIF(C6:C26,"abstenção")</f>
        <v>0</v>
      </c>
      <c r="D30" s="105">
        <f t="shared" si="18"/>
        <v>0</v>
      </c>
      <c r="E30" s="105">
        <f t="shared" ref="E30:F30" si="19">COUNTIF(E6:E26,"abstenção")</f>
        <v>0</v>
      </c>
      <c r="F30" s="105">
        <f t="shared" si="19"/>
        <v>0</v>
      </c>
      <c r="M30" s="20">
        <f t="shared" ref="M30:AR30" si="20">COUNTIF(M10:M29,"abstenção")</f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si="20"/>
        <v>0</v>
      </c>
      <c r="AS30" s="20">
        <f t="shared" ref="AS30:BX30" si="21">COUNTIF(AS10:AS29,"abstenção")</f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si="21"/>
        <v>0</v>
      </c>
      <c r="BL30" s="20">
        <f t="shared" si="21"/>
        <v>0</v>
      </c>
      <c r="BM30" s="20">
        <f t="shared" si="21"/>
        <v>0</v>
      </c>
      <c r="BN30" s="20">
        <f t="shared" si="21"/>
        <v>0</v>
      </c>
      <c r="BO30" s="20">
        <f t="shared" si="21"/>
        <v>0</v>
      </c>
      <c r="BP30" s="20">
        <f t="shared" si="21"/>
        <v>0</v>
      </c>
      <c r="BQ30" s="20">
        <f t="shared" si="21"/>
        <v>0</v>
      </c>
      <c r="BR30" s="20">
        <f t="shared" si="21"/>
        <v>0</v>
      </c>
      <c r="BS30" s="20">
        <f t="shared" si="21"/>
        <v>0</v>
      </c>
      <c r="BT30" s="20">
        <f t="shared" si="21"/>
        <v>0</v>
      </c>
      <c r="BU30" s="20">
        <f t="shared" si="21"/>
        <v>0</v>
      </c>
      <c r="BV30" s="20">
        <f t="shared" si="21"/>
        <v>0</v>
      </c>
      <c r="BW30" s="20">
        <f t="shared" si="21"/>
        <v>0</v>
      </c>
      <c r="BX30" s="20">
        <f t="shared" si="21"/>
        <v>0</v>
      </c>
      <c r="BY30" s="20">
        <f t="shared" ref="BY30:DD30" si="22">COUNTIF(BY10:BY29,"abstenção")</f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ref="DE30:DV30" si="23">COUNTIF(DE10:DE29,"abstenção")</f>
        <v>0</v>
      </c>
      <c r="DF30" s="20">
        <f t="shared" si="23"/>
        <v>0</v>
      </c>
      <c r="DG30" s="20">
        <f t="shared" si="23"/>
        <v>0</v>
      </c>
      <c r="DH30" s="20">
        <f t="shared" si="23"/>
        <v>0</v>
      </c>
      <c r="DI30" s="20">
        <f t="shared" si="23"/>
        <v>0</v>
      </c>
      <c r="DJ30" s="20">
        <f t="shared" si="23"/>
        <v>0</v>
      </c>
      <c r="DK30" s="20">
        <f t="shared" si="23"/>
        <v>0</v>
      </c>
      <c r="DL30" s="20">
        <f t="shared" si="23"/>
        <v>0</v>
      </c>
      <c r="DM30" s="20">
        <f t="shared" si="23"/>
        <v>0</v>
      </c>
      <c r="DN30" s="20">
        <f t="shared" si="23"/>
        <v>0</v>
      </c>
      <c r="DO30" s="20">
        <f t="shared" si="23"/>
        <v>0</v>
      </c>
      <c r="DP30" s="20">
        <f t="shared" si="23"/>
        <v>0</v>
      </c>
      <c r="DQ30" s="20">
        <f t="shared" si="23"/>
        <v>0</v>
      </c>
      <c r="DR30" s="20">
        <f t="shared" si="23"/>
        <v>0</v>
      </c>
      <c r="DS30" s="20">
        <f t="shared" si="23"/>
        <v>0</v>
      </c>
      <c r="DT30" s="20">
        <f t="shared" si="23"/>
        <v>0</v>
      </c>
      <c r="DU30" s="20">
        <f t="shared" si="23"/>
        <v>0</v>
      </c>
      <c r="DV30" s="20">
        <f t="shared" si="2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I4" sqref="I4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103</v>
      </c>
      <c r="B2" s="2"/>
    </row>
    <row r="3" spans="1:3" ht="15.75" thickBot="1">
      <c r="A3" s="120" t="s">
        <v>104</v>
      </c>
      <c r="B3" s="2"/>
    </row>
    <row r="4" spans="1:3" ht="78.75" customHeight="1" thickBot="1">
      <c r="A4" s="119" t="s">
        <v>5</v>
      </c>
      <c r="B4" s="111" t="s">
        <v>21</v>
      </c>
      <c r="C4" s="138" t="s">
        <v>125</v>
      </c>
    </row>
    <row r="5" spans="1:3" s="6" customFormat="1" ht="60.75" customHeight="1">
      <c r="A5" s="121"/>
      <c r="B5" s="111"/>
      <c r="C5" s="149" t="s">
        <v>101</v>
      </c>
    </row>
    <row r="6" spans="1:3" ht="15.75">
      <c r="A6" s="126" t="s">
        <v>94</v>
      </c>
      <c r="C6" s="107"/>
    </row>
    <row r="7" spans="1:3" ht="15.75">
      <c r="A7" s="126" t="s">
        <v>60</v>
      </c>
      <c r="C7" s="107"/>
    </row>
    <row r="8" spans="1:3" ht="15.75">
      <c r="A8" s="126" t="s">
        <v>49</v>
      </c>
      <c r="C8" s="107"/>
    </row>
    <row r="9" spans="1:3" ht="15.75">
      <c r="A9" s="127" t="s">
        <v>50</v>
      </c>
      <c r="C9" s="114"/>
    </row>
    <row r="10" spans="1:3" ht="15.75">
      <c r="A10" s="126" t="s">
        <v>26</v>
      </c>
      <c r="C10" s="107"/>
    </row>
    <row r="11" spans="1:3" ht="15.75">
      <c r="A11" s="126" t="s">
        <v>51</v>
      </c>
      <c r="C11" s="107"/>
    </row>
    <row r="12" spans="1:3" ht="15.75">
      <c r="A12" s="126" t="s">
        <v>22</v>
      </c>
      <c r="C12" s="107"/>
    </row>
    <row r="13" spans="1:3" ht="15.75">
      <c r="A13" s="126" t="s">
        <v>23</v>
      </c>
      <c r="C13" s="114"/>
    </row>
    <row r="14" spans="1:3" ht="15.75">
      <c r="A14" s="126" t="s">
        <v>52</v>
      </c>
      <c r="C14" s="107"/>
    </row>
    <row r="15" spans="1:3" ht="15.75">
      <c r="A15" s="126" t="s">
        <v>53</v>
      </c>
      <c r="B15" s="137"/>
      <c r="C15" s="107"/>
    </row>
    <row r="16" spans="1:3" ht="15.75">
      <c r="A16" s="126" t="s">
        <v>54</v>
      </c>
      <c r="C16" s="107"/>
    </row>
    <row r="17" spans="1:3" ht="15.75">
      <c r="A17" s="126" t="s">
        <v>87</v>
      </c>
      <c r="C17" s="107"/>
    </row>
    <row r="18" spans="1:3" ht="15.75">
      <c r="A18" s="126" t="s">
        <v>24</v>
      </c>
      <c r="C18" s="107"/>
    </row>
    <row r="19" spans="1:3" ht="15.75">
      <c r="A19" s="126" t="s">
        <v>55</v>
      </c>
      <c r="C19" s="107"/>
    </row>
    <row r="20" spans="1:3" ht="15.75">
      <c r="A20" s="126" t="s">
        <v>88</v>
      </c>
      <c r="C20" s="107"/>
    </row>
    <row r="21" spans="1:3" ht="15.75">
      <c r="A21" s="126" t="s">
        <v>83</v>
      </c>
      <c r="C21" s="114"/>
    </row>
    <row r="22" spans="1:3" ht="15.75">
      <c r="A22" s="126" t="s">
        <v>93</v>
      </c>
      <c r="C22" s="114"/>
    </row>
    <row r="23" spans="1:3" ht="15.75">
      <c r="A23" s="126" t="s">
        <v>95</v>
      </c>
      <c r="C23" s="107"/>
    </row>
    <row r="24" spans="1:3" ht="15.75">
      <c r="A24" s="126" t="s">
        <v>61</v>
      </c>
      <c r="C24" s="107"/>
    </row>
    <row r="25" spans="1:3" ht="15.75">
      <c r="A25" s="126" t="s">
        <v>82</v>
      </c>
      <c r="C25" s="107"/>
    </row>
    <row r="26" spans="1:3" ht="15.75">
      <c r="A26" s="126" t="s">
        <v>56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103</v>
      </c>
      <c r="B2" s="2"/>
      <c r="C2" s="54"/>
      <c r="D2" s="54"/>
      <c r="E2" s="54"/>
    </row>
    <row r="3" spans="1:10" ht="15.75" thickBot="1">
      <c r="A3" s="120" t="s">
        <v>104</v>
      </c>
      <c r="B3" s="2"/>
      <c r="C3" s="54"/>
      <c r="D3" s="54"/>
      <c r="E3" s="54"/>
    </row>
    <row r="4" spans="1:10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89</v>
      </c>
      <c r="G4" s="141" t="s">
        <v>90</v>
      </c>
      <c r="H4" s="141" t="s">
        <v>91</v>
      </c>
      <c r="I4" s="141" t="s">
        <v>92</v>
      </c>
      <c r="J4" s="141" t="s">
        <v>97</v>
      </c>
    </row>
    <row r="5" spans="1:10" ht="60.75" customHeight="1">
      <c r="A5" s="48"/>
      <c r="B5" s="10"/>
      <c r="C5" s="131"/>
      <c r="D5" s="130"/>
      <c r="E5" s="130"/>
      <c r="F5" s="40"/>
      <c r="G5" s="40"/>
      <c r="H5" s="40"/>
      <c r="I5" s="40"/>
      <c r="J5" s="40"/>
    </row>
    <row r="6" spans="1:10" ht="15.75">
      <c r="A6" s="126" t="s">
        <v>94</v>
      </c>
      <c r="C6" s="132"/>
      <c r="D6" s="132"/>
      <c r="E6" s="132"/>
      <c r="F6" s="40"/>
      <c r="G6" s="40"/>
      <c r="H6" s="40"/>
      <c r="I6" s="40"/>
      <c r="J6" s="40"/>
    </row>
    <row r="7" spans="1:10" ht="15.75">
      <c r="A7" s="126" t="s">
        <v>60</v>
      </c>
      <c r="C7" s="132"/>
      <c r="D7" s="132"/>
      <c r="E7" s="132"/>
      <c r="F7" s="40"/>
      <c r="G7" s="40"/>
      <c r="H7" s="40"/>
      <c r="I7" s="40"/>
      <c r="J7" s="40"/>
    </row>
    <row r="8" spans="1:10" ht="15.75">
      <c r="A8" s="126" t="s">
        <v>49</v>
      </c>
      <c r="C8" s="132"/>
      <c r="D8" s="132"/>
      <c r="E8" s="132"/>
      <c r="F8" s="40"/>
      <c r="G8" s="40"/>
      <c r="H8" s="40"/>
      <c r="I8" s="40"/>
      <c r="J8" s="40"/>
    </row>
    <row r="9" spans="1:10" ht="15.75">
      <c r="A9" s="127" t="s">
        <v>50</v>
      </c>
      <c r="C9" s="132"/>
      <c r="D9" s="132"/>
      <c r="E9" s="132"/>
      <c r="F9" s="40"/>
      <c r="G9" s="40"/>
      <c r="H9" s="40"/>
      <c r="I9" s="40"/>
      <c r="J9" s="40"/>
    </row>
    <row r="10" spans="1:10" ht="15.75">
      <c r="A10" s="126" t="s">
        <v>26</v>
      </c>
      <c r="C10" s="132"/>
      <c r="D10" s="132"/>
      <c r="E10" s="132"/>
      <c r="F10" s="40"/>
      <c r="G10" s="40"/>
      <c r="H10" s="40"/>
      <c r="I10" s="40"/>
      <c r="J10" s="40"/>
    </row>
    <row r="11" spans="1:10" ht="15.75">
      <c r="A11" s="126" t="s">
        <v>51</v>
      </c>
      <c r="C11" s="132"/>
      <c r="D11" s="132"/>
      <c r="E11" s="132"/>
      <c r="F11" s="40"/>
      <c r="G11" s="40"/>
      <c r="H11" s="40"/>
      <c r="I11" s="40"/>
      <c r="J11" s="40"/>
    </row>
    <row r="12" spans="1:10" ht="15.75">
      <c r="A12" s="126" t="s">
        <v>22</v>
      </c>
      <c r="C12" s="132"/>
      <c r="D12" s="132"/>
      <c r="E12" s="132"/>
      <c r="F12" s="40"/>
      <c r="G12" s="40"/>
      <c r="H12" s="40"/>
      <c r="I12" s="40"/>
      <c r="J12" s="40"/>
    </row>
    <row r="13" spans="1:10" ht="15.75">
      <c r="A13" s="126" t="s">
        <v>23</v>
      </c>
      <c r="C13" s="132"/>
      <c r="D13" s="132"/>
      <c r="E13" s="132"/>
      <c r="F13" s="40"/>
      <c r="G13" s="40"/>
      <c r="H13" s="40"/>
      <c r="I13" s="40"/>
      <c r="J13" s="40"/>
    </row>
    <row r="14" spans="1:10" ht="15.75">
      <c r="A14" s="126" t="s">
        <v>52</v>
      </c>
      <c r="C14" s="132"/>
      <c r="D14" s="132"/>
      <c r="E14" s="132"/>
      <c r="F14" s="40"/>
      <c r="G14" s="40"/>
      <c r="H14" s="40"/>
      <c r="I14" s="40"/>
      <c r="J14" s="40"/>
    </row>
    <row r="15" spans="1:10" ht="15.75">
      <c r="A15" s="126" t="s">
        <v>53</v>
      </c>
      <c r="C15" s="132"/>
      <c r="D15" s="132"/>
      <c r="E15" s="132"/>
      <c r="F15" s="40"/>
      <c r="G15" s="40"/>
      <c r="H15" s="40"/>
      <c r="I15" s="40"/>
      <c r="J15" s="40"/>
    </row>
    <row r="16" spans="1:10" ht="15.75">
      <c r="A16" s="126" t="s">
        <v>54</v>
      </c>
      <c r="C16" s="132"/>
      <c r="D16" s="132"/>
      <c r="E16" s="132"/>
      <c r="F16" s="40"/>
      <c r="G16" s="40"/>
      <c r="H16" s="40"/>
      <c r="I16" s="40"/>
      <c r="J16" s="40"/>
    </row>
    <row r="17" spans="1:10" ht="15.75">
      <c r="A17" s="126" t="s">
        <v>87</v>
      </c>
      <c r="C17" s="132"/>
      <c r="D17" s="132"/>
      <c r="E17" s="132"/>
      <c r="F17" s="40"/>
      <c r="G17" s="40"/>
      <c r="H17" s="40"/>
      <c r="I17" s="40"/>
      <c r="J17" s="40"/>
    </row>
    <row r="18" spans="1:10" ht="15.75">
      <c r="A18" s="126" t="s">
        <v>24</v>
      </c>
      <c r="C18" s="132"/>
      <c r="D18" s="132"/>
      <c r="E18" s="132"/>
      <c r="F18" s="40"/>
      <c r="G18" s="40"/>
      <c r="H18" s="40"/>
      <c r="I18" s="40"/>
      <c r="J18" s="40"/>
    </row>
    <row r="19" spans="1:10" ht="15.75">
      <c r="A19" s="126" t="s">
        <v>55</v>
      </c>
      <c r="C19" s="132"/>
      <c r="D19" s="132"/>
      <c r="E19" s="132"/>
      <c r="F19" s="40"/>
      <c r="G19" s="40"/>
      <c r="H19" s="40"/>
      <c r="I19" s="40"/>
      <c r="J19" s="40"/>
    </row>
    <row r="20" spans="1:10" ht="15.75">
      <c r="A20" s="126" t="s">
        <v>88</v>
      </c>
      <c r="C20" s="132"/>
      <c r="D20" s="132"/>
      <c r="E20" s="132"/>
      <c r="F20" s="40"/>
      <c r="G20" s="40"/>
      <c r="H20" s="40"/>
      <c r="I20" s="40"/>
      <c r="J20" s="40"/>
    </row>
    <row r="21" spans="1:10" ht="15.75">
      <c r="A21" s="126" t="s">
        <v>83</v>
      </c>
      <c r="C21" s="132"/>
      <c r="D21" s="132"/>
      <c r="E21" s="132"/>
      <c r="F21" s="40"/>
      <c r="G21" s="40"/>
      <c r="H21" s="40"/>
      <c r="I21" s="40"/>
      <c r="J21" s="40"/>
    </row>
    <row r="22" spans="1:10" ht="15.75">
      <c r="A22" s="126" t="s">
        <v>93</v>
      </c>
      <c r="C22" s="132"/>
      <c r="D22" s="132"/>
      <c r="E22" s="132"/>
      <c r="F22" s="40"/>
      <c r="G22" s="40"/>
      <c r="H22" s="40"/>
      <c r="I22" s="40"/>
      <c r="J22" s="40"/>
    </row>
    <row r="23" spans="1:10" ht="15.75">
      <c r="A23" s="126" t="s">
        <v>95</v>
      </c>
      <c r="C23" s="132"/>
      <c r="D23" s="132"/>
      <c r="E23" s="132"/>
      <c r="F23" s="40"/>
      <c r="G23" s="40"/>
      <c r="H23" s="40"/>
      <c r="I23" s="40"/>
      <c r="J23" s="40"/>
    </row>
    <row r="24" spans="1:10" ht="15.75">
      <c r="A24" s="126" t="s">
        <v>61</v>
      </c>
      <c r="C24" s="132"/>
      <c r="D24" s="132"/>
      <c r="E24" s="132"/>
      <c r="F24" s="40"/>
      <c r="G24" s="40"/>
      <c r="H24" s="40"/>
      <c r="I24" s="40"/>
      <c r="J24" s="40"/>
    </row>
    <row r="25" spans="1:10" ht="15.75">
      <c r="A25" s="126" t="s">
        <v>82</v>
      </c>
      <c r="C25" s="132"/>
      <c r="D25" s="132"/>
      <c r="E25" s="132"/>
      <c r="F25" s="40"/>
      <c r="G25" s="40"/>
      <c r="H25" s="40"/>
      <c r="I25" s="40"/>
      <c r="J25" s="40"/>
    </row>
    <row r="26" spans="1:10" ht="15.75">
      <c r="A26" s="126" t="s">
        <v>56</v>
      </c>
      <c r="C26" s="132"/>
      <c r="D26" s="132"/>
      <c r="E26" s="132"/>
      <c r="F26" s="40"/>
      <c r="G26" s="40"/>
      <c r="H26" s="40"/>
      <c r="I26" s="40"/>
      <c r="J26" s="40"/>
    </row>
    <row r="27" spans="1:10">
      <c r="C27" s="132"/>
      <c r="D27" s="132"/>
      <c r="E27" s="132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>
        <f t="shared" ref="F28:I28" si="0">COUNTIF(F6:F26,"sim")</f>
        <v>0</v>
      </c>
      <c r="G28" s="133">
        <f t="shared" si="0"/>
        <v>0</v>
      </c>
      <c r="H28" s="133">
        <f t="shared" si="0"/>
        <v>0</v>
      </c>
      <c r="I28" s="133">
        <f t="shared" si="0"/>
        <v>0</v>
      </c>
      <c r="J28" s="133">
        <f>COUNTIF(J6:J26,"sim")</f>
        <v>0</v>
      </c>
    </row>
    <row r="29" spans="1:10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>
        <f t="shared" ref="F29:I29" si="1">COUNTIF(F6:F26,"não")</f>
        <v>0</v>
      </c>
      <c r="G29" s="134">
        <f t="shared" si="1"/>
        <v>0</v>
      </c>
      <c r="H29" s="134">
        <f t="shared" si="1"/>
        <v>0</v>
      </c>
      <c r="I29" s="134">
        <f t="shared" si="1"/>
        <v>0</v>
      </c>
      <c r="J29" s="134">
        <f>COUNTIF(J6:J26,"não")</f>
        <v>0</v>
      </c>
    </row>
    <row r="30" spans="1:10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>
        <f t="shared" ref="F30:I30" si="2">COUNTIF(F6:F26,"ausente")</f>
        <v>0</v>
      </c>
      <c r="G30" s="132">
        <f t="shared" si="2"/>
        <v>0</v>
      </c>
      <c r="H30" s="132">
        <f t="shared" si="2"/>
        <v>0</v>
      </c>
      <c r="I30" s="132">
        <f t="shared" si="2"/>
        <v>0</v>
      </c>
      <c r="J30" s="132">
        <f>COUNTIF(J6:J26,"ausente")</f>
        <v>0</v>
      </c>
    </row>
    <row r="31" spans="1:10" ht="15.75">
      <c r="A31" s="19" t="s">
        <v>20</v>
      </c>
      <c r="B31" s="20"/>
      <c r="C31" s="135">
        <f t="shared" ref="C31:J31" si="3">COUNTIF(C6:C26,"abstenção")</f>
        <v>0</v>
      </c>
      <c r="D31" s="135">
        <f t="shared" si="3"/>
        <v>0</v>
      </c>
      <c r="E31" s="135">
        <f t="shared" si="3"/>
        <v>0</v>
      </c>
      <c r="F31" s="135">
        <f t="shared" ref="F31:I31" si="4">COUNTIF(F6:F26,"abstenção")</f>
        <v>0</v>
      </c>
      <c r="G31" s="135">
        <f t="shared" si="4"/>
        <v>0</v>
      </c>
      <c r="H31" s="135">
        <f t="shared" si="4"/>
        <v>0</v>
      </c>
      <c r="I31" s="135">
        <f t="shared" si="4"/>
        <v>0</v>
      </c>
      <c r="J31" s="13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103</v>
      </c>
      <c r="B2" s="2"/>
    </row>
    <row r="3" spans="1:23">
      <c r="A3" s="76" t="s">
        <v>104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94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87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88</v>
      </c>
    </row>
    <row r="21" spans="1:23" ht="18">
      <c r="A21" s="128" t="s">
        <v>83</v>
      </c>
    </row>
    <row r="22" spans="1:23" ht="18">
      <c r="A22" s="128" t="s">
        <v>93</v>
      </c>
    </row>
    <row r="23" spans="1:23" ht="18">
      <c r="A23" s="128" t="s">
        <v>95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2026-10-06T16:12:14Z</dcterms:modified>
</cp:coreProperties>
</file>