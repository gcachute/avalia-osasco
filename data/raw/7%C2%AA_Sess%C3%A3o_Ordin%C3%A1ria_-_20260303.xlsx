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ED8B986-1015-4718-A5B9-BC62A534F63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2" l="1"/>
  <c r="H28" i="2"/>
  <c r="H29" i="2"/>
  <c r="H30" i="2"/>
  <c r="C27" i="2"/>
  <c r="D27" i="2"/>
  <c r="E27" i="2"/>
  <c r="C28" i="2"/>
  <c r="D28" i="2"/>
  <c r="E28" i="2"/>
  <c r="C29" i="2"/>
  <c r="D29" i="2"/>
  <c r="E29" i="2"/>
  <c r="C30" i="2"/>
  <c r="D30" i="2"/>
  <c r="E30" i="2"/>
  <c r="C28" i="10"/>
  <c r="C29" i="10"/>
  <c r="C30" i="10"/>
  <c r="C31" i="10"/>
  <c r="I27" i="2"/>
  <c r="I28" i="2"/>
  <c r="I29" i="2"/>
  <c r="I30" i="2"/>
  <c r="D28" i="10"/>
  <c r="D29" i="10"/>
  <c r="D30" i="10"/>
  <c r="D31" i="10"/>
  <c r="C27" i="3"/>
  <c r="C28" i="3"/>
  <c r="C29" i="3"/>
  <c r="C30" i="3"/>
  <c r="A4" i="14" l="1"/>
  <c r="F27" i="2" l="1"/>
  <c r="F28" i="2"/>
  <c r="F29" i="2"/>
  <c r="F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<sst xmlns="http://schemas.openxmlformats.org/spreadsheetml/2006/main" count="559" uniqueCount="132">
  <si>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</si>
  <si>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</si>
  <si>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</si>
  <si>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</si>
  <si>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</si>
  <si>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</si>
  <si>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</si>
  <si>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</si>
  <si>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</si>
  <si>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</si>
  <si>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</si>
  <si>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</si>
  <si>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</si>
  <si>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</si>
  <si>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</si>
  <si>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</si>
  <si>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</si>
  <si>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</si>
  <si>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</si>
  <si>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</si>
  <si>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</si>
  <si>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</si>
  <si>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</si>
  <si>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</si>
  <si>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</si>
  <si>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</si>
  <si>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</si>
  <si>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</si>
  <si>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</si>
  <si>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</si>
  <si>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</si>
  <si>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</si>
  <si>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</si>
  <si>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</si>
  <si>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</si>
  <si>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</si>
  <si>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</si>
  <si>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</si>
  <si>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</si>
  <si>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</si>
  <si>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</si>
  <si>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</si>
  <si>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</si>
  <si>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</si>
  <si>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</si>
  <si>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</si>
  <si>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</si>
  <si>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</si>
  <si>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</si>
  <si>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</si>
  <si>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</si>
  <si>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</si>
  <si>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</si>
  <si>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</si>
  <si>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</si>
  <si>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</si>
  <si>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</si>
  <si>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</si>
  <si>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</si>
  <si>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</si>
  <si>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</si>
  <si>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</si>
  <si>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</si>
  <si>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</si>
  <si>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</si>
  <si>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</si>
  <si>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</si>
  <si>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</si>
  <si>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</si>
  <si>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</si>
  <si>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</si>
  <si>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</si>
  <si>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</si>
  <si>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</si>
  <si>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</si>
  <si>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</si>
  <si>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</si>
  <si>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</si>
  <si>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</si>
  <si>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</si>
  <si>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</si>
  <si>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</si>
  <si>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</si>
  <si>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</si>
  <si>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</si>
  <si>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</si>
  <si>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</si>
  <si>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</si>
  <si>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</si>
  <si>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</si>
  <si>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</si>
  <si>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</si>
  <si>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</si>
  <si>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</si>
  <si>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</si>
  <si>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</si>
  <si>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r>
      <t xml:space="preserve">MOÇÃO DE RECONHECIMENTO Nº 10/2026 – RALFI SILVA – </t>
    </r>
    <r>
      <rPr>
        <sz val="11"/>
        <color theme="1"/>
        <rFont val="Arial"/>
        <family val="2"/>
      </rPr>
      <t>Ao General Peternelli, pelos relevantes serviços prestados à sociedade e pelo exemplo de liderança, disciplina e compromisso com os valores cívicos.</t>
    </r>
  </si>
  <si>
    <t>pela ausência do autor, será pautada na próxima sessão.</t>
  </si>
  <si>
    <t>APROVADO</t>
  </si>
  <si>
    <t>sim</t>
  </si>
  <si>
    <t>na presidência</t>
  </si>
  <si>
    <t>Justificativa de ausência do Vereador Josias da Juco.</t>
  </si>
  <si>
    <t>pela ausência da autora, será pautada na próxima sessão.</t>
  </si>
  <si>
    <r>
      <t xml:space="preserve">APROVADO
</t>
    </r>
    <r>
      <rPr>
        <b/>
        <sz val="10"/>
        <color rgb="FF00B050"/>
        <rFont val="Arial"/>
        <family val="2"/>
      </rPr>
      <t>VOTAÇÃO SIMBÓLICA</t>
    </r>
  </si>
  <si>
    <t>7ª SESSÃO ORDINÁRIA</t>
  </si>
  <si>
    <t>DIA 3 DE MARÇO DE 2026 - TERÇA-FEIRA</t>
  </si>
  <si>
    <t>Justificativa de ausência do Vereador Ralfi Silva.</t>
  </si>
  <si>
    <t>Projeto de Lei nº 28/2026 – Emerson Osasco – Dispõe sobre a concessão de Título de Utilidade Pública à Associação Amigos do Jardim Bonança.</t>
  </si>
  <si>
    <t>Projeto de Lei nº 29/2026 – Pedrinho Cantagessi – Institui o Programa Praça Sensorial no Município de Osasco e dá outras providências.</t>
  </si>
  <si>
    <t>Projeto de Lei nº 30/2026 – Elsa Oliveira – Institui o dia municipal da equidade de gênero.</t>
  </si>
  <si>
    <t>Projeto de Lei nº 31/2026 – Elsa Oliveira – Institui o Dia Municipal de Luto e de Memória às Mulheres Vítimas de Feminicídio no Município de Osasco e dá outras providências.</t>
  </si>
  <si>
    <t>Projeto de Lei nº 32/2026 – Gabriel Saúde – Institui o "Selo Autista a Bordo" no Município de Osasco e dá outras providências.</t>
  </si>
  <si>
    <t>Projeto de Lei nº 33/2026 – Gabriel Saúde – Institui a Caminhada "Passos TEA" no Calendário Oficial de Eventos do Município de Osasco e dá outras providências.</t>
  </si>
  <si>
    <t>Projeto de Lei nº 34/2026 – Elsa Oliveira – Altera a Lei nº 3.981/2005 que dispõe sobre a Instituição do Programa Operação Trabalho do Município de Osasco, e dá outras providências.</t>
  </si>
  <si>
    <t>Projeto de Lei Complementar nº 3/2026 – Gabriel Saúde – Estabelece desconto de 50% (cinquenta por cento) no pagamento do IPTU - Imposto Predial e Territorial Urbano aos imóveis localizados nas vias públicas onde se realizam feiras-livres, no âmbito do Município de Osasco, e dá outras providências.</t>
  </si>
  <si>
    <t>Projeto de Decreto Legislativo nº 12/2026 – Rodrigo Gansinho – Dispõe sobre a concessão de Título de Cidadão Osasquense ao Dr. Anderson Pires Giampaoli.</t>
  </si>
  <si>
    <r>
      <t xml:space="preserve">MOÇÃO DE APLAUSO Nº 14/2026 – LÚCIA DA SAÚDE – </t>
    </r>
    <r>
      <rPr>
        <sz val="11"/>
        <color theme="1"/>
        <rFont val="Arial"/>
        <family val="2"/>
      </rPr>
      <t xml:space="preserve">Ao Complexo Neurossensorial Casa do Autista de Balneário Camboriú, pela dedicação, empatia, compromisso e respeito às pessoas com autismo e suas famílias. </t>
    </r>
  </si>
  <si>
    <r>
      <t>MOÇÃO DE APLAUSO Nº 16/2026 – ALEXANDRE CAPRIOTTI –</t>
    </r>
    <r>
      <rPr>
        <sz val="11"/>
        <color theme="1"/>
        <rFont val="Arial"/>
        <family val="2"/>
      </rPr>
      <t xml:space="preserve"> À Sagaz Esportes, fundada em 6 de setembro de 2017, se destacando na produção, promoção e realização de eventos esportivos, consolidando-se como referência no segmento. </t>
    </r>
  </si>
  <si>
    <r>
      <t xml:space="preserve">MOÇÃO DE APLAUSO Nº 17/2026 – PAULO JÚNIOR – </t>
    </r>
    <r>
      <rPr>
        <sz val="11"/>
        <color theme="1"/>
        <rFont val="Arial"/>
        <family val="2"/>
      </rPr>
      <t>Pelos 15 anos da Igreja Batista Águas Cristalinas.</t>
    </r>
  </si>
  <si>
    <r>
      <t xml:space="preserve">MOÇÃO DE RECONHECIMENTO Nº 18/2026 – GUILHERME PRADO – </t>
    </r>
    <r>
      <rPr>
        <sz val="11"/>
        <color theme="1"/>
        <rFont val="Arial"/>
        <family val="2"/>
      </rPr>
      <t>Ao Sr. Washington Luiz de Freitas pelos relevantes serviços prestados ao Município de Osasco no acolhimento, orientação e apoio a pessoas em situação de alcoolismo e dependência química.</t>
    </r>
  </si>
  <si>
    <r>
      <t xml:space="preserve">MOÇÃO DE APLAUSO Nº 19/2026 – ALEXANDRE CAPRIOTTI – </t>
    </r>
    <r>
      <rPr>
        <sz val="11"/>
        <color theme="1"/>
        <rFont val="Arial"/>
        <family val="2"/>
      </rPr>
      <t>À Equipe de Atletismo de Osasco, há muitos anos revelando grandes talentos desde a base ao alto rendimento, se destacando no cenário nacional e internacional.</t>
    </r>
  </si>
  <si>
    <r>
      <t xml:space="preserve">VETO PARCIAL AO PROJETO DE LEI N.º 228/2025 – PREFEITO DO MUNICÍPIO DE OSASCO - </t>
    </r>
    <r>
      <rPr>
        <sz val="12"/>
        <color theme="1"/>
        <rFont val="Arial"/>
        <family val="2"/>
      </rPr>
      <t>Dispõe sobre o Programa de Parcelamento Especial de Osasco no âmbito do Município de Osasco.</t>
    </r>
  </si>
  <si>
    <t>VETO ACEITO</t>
  </si>
  <si>
    <r>
      <t xml:space="preserve">VETO PARCIAL AO PROJETO DE LEI Nº 32/2025 – RALFI SILVA - </t>
    </r>
    <r>
      <rPr>
        <sz val="12"/>
        <color theme="1"/>
        <rFont val="Arial"/>
        <family val="2"/>
      </rPr>
      <t>Assegura o ingresso e a permanência de cães de assistência a pessoas com deficiência ou transtorno do espectro autista - TEA em locais de uso público ou privado.</t>
    </r>
  </si>
  <si>
    <r>
      <t>VETO TOTAL AO PROJETO DE LEI N. 47/2025 – SERGIO FONTELLAS -</t>
    </r>
    <r>
      <rPr>
        <sz val="12"/>
        <color theme="1"/>
        <rFont val="Arial"/>
        <family val="2"/>
      </rPr>
      <t xml:space="preserve"> Institui a Campanha Outubrinho Rosa.</t>
    </r>
  </si>
  <si>
    <r>
      <t xml:space="preserve">VETO TOTAL AO PROJETO DE LEI 78/2025 – HEBER DO JUNTOZ - </t>
    </r>
    <r>
      <rPr>
        <sz val="12"/>
        <color theme="1"/>
        <rFont val="Arial"/>
        <family val="2"/>
      </rPr>
      <t>Institui diretrizes para a implementação e incentivo de Soluções Baseadas na Natureza (SBN) e Infraestruturas Verdes-Azuis no Município de Osasco.</t>
    </r>
  </si>
  <si>
    <t>não</t>
  </si>
  <si>
    <r>
      <t xml:space="preserve">PROJETO DE LEI Nº 4/2026 – PREFEITO DO MUNICÍPIO DE OSASCO - </t>
    </r>
    <r>
      <rPr>
        <sz val="14"/>
        <color theme="1"/>
        <rFont val="Arial"/>
        <family val="2"/>
      </rPr>
      <t>Revoga o Parágrafo único do art. 1º e o art.7º da Lei nº 5.311, de 22 de dezembro de 2023, que autoriza o Poder Executivo a contratar operação de crédito internacional com o Fundo Financeiro para o Desenvolvimento da Bacia do Prata - FONPLATA, e a oferecer garantias, e dá outras providências.</t>
    </r>
  </si>
  <si>
    <r>
      <t>PROJETO DE LEI Nº 180/2025 – STEPHANE ROSSI –</t>
    </r>
    <r>
      <rPr>
        <sz val="14"/>
        <color theme="1"/>
        <rFont val="Arial"/>
        <family val="2"/>
      </rPr>
      <t xml:space="preserve"> Institui a Semana Municipal de Combate à Automutilação e ao Suicídio de Crianças e Adolescentes.</t>
    </r>
  </si>
  <si>
    <r>
      <t>PROJETO DE LEI N.º 225/2025 – LAÉRCIO MENDONÇA -</t>
    </r>
    <r>
      <rPr>
        <sz val="11"/>
        <color theme="1"/>
        <rFont val="Arial"/>
        <family val="2"/>
      </rPr>
      <t xml:space="preserve"> Institui o 'Dia Municipal do DJ' no Calendário Oficial do Município de Osasco e dá outras providências.</t>
    </r>
  </si>
  <si>
    <r>
      <t xml:space="preserve">PROJETO DE DECRETO LEGISLATIVO Nº 68/2025 – LÚCIA DA SAÚDE - </t>
    </r>
    <r>
      <rPr>
        <sz val="11"/>
        <color theme="1"/>
        <rFont val="Arial"/>
        <family val="2"/>
      </rPr>
      <t>Dispõe sobre a Concessão de Placa Comemorativa à Igreja do Evangelho Quadrangular Jardim Paulista - Osasco.</t>
    </r>
  </si>
  <si>
    <r>
      <t xml:space="preserve">PROJETO DE DECRETO LEGISLATIVO Nº 86/2025 – PEDRINHO CANTAGESSI - </t>
    </r>
    <r>
      <rPr>
        <sz val="11"/>
        <color theme="1"/>
        <rFont val="Arial"/>
        <family val="2"/>
      </rPr>
      <t>Dispõe sobre a concessão de Cartão de Prata ao Centro Educacional Desafio.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</si>
</sst>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color rgb="FF00B05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104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105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2</v>
      </c>
      <c r="G10" s="102" t="s">
        <v>53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2</v>
      </c>
      <c r="G16" s="102" t="s">
        <v>53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13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24</v>
      </c>
      <c r="V32" s="12"/>
      <c r="W32" s="12"/>
    </row>
    <row r="33" spans="1:23" ht="18">
      <c r="A33" s="34" t="s">
        <v>49</v>
      </c>
      <c r="V33" s="12"/>
      <c r="W33" s="12"/>
    </row>
    <row r="34" spans="1:23" ht="18">
      <c r="A34" s="34" t="s">
        <v>94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88</v>
      </c>
      <c r="V44" s="12"/>
      <c r="W44" s="12"/>
    </row>
    <row r="45" spans="1:23" ht="18">
      <c r="A45" s="34" t="s">
        <v>59</v>
      </c>
      <c r="V45" s="12"/>
      <c r="W45" s="12"/>
    </row>
    <row r="46" spans="1:23" ht="18">
      <c r="A46" s="34" t="s">
        <v>26</v>
      </c>
      <c r="V46" s="12"/>
      <c r="W46" s="12"/>
    </row>
    <row r="47" spans="1:23" ht="18">
      <c r="A47" s="34" t="s">
        <v>67</v>
      </c>
      <c r="V47" s="12"/>
      <c r="W47" s="12"/>
    </row>
    <row r="48" spans="1:23" ht="18">
      <c r="A48" s="34" t="s">
        <v>23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B1" activePane="topRight" state="frozen"/>
      <selection pane="topRight" activeCell="T22" sqref="T22"/>
    </sheetView>
  </sheetViews>
  <sheetFormatPr defaultColWidth="9.140625" defaultRowHeight="12.75"/>
  <cols>
    <col min="1" max="1" width="47.7109375" style="22" customWidth="1"/>
    <col min="2" max="13" width="23.7109375" style="22" customWidth="1"/>
    <col min="14" max="14" width="19" style="22" customWidth="1"/>
    <col min="15" max="15" width="26.28515625" style="22" customWidth="1"/>
    <col min="16" max="16" width="22.140625" style="22" customWidth="1"/>
    <col min="17" max="22" width="22.7109375" style="22" customWidth="1"/>
    <col min="23" max="16384" width="9.140625" style="22"/>
  </cols>
  <sheetData>
    <row r="1" spans="1:22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2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2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22" ht="63" customHeight="1">
      <c r="A4" s="51" t="str">
        <f>'[1]MOÇÃO E REQUERIMENTO'!B7</f>
        <v>EXPEDIENTE</v>
      </c>
      <c r="B4" s="50" t="s">
        <v>45</v>
      </c>
      <c r="C4" s="117" t="s">
        <v>101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2" t="s">
        <v>34</v>
      </c>
      <c r="O4" s="124"/>
      <c r="P4" s="50" t="s">
        <v>27</v>
      </c>
      <c r="Q4" s="84" t="s">
        <v>96</v>
      </c>
      <c r="R4" s="84" t="s">
        <v>116</v>
      </c>
      <c r="S4" s="84" t="s">
        <v>117</v>
      </c>
      <c r="T4" s="84" t="s">
        <v>118</v>
      </c>
      <c r="U4" s="84" t="s">
        <v>119</v>
      </c>
      <c r="V4" s="84" t="s">
        <v>120</v>
      </c>
    </row>
    <row r="5" spans="1:22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13"/>
      <c r="Q5" s="118" t="s">
        <v>97</v>
      </c>
      <c r="R5" s="118" t="s">
        <v>102</v>
      </c>
      <c r="S5" s="113" t="s">
        <v>95</v>
      </c>
      <c r="T5" s="118" t="s">
        <v>97</v>
      </c>
      <c r="U5" s="113" t="s">
        <v>95</v>
      </c>
      <c r="V5" s="113" t="s">
        <v>95</v>
      </c>
    </row>
    <row r="6" spans="1:22" ht="15.75">
      <c r="A6" s="127" t="s">
        <v>51</v>
      </c>
      <c r="P6" s="23"/>
    </row>
    <row r="7" spans="1:22" ht="15.75">
      <c r="A7" s="127" t="s">
        <v>66</v>
      </c>
      <c r="P7" s="23"/>
    </row>
    <row r="8" spans="1:22" ht="15.75">
      <c r="A8" s="127" t="s">
        <v>54</v>
      </c>
      <c r="P8" s="23"/>
    </row>
    <row r="9" spans="1:22" ht="15.75">
      <c r="A9" s="128" t="s">
        <v>55</v>
      </c>
      <c r="P9" s="23"/>
    </row>
    <row r="10" spans="1:22" ht="15.75">
      <c r="A10" s="127" t="s">
        <v>28</v>
      </c>
      <c r="P10" s="23"/>
    </row>
    <row r="11" spans="1:22" ht="15.75">
      <c r="A11" s="127" t="s">
        <v>56</v>
      </c>
      <c r="P11" s="23"/>
    </row>
    <row r="12" spans="1:22" ht="15.75">
      <c r="A12" s="127" t="s">
        <v>22</v>
      </c>
      <c r="P12" s="23"/>
    </row>
    <row r="13" spans="1:22" ht="15.75">
      <c r="A13" s="127" t="s">
        <v>23</v>
      </c>
      <c r="P13" s="23"/>
    </row>
    <row r="14" spans="1:22" ht="15.75">
      <c r="A14" s="127" t="s">
        <v>24</v>
      </c>
      <c r="P14" s="23"/>
    </row>
    <row r="15" spans="1:22" ht="15.75">
      <c r="A15" s="127" t="s">
        <v>57</v>
      </c>
      <c r="P15" s="23"/>
    </row>
    <row r="16" spans="1:22" ht="15.75">
      <c r="A16" s="127" t="s">
        <v>58</v>
      </c>
      <c r="P16" s="23"/>
    </row>
    <row r="17" spans="1:16" ht="15.75">
      <c r="A17" s="127" t="s">
        <v>59</v>
      </c>
      <c r="P17" s="23"/>
    </row>
    <row r="18" spans="1:16" ht="15.75">
      <c r="A18" s="127" t="s">
        <v>25</v>
      </c>
      <c r="P18" s="23"/>
    </row>
    <row r="19" spans="1:16" ht="15.75">
      <c r="A19" s="127" t="s">
        <v>60</v>
      </c>
      <c r="P19" s="23"/>
    </row>
    <row r="20" spans="1:16" ht="15.75">
      <c r="A20" s="127" t="s">
        <v>94</v>
      </c>
      <c r="P20" s="23"/>
    </row>
    <row r="21" spans="1:16" ht="15.75">
      <c r="A21" s="127" t="s">
        <v>26</v>
      </c>
      <c r="P21" s="23"/>
    </row>
    <row r="22" spans="1:16" ht="15.75">
      <c r="A22" s="127" t="s">
        <v>61</v>
      </c>
      <c r="P22" s="23"/>
    </row>
    <row r="23" spans="1:16" ht="15.75">
      <c r="A23" s="127" t="s">
        <v>67</v>
      </c>
      <c r="P23" s="23"/>
    </row>
    <row r="24" spans="1:16" ht="15.75">
      <c r="A24" s="127" t="s">
        <v>49</v>
      </c>
      <c r="P24" s="23"/>
    </row>
    <row r="25" spans="1:16" ht="15.75">
      <c r="A25" s="127" t="s">
        <v>88</v>
      </c>
      <c r="P25" s="23"/>
    </row>
    <row r="26" spans="1:16" ht="15.75">
      <c r="A26" s="127" t="s">
        <v>62</v>
      </c>
      <c r="P26" s="23"/>
    </row>
    <row r="27" spans="1:16" s="25" customFormat="1">
      <c r="A27" s="24" t="s">
        <v>18</v>
      </c>
    </row>
    <row r="28" spans="1:16" s="27" customFormat="1">
      <c r="A28" s="26" t="s">
        <v>19</v>
      </c>
    </row>
    <row r="29" spans="1:16">
      <c r="A29" s="28" t="s">
        <v>11</v>
      </c>
    </row>
    <row r="30" spans="1:16" s="30" customFormat="1">
      <c r="A30" s="29" t="s">
        <v>20</v>
      </c>
    </row>
    <row r="32" spans="1:1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D37"/>
  <sheetViews>
    <sheetView zoomScale="80" zoomScaleNormal="80" workbookViewId="0">
      <pane xSplit="1" topLeftCell="B1" activePane="topRight" state="frozen"/>
      <selection activeCell="A4" sqref="A4"/>
      <selection pane="topRight" activeCell="I5" sqref="I5"/>
    </sheetView>
  </sheetViews>
  <sheetFormatPr defaultRowHeight="15"/>
  <cols>
    <col min="1" max="1" width="61" customWidth="1"/>
    <col min="2" max="2" width="28.7109375" bestFit="1" customWidth="1"/>
    <col min="3" max="6" width="36.7109375" customWidth="1"/>
    <col min="7" max="7" width="24.7109375" customWidth="1"/>
    <col min="8" max="49" width="36.7109375" customWidth="1"/>
  </cols>
  <sheetData>
    <row r="1" spans="1:49" ht="18" customHeight="1">
      <c r="A1" s="76" t="s">
        <v>8</v>
      </c>
      <c r="B1" s="49"/>
      <c r="C1" s="74"/>
      <c r="D1" s="74"/>
      <c r="E1" s="74"/>
      <c r="F1" s="74"/>
    </row>
    <row r="2" spans="1:49" ht="18" customHeight="1">
      <c r="A2" s="76" t="s">
        <v>104</v>
      </c>
      <c r="B2" s="49"/>
      <c r="C2" s="74"/>
      <c r="D2" s="74"/>
      <c r="E2" s="74"/>
      <c r="F2" s="74"/>
    </row>
    <row r="3" spans="1:49" ht="17.25" customHeight="1">
      <c r="A3" s="76" t="s">
        <v>105</v>
      </c>
      <c r="B3" s="49"/>
      <c r="C3" s="74"/>
      <c r="D3" s="74"/>
      <c r="E3" s="74"/>
      <c r="F3" s="74"/>
      <c r="H3" s="116"/>
      <c r="I3" s="116"/>
    </row>
    <row r="4" spans="1:49" ht="90.75" customHeight="1" thickBot="1">
      <c r="A4" s="52" t="s">
        <v>5</v>
      </c>
      <c r="B4" s="108" t="s">
        <v>31</v>
      </c>
      <c r="C4" s="141" t="s">
        <v>121</v>
      </c>
      <c r="D4" s="141" t="s">
        <v>123</v>
      </c>
      <c r="E4" s="141" t="s">
        <v>124</v>
      </c>
      <c r="F4" s="141" t="s">
        <v>125</v>
      </c>
      <c r="G4" s="109" t="s">
        <v>6</v>
      </c>
      <c r="H4" s="140" t="s">
        <v>127</v>
      </c>
      <c r="I4" s="140" t="s">
        <v>128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3"/>
      <c r="AW4" s="3"/>
    </row>
    <row r="5" spans="1:49" s="81" customFormat="1" ht="48" customHeight="1">
      <c r="A5" s="99" t="s">
        <v>37</v>
      </c>
      <c r="B5" s="78"/>
      <c r="C5" s="144" t="s">
        <v>122</v>
      </c>
      <c r="D5" s="144" t="s">
        <v>122</v>
      </c>
      <c r="E5" s="144" t="s">
        <v>122</v>
      </c>
      <c r="F5" s="144" t="s">
        <v>122</v>
      </c>
      <c r="G5" s="79"/>
      <c r="H5" s="144" t="s">
        <v>98</v>
      </c>
      <c r="I5" s="144" t="s">
        <v>103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</row>
    <row r="6" spans="1:49" ht="20.25">
      <c r="A6" s="46" t="s">
        <v>51</v>
      </c>
      <c r="C6" s="107" t="s">
        <v>99</v>
      </c>
      <c r="D6" s="107" t="s">
        <v>99</v>
      </c>
      <c r="E6" s="107" t="s">
        <v>99</v>
      </c>
      <c r="F6" s="107" t="s">
        <v>99</v>
      </c>
      <c r="H6" s="107" t="s">
        <v>99</v>
      </c>
      <c r="I6" s="107"/>
      <c r="J6" s="143"/>
    </row>
    <row r="7" spans="1:49" ht="20.25">
      <c r="A7" s="46" t="s">
        <v>66</v>
      </c>
      <c r="C7" s="107" t="s">
        <v>99</v>
      </c>
      <c r="D7" s="107" t="s">
        <v>99</v>
      </c>
      <c r="E7" s="150" t="s">
        <v>126</v>
      </c>
      <c r="F7" s="107" t="s">
        <v>99</v>
      </c>
      <c r="H7" s="107" t="s">
        <v>99</v>
      </c>
      <c r="I7" s="107"/>
    </row>
    <row r="8" spans="1:49" ht="20.25">
      <c r="A8" s="46" t="s">
        <v>54</v>
      </c>
      <c r="C8" s="107" t="s">
        <v>99</v>
      </c>
      <c r="D8" s="107" t="s">
        <v>99</v>
      </c>
      <c r="E8" s="107" t="s">
        <v>99</v>
      </c>
      <c r="F8" s="107" t="s">
        <v>99</v>
      </c>
      <c r="H8" s="107" t="s">
        <v>99</v>
      </c>
      <c r="I8" s="107"/>
    </row>
    <row r="9" spans="1:49" ht="20.25">
      <c r="A9" s="82" t="s">
        <v>55</v>
      </c>
      <c r="C9" s="114" t="s">
        <v>100</v>
      </c>
      <c r="D9" s="114" t="s">
        <v>100</v>
      </c>
      <c r="E9" s="114" t="s">
        <v>100</v>
      </c>
      <c r="F9" s="114" t="s">
        <v>100</v>
      </c>
      <c r="H9" s="114" t="s">
        <v>100</v>
      </c>
      <c r="I9" s="114"/>
    </row>
    <row r="10" spans="1:49" ht="20.25">
      <c r="A10" s="46" t="s">
        <v>28</v>
      </c>
      <c r="C10" s="107" t="s">
        <v>99</v>
      </c>
      <c r="D10" s="107" t="s">
        <v>99</v>
      </c>
      <c r="E10" s="107" t="s">
        <v>99</v>
      </c>
      <c r="F10" s="107" t="s">
        <v>99</v>
      </c>
      <c r="H10" s="107" t="s">
        <v>99</v>
      </c>
      <c r="I10" s="107"/>
    </row>
    <row r="11" spans="1:49" ht="20.25">
      <c r="A11" s="46" t="s">
        <v>56</v>
      </c>
      <c r="C11" s="114" t="s">
        <v>53</v>
      </c>
      <c r="D11" s="114" t="s">
        <v>53</v>
      </c>
      <c r="E11" s="114" t="s">
        <v>53</v>
      </c>
      <c r="F11" s="114" t="s">
        <v>53</v>
      </c>
      <c r="H11" s="114" t="s">
        <v>53</v>
      </c>
      <c r="I11" s="107"/>
    </row>
    <row r="12" spans="1:49" ht="20.25">
      <c r="A12" s="46" t="s">
        <v>22</v>
      </c>
      <c r="C12" s="107" t="s">
        <v>99</v>
      </c>
      <c r="D12" s="107" t="s">
        <v>99</v>
      </c>
      <c r="E12" s="107" t="s">
        <v>99</v>
      </c>
      <c r="F12" s="107" t="s">
        <v>99</v>
      </c>
      <c r="H12" s="107" t="s">
        <v>99</v>
      </c>
      <c r="I12" s="107"/>
    </row>
    <row r="13" spans="1:49" ht="20.25">
      <c r="A13" s="46" t="s">
        <v>23</v>
      </c>
      <c r="C13" s="114" t="s">
        <v>53</v>
      </c>
      <c r="D13" s="114" t="s">
        <v>53</v>
      </c>
      <c r="E13" s="114" t="s">
        <v>53</v>
      </c>
      <c r="F13" s="114" t="s">
        <v>53</v>
      </c>
      <c r="H13" s="114" t="s">
        <v>53</v>
      </c>
      <c r="I13" s="114"/>
    </row>
    <row r="14" spans="1:49" ht="20.25">
      <c r="A14" s="46" t="s">
        <v>24</v>
      </c>
      <c r="C14" s="107" t="s">
        <v>99</v>
      </c>
      <c r="D14" s="107" t="s">
        <v>99</v>
      </c>
      <c r="E14" s="107" t="s">
        <v>99</v>
      </c>
      <c r="F14" s="107" t="s">
        <v>99</v>
      </c>
      <c r="H14" s="107" t="s">
        <v>99</v>
      </c>
      <c r="I14" s="107"/>
    </row>
    <row r="15" spans="1:49" ht="20.25">
      <c r="A15" s="46" t="s">
        <v>57</v>
      </c>
      <c r="C15" s="107" t="s">
        <v>99</v>
      </c>
      <c r="D15" s="107" t="s">
        <v>99</v>
      </c>
      <c r="E15" s="107" t="s">
        <v>99</v>
      </c>
      <c r="F15" s="107" t="s">
        <v>99</v>
      </c>
      <c r="H15" s="107" t="s">
        <v>99</v>
      </c>
      <c r="I15" s="107"/>
    </row>
    <row r="16" spans="1:49" ht="20.25">
      <c r="A16" s="46" t="s">
        <v>58</v>
      </c>
      <c r="C16" s="114" t="s">
        <v>53</v>
      </c>
      <c r="D16" s="114" t="s">
        <v>53</v>
      </c>
      <c r="E16" s="107" t="s">
        <v>99</v>
      </c>
      <c r="F16" s="107" t="s">
        <v>99</v>
      </c>
      <c r="H16" s="107" t="s">
        <v>99</v>
      </c>
      <c r="I16" s="107"/>
    </row>
    <row r="17" spans="1:134" ht="20.25">
      <c r="A17" s="46" t="s">
        <v>59</v>
      </c>
      <c r="C17" s="107" t="s">
        <v>99</v>
      </c>
      <c r="D17" s="150" t="s">
        <v>126</v>
      </c>
      <c r="E17" s="150" t="s">
        <v>126</v>
      </c>
      <c r="F17" s="150" t="s">
        <v>126</v>
      </c>
      <c r="H17" s="150" t="s">
        <v>126</v>
      </c>
      <c r="I17" s="107"/>
    </row>
    <row r="18" spans="1:134" ht="20.25">
      <c r="A18" s="46" t="s">
        <v>25</v>
      </c>
      <c r="C18" s="114" t="s">
        <v>53</v>
      </c>
      <c r="D18" s="114" t="s">
        <v>53</v>
      </c>
      <c r="E18" s="114" t="s">
        <v>53</v>
      </c>
      <c r="F18" s="114" t="s">
        <v>53</v>
      </c>
      <c r="H18" s="114" t="s">
        <v>53</v>
      </c>
      <c r="I18" s="107"/>
    </row>
    <row r="19" spans="1:134" ht="20.25">
      <c r="A19" s="46" t="s">
        <v>60</v>
      </c>
      <c r="C19" s="107" t="s">
        <v>99</v>
      </c>
      <c r="D19" s="107" t="s">
        <v>99</v>
      </c>
      <c r="E19" s="107" t="s">
        <v>99</v>
      </c>
      <c r="F19" s="107" t="s">
        <v>99</v>
      </c>
      <c r="H19" s="107" t="s">
        <v>99</v>
      </c>
      <c r="I19" s="114"/>
    </row>
    <row r="20" spans="1:134" ht="20.25">
      <c r="A20" s="46" t="s">
        <v>94</v>
      </c>
      <c r="C20" s="107" t="s">
        <v>99</v>
      </c>
      <c r="D20" s="107" t="s">
        <v>99</v>
      </c>
      <c r="E20" s="150" t="s">
        <v>126</v>
      </c>
      <c r="F20" s="107" t="s">
        <v>99</v>
      </c>
      <c r="H20" s="107" t="s">
        <v>99</v>
      </c>
      <c r="I20" s="107"/>
    </row>
    <row r="21" spans="1:134" ht="20.25">
      <c r="A21" s="46" t="s">
        <v>26</v>
      </c>
      <c r="C21" s="114" t="s">
        <v>53</v>
      </c>
      <c r="D21" s="114" t="s">
        <v>53</v>
      </c>
      <c r="E21" s="114" t="s">
        <v>53</v>
      </c>
      <c r="F21" s="114" t="s">
        <v>53</v>
      </c>
      <c r="H21" s="114" t="s">
        <v>53</v>
      </c>
      <c r="I21" s="107"/>
    </row>
    <row r="22" spans="1:134" ht="20.25">
      <c r="A22" s="46" t="s">
        <v>61</v>
      </c>
      <c r="C22" s="107" t="s">
        <v>99</v>
      </c>
      <c r="D22" s="107" t="s">
        <v>99</v>
      </c>
      <c r="E22" s="107" t="s">
        <v>99</v>
      </c>
      <c r="F22" s="107" t="s">
        <v>99</v>
      </c>
      <c r="H22" s="107" t="s">
        <v>99</v>
      </c>
      <c r="I22" s="107"/>
    </row>
    <row r="23" spans="1:134" ht="20.25">
      <c r="A23" s="46" t="s">
        <v>67</v>
      </c>
      <c r="C23" s="114" t="s">
        <v>53</v>
      </c>
      <c r="D23" s="114" t="s">
        <v>53</v>
      </c>
      <c r="E23" s="114" t="s">
        <v>53</v>
      </c>
      <c r="F23" s="114" t="s">
        <v>53</v>
      </c>
      <c r="H23" s="114" t="s">
        <v>53</v>
      </c>
      <c r="I23" s="107"/>
    </row>
    <row r="24" spans="1:134" ht="20.25">
      <c r="A24" s="46" t="s">
        <v>49</v>
      </c>
      <c r="C24" s="107" t="s">
        <v>99</v>
      </c>
      <c r="D24" s="107" t="s">
        <v>99</v>
      </c>
      <c r="E24" s="107" t="s">
        <v>99</v>
      </c>
      <c r="F24" s="107" t="s">
        <v>99</v>
      </c>
      <c r="H24" s="107" t="s">
        <v>99</v>
      </c>
      <c r="I24" s="107"/>
    </row>
    <row r="25" spans="1:134" ht="20.25">
      <c r="A25" s="46" t="s">
        <v>88</v>
      </c>
      <c r="C25" s="107" t="s">
        <v>99</v>
      </c>
      <c r="D25" s="107" t="s">
        <v>99</v>
      </c>
      <c r="E25" s="150" t="s">
        <v>126</v>
      </c>
      <c r="F25" s="107" t="s">
        <v>99</v>
      </c>
      <c r="H25" s="107" t="s">
        <v>99</v>
      </c>
      <c r="I25" s="107"/>
    </row>
    <row r="26" spans="1:134" ht="20.25">
      <c r="A26" s="46" t="s">
        <v>62</v>
      </c>
      <c r="C26" s="107" t="s">
        <v>99</v>
      </c>
      <c r="D26" s="107" t="s">
        <v>99</v>
      </c>
      <c r="E26" s="107" t="s">
        <v>99</v>
      </c>
      <c r="F26" s="107" t="s">
        <v>99</v>
      </c>
      <c r="H26" s="107" t="s">
        <v>99</v>
      </c>
      <c r="I26" s="114"/>
    </row>
    <row r="27" spans="1:134" s="16" customFormat="1" ht="15.75">
      <c r="A27" s="15" t="s">
        <v>18</v>
      </c>
      <c r="B27"/>
      <c r="C27" s="103">
        <f t="shared" ref="C27:E27" si="0">COUNTIF(C6:C26,"sim")</f>
        <v>14</v>
      </c>
      <c r="D27" s="103">
        <f t="shared" si="0"/>
        <v>13</v>
      </c>
      <c r="E27" s="103">
        <f t="shared" si="0"/>
        <v>11</v>
      </c>
      <c r="F27" s="103">
        <f t="shared" ref="F27" si="1">COUNTIF(F6:F26,"sim")</f>
        <v>14</v>
      </c>
      <c r="G27"/>
      <c r="H27" s="103">
        <f t="shared" ref="H27:I27" si="2">COUNTIF(H6:H26,"sim")</f>
        <v>14</v>
      </c>
      <c r="I27" s="103">
        <f t="shared" si="2"/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</row>
    <row r="28" spans="1:134" s="18" customFormat="1" ht="15.75">
      <c r="A28" s="17" t="s">
        <v>19</v>
      </c>
      <c r="B28"/>
      <c r="C28" s="104">
        <f t="shared" ref="C28:E28" si="3">COUNTIF(C6:C26,"não")</f>
        <v>0</v>
      </c>
      <c r="D28" s="104">
        <f t="shared" si="3"/>
        <v>1</v>
      </c>
      <c r="E28" s="104">
        <f t="shared" si="3"/>
        <v>4</v>
      </c>
      <c r="F28" s="104">
        <f t="shared" ref="F28" si="4">COUNTIF(F6:F26,"não")</f>
        <v>1</v>
      </c>
      <c r="G28"/>
      <c r="H28" s="104">
        <f t="shared" ref="H28:I28" si="5">COUNTIF(H6:H26,"não")</f>
        <v>1</v>
      </c>
      <c r="I28" s="104">
        <f t="shared" si="5"/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</row>
    <row r="29" spans="1:134" ht="15.75">
      <c r="A29" s="14" t="s">
        <v>11</v>
      </c>
      <c r="C29" s="40">
        <f t="shared" ref="C29:E29" si="6">COUNTIF(C6:C26,"ausente")</f>
        <v>6</v>
      </c>
      <c r="D29" s="40">
        <f t="shared" si="6"/>
        <v>6</v>
      </c>
      <c r="E29" s="40">
        <f t="shared" si="6"/>
        <v>5</v>
      </c>
      <c r="F29" s="40">
        <f t="shared" ref="F29" si="7">COUNTIF(F6:F26,"ausente")</f>
        <v>5</v>
      </c>
      <c r="H29" s="40">
        <f t="shared" ref="H29:I29" si="8">COUNTIF(H6:H26,"ausente")</f>
        <v>5</v>
      </c>
      <c r="I29" s="40">
        <f t="shared" si="8"/>
        <v>0</v>
      </c>
    </row>
    <row r="30" spans="1:134" s="20" customFormat="1" ht="15.75">
      <c r="A30" s="19" t="s">
        <v>20</v>
      </c>
      <c r="B30"/>
      <c r="C30" s="105">
        <f t="shared" ref="C30:E30" si="9">COUNTIF(C6:C26,"abstenção")</f>
        <v>0</v>
      </c>
      <c r="D30" s="105">
        <f t="shared" si="9"/>
        <v>0</v>
      </c>
      <c r="E30" s="105">
        <f t="shared" si="9"/>
        <v>0</v>
      </c>
      <c r="F30" s="105">
        <f t="shared" ref="F30" si="10">COUNTIF(F6:F26,"abstenção")</f>
        <v>0</v>
      </c>
      <c r="G30"/>
      <c r="H30" s="105">
        <f t="shared" ref="H30:I30" si="11">COUNTIF(H6:H26,"abstenção")</f>
        <v>0</v>
      </c>
      <c r="I30" s="105">
        <f t="shared" si="11"/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</row>
    <row r="31" spans="1:134" s="20" customFormat="1" ht="15.75">
      <c r="A31" s="19"/>
      <c r="B31"/>
      <c r="C31" s="105"/>
      <c r="D31" s="105"/>
      <c r="E31" s="105"/>
      <c r="F31" s="105"/>
      <c r="G31"/>
      <c r="H31" s="105"/>
      <c r="I31" s="105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4" sqref="F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129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 t="s">
        <v>103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14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14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14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14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14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14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I6" sqref="I6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104</v>
      </c>
      <c r="B2" s="2"/>
    </row>
    <row r="3" spans="1:4" ht="15.75" thickBot="1">
      <c r="A3" s="121" t="s">
        <v>105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130</v>
      </c>
      <c r="D4" s="139" t="s">
        <v>131</v>
      </c>
    </row>
    <row r="5" spans="1:4" s="6" customFormat="1" ht="60.75" customHeight="1">
      <c r="A5" s="122"/>
      <c r="B5" s="111"/>
      <c r="C5" s="144" t="s">
        <v>98</v>
      </c>
      <c r="D5" s="144" t="s">
        <v>98</v>
      </c>
    </row>
    <row r="6" spans="1:4" ht="15.75">
      <c r="A6" s="127" t="s">
        <v>51</v>
      </c>
      <c r="C6" s="107" t="s">
        <v>99</v>
      </c>
      <c r="D6" s="107" t="s">
        <v>99</v>
      </c>
    </row>
    <row r="7" spans="1:4" ht="15.75">
      <c r="A7" s="127" t="s">
        <v>66</v>
      </c>
      <c r="C7" s="107" t="s">
        <v>99</v>
      </c>
      <c r="D7" s="107" t="s">
        <v>99</v>
      </c>
    </row>
    <row r="8" spans="1:4" ht="15.75">
      <c r="A8" s="127" t="s">
        <v>54</v>
      </c>
      <c r="C8" s="107" t="s">
        <v>99</v>
      </c>
      <c r="D8" s="107" t="s">
        <v>99</v>
      </c>
    </row>
    <row r="9" spans="1:4" ht="15.75">
      <c r="A9" s="128" t="s">
        <v>55</v>
      </c>
      <c r="C9" s="107" t="s">
        <v>99</v>
      </c>
      <c r="D9" s="107" t="s">
        <v>99</v>
      </c>
    </row>
    <row r="10" spans="1:4" ht="15.75">
      <c r="A10" s="127" t="s">
        <v>28</v>
      </c>
      <c r="C10" s="114" t="s">
        <v>53</v>
      </c>
      <c r="D10" s="114" t="s">
        <v>53</v>
      </c>
    </row>
    <row r="11" spans="1:4" ht="15.75">
      <c r="A11" s="127" t="s">
        <v>56</v>
      </c>
      <c r="C11" s="114" t="s">
        <v>53</v>
      </c>
      <c r="D11" s="114" t="s">
        <v>53</v>
      </c>
    </row>
    <row r="12" spans="1:4" ht="15.75">
      <c r="A12" s="127" t="s">
        <v>22</v>
      </c>
      <c r="C12" s="107" t="s">
        <v>99</v>
      </c>
      <c r="D12" s="107" t="s">
        <v>99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99</v>
      </c>
      <c r="D14" s="107" t="s">
        <v>99</v>
      </c>
    </row>
    <row r="15" spans="1:4" ht="15.75">
      <c r="A15" s="127" t="s">
        <v>57</v>
      </c>
      <c r="C15" s="107" t="s">
        <v>99</v>
      </c>
      <c r="D15" s="107" t="s">
        <v>99</v>
      </c>
    </row>
    <row r="16" spans="1:4" ht="15.75">
      <c r="A16" s="127" t="s">
        <v>58</v>
      </c>
      <c r="C16" s="107" t="s">
        <v>99</v>
      </c>
      <c r="D16" s="107" t="s">
        <v>99</v>
      </c>
    </row>
    <row r="17" spans="1:4" ht="15.75">
      <c r="A17" s="127" t="s">
        <v>59</v>
      </c>
      <c r="C17" s="107" t="s">
        <v>99</v>
      </c>
      <c r="D17" s="107" t="s">
        <v>99</v>
      </c>
    </row>
    <row r="18" spans="1:4" ht="15.75">
      <c r="A18" s="127" t="s">
        <v>25</v>
      </c>
      <c r="C18" s="114" t="s">
        <v>53</v>
      </c>
      <c r="D18" s="114" t="s">
        <v>53</v>
      </c>
    </row>
    <row r="19" spans="1:4" ht="15.75">
      <c r="A19" s="127" t="s">
        <v>60</v>
      </c>
      <c r="C19" s="107" t="s">
        <v>99</v>
      </c>
      <c r="D19" s="107" t="s">
        <v>99</v>
      </c>
    </row>
    <row r="20" spans="1:4" ht="15.75">
      <c r="A20" s="127" t="s">
        <v>94</v>
      </c>
      <c r="C20" s="107" t="s">
        <v>99</v>
      </c>
      <c r="D20" s="107" t="s">
        <v>99</v>
      </c>
    </row>
    <row r="21" spans="1:4" ht="15.75">
      <c r="A21" s="127" t="s">
        <v>26</v>
      </c>
      <c r="C21" s="114" t="s">
        <v>53</v>
      </c>
      <c r="D21" s="114" t="s">
        <v>53</v>
      </c>
    </row>
    <row r="22" spans="1:4" ht="15.75">
      <c r="A22" s="127" t="s">
        <v>61</v>
      </c>
      <c r="C22" s="107" t="s">
        <v>99</v>
      </c>
      <c r="D22" s="107" t="s">
        <v>99</v>
      </c>
    </row>
    <row r="23" spans="1:4" ht="15.75">
      <c r="A23" s="127" t="s">
        <v>67</v>
      </c>
      <c r="C23" s="114" t="s">
        <v>53</v>
      </c>
      <c r="D23" s="114" t="s">
        <v>53</v>
      </c>
    </row>
    <row r="24" spans="1:4" ht="15.75">
      <c r="A24" s="127" t="s">
        <v>49</v>
      </c>
      <c r="C24" s="107" t="s">
        <v>99</v>
      </c>
      <c r="D24" s="107" t="s">
        <v>99</v>
      </c>
    </row>
    <row r="25" spans="1:4" ht="15.75">
      <c r="A25" s="127" t="s">
        <v>88</v>
      </c>
      <c r="C25" s="107" t="s">
        <v>99</v>
      </c>
      <c r="D25" s="107" t="s">
        <v>99</v>
      </c>
    </row>
    <row r="26" spans="1:4" ht="15.75">
      <c r="A26" s="127" t="s">
        <v>62</v>
      </c>
      <c r="C26" s="107" t="s">
        <v>99</v>
      </c>
      <c r="D26" s="107" t="s">
        <v>99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15</v>
      </c>
      <c r="D28" s="103">
        <f t="shared" si="0"/>
        <v>15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6</v>
      </c>
      <c r="D30" s="40">
        <f t="shared" si="2"/>
        <v>6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104</v>
      </c>
      <c r="B2" s="2"/>
      <c r="C2" s="54"/>
      <c r="D2" s="54"/>
      <c r="E2" s="54"/>
    </row>
    <row r="3" spans="1:10" ht="15.75" thickBot="1">
      <c r="A3" s="121" t="s">
        <v>105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14" sqref="C14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2026-03-06T21:31:31Z</dcterms:modified>
</cp:coreProperties>
</file>