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551AAB77-357C-4DCD-8E17-AC9ADDA1B860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PRIMEIR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7" i="2" l="1"/>
  <c r="G28" i="2" s="1"/>
  <c r="G29" i="2" l="1"/>
  <c r="G30" i="2"/>
  <c r="J6" i="7"/>
  <c r="L6" i="7"/>
  <c r="N6" i="7"/>
  <c r="P6" i="7"/>
  <c r="J7" i="7"/>
  <c r="L7" i="7"/>
  <c r="N7" i="7"/>
  <c r="P7" i="7"/>
  <c r="J8" i="7"/>
  <c r="L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H27" i="2" l="1"/>
  <c r="H28" i="2" s="1"/>
  <c r="E27" i="2"/>
  <c r="E28" i="2" s="1"/>
  <c r="E29" i="2" s="1"/>
  <c r="F27" i="2"/>
  <c r="F28" i="2" s="1"/>
  <c r="F29" i="2" s="1"/>
  <c r="I27" i="2"/>
  <c r="I28" i="2" s="1"/>
  <c r="I29" i="2" s="1"/>
  <c r="I30" i="2" s="1"/>
  <c r="H29" i="2" l="1"/>
  <c r="H30" i="2" s="1"/>
  <c r="F30" i="2"/>
  <c r="E30" i="2"/>
  <c r="J27" i="2"/>
  <c r="J28" i="2" s="1"/>
  <c r="J30" i="2" l="1"/>
  <c r="G5" i="7" l="1"/>
  <c r="K27" i="2" l="1"/>
  <c r="K28" i="2" s="1"/>
  <c r="K30" i="2" l="1"/>
  <c r="R27" i="2" l="1"/>
  <c r="R28" i="2" s="1"/>
  <c r="R29" i="2" l="1"/>
  <c r="R30" i="2" s="1"/>
  <c r="L27" i="2" l="1"/>
  <c r="M27" i="2"/>
  <c r="N27" i="2"/>
  <c r="O27" i="2"/>
  <c r="P27" i="2"/>
  <c r="P28" i="2" s="1"/>
  <c r="Q27" i="2"/>
  <c r="S27" i="2"/>
  <c r="T27" i="2"/>
  <c r="U27" i="2"/>
  <c r="V27" i="2"/>
  <c r="V28" i="2" s="1"/>
  <c r="W27" i="2"/>
  <c r="X27" i="2"/>
  <c r="Y27" i="2"/>
  <c r="Z27" i="2"/>
  <c r="Z28" i="2" s="1"/>
  <c r="Z29" i="2" s="1"/>
  <c r="AA27" i="2"/>
  <c r="AB27" i="2"/>
  <c r="AC27" i="2"/>
  <c r="AC28" i="2" s="1"/>
  <c r="AD27" i="2"/>
  <c r="AE27" i="2"/>
  <c r="AF27" i="2"/>
  <c r="AG27" i="2"/>
  <c r="AG28" i="2" s="1"/>
  <c r="AH27" i="2"/>
  <c r="AH28" i="2" s="1"/>
  <c r="AH29" i="2" s="1"/>
  <c r="AI27" i="2"/>
  <c r="AI28" i="2" s="1"/>
  <c r="AJ27" i="2"/>
  <c r="AK27" i="2"/>
  <c r="AK28" i="2" s="1"/>
  <c r="AL27" i="2"/>
  <c r="AM27" i="2"/>
  <c r="AN27" i="2"/>
  <c r="AO27" i="2"/>
  <c r="AP27" i="2"/>
  <c r="AP28" i="2" s="1"/>
  <c r="AP29" i="2" s="1"/>
  <c r="AQ27" i="2"/>
  <c r="AR27" i="2"/>
  <c r="AS27" i="2"/>
  <c r="AS28" i="2" s="1"/>
  <c r="AT27" i="2"/>
  <c r="AT28" i="2" s="1"/>
  <c r="AU27" i="2"/>
  <c r="AU28" i="2" s="1"/>
  <c r="AU29" i="2" s="1"/>
  <c r="AU30" i="2" s="1"/>
  <c r="AV27" i="2"/>
  <c r="AW27" i="2"/>
  <c r="AW28" i="2" s="1"/>
  <c r="AX27" i="2"/>
  <c r="AY27" i="2"/>
  <c r="AZ27" i="2"/>
  <c r="BA27" i="2"/>
  <c r="BA28" i="2" s="1"/>
  <c r="BB27" i="2"/>
  <c r="BB28" i="2" s="1"/>
  <c r="BB29" i="2" s="1"/>
  <c r="BC27" i="2"/>
  <c r="BD27" i="2"/>
  <c r="BE27" i="2"/>
  <c r="BF27" i="2"/>
  <c r="BF28" i="2" s="1"/>
  <c r="BG27" i="2"/>
  <c r="BH27" i="2"/>
  <c r="BI27" i="2"/>
  <c r="BI28" i="2" s="1"/>
  <c r="BJ27" i="2"/>
  <c r="BJ28" i="2" s="1"/>
  <c r="BK27" i="2"/>
  <c r="BL27" i="2"/>
  <c r="BM27" i="2"/>
  <c r="BM28" i="2" s="1"/>
  <c r="BN27" i="2"/>
  <c r="BN28" i="2" s="1"/>
  <c r="BN29" i="2" s="1"/>
  <c r="BO27" i="2"/>
  <c r="BO28" i="2" s="1"/>
  <c r="BP27" i="2"/>
  <c r="BQ27" i="2"/>
  <c r="BR27" i="2"/>
  <c r="BR28" i="2" s="1"/>
  <c r="BS27" i="2"/>
  <c r="BT27" i="2"/>
  <c r="BU27" i="2"/>
  <c r="BV27" i="2"/>
  <c r="BV28" i="2" s="1"/>
  <c r="BW27" i="2"/>
  <c r="BW28" i="2" s="1"/>
  <c r="BX27" i="2"/>
  <c r="BY27" i="2"/>
  <c r="BY28" i="2" s="1"/>
  <c r="BZ27" i="2"/>
  <c r="BZ28" i="2" s="1"/>
  <c r="BZ29" i="2" s="1"/>
  <c r="CA27" i="2"/>
  <c r="CA28" i="2" s="1"/>
  <c r="CB27" i="2"/>
  <c r="CC27" i="2"/>
  <c r="CC28" i="2" s="1"/>
  <c r="CD27" i="2"/>
  <c r="CD28" i="2" s="1"/>
  <c r="CE27" i="2"/>
  <c r="CF27" i="2"/>
  <c r="CG27" i="2"/>
  <c r="CH27" i="2"/>
  <c r="CH28" i="2" s="1"/>
  <c r="CI27" i="2"/>
  <c r="CJ27" i="2"/>
  <c r="CK27" i="2"/>
  <c r="CL27" i="2"/>
  <c r="CL28" i="2" s="1"/>
  <c r="CL29" i="2" s="1"/>
  <c r="CM27" i="2"/>
  <c r="CN27" i="2"/>
  <c r="CO27" i="2"/>
  <c r="CO28" i="2" s="1"/>
  <c r="CP27" i="2"/>
  <c r="CQ27" i="2"/>
  <c r="CR27" i="2"/>
  <c r="CS27" i="2"/>
  <c r="CS28" i="2" s="1"/>
  <c r="CT27" i="2"/>
  <c r="CT28" i="2" s="1"/>
  <c r="CT29" i="2" s="1"/>
  <c r="CU27" i="2"/>
  <c r="CV27" i="2"/>
  <c r="CW27" i="2"/>
  <c r="CW28" i="2" s="1"/>
  <c r="CX27" i="2"/>
  <c r="CX28" i="2" s="1"/>
  <c r="CY27" i="2"/>
  <c r="CY28" i="2" s="1"/>
  <c r="CZ27" i="2"/>
  <c r="DA27" i="2"/>
  <c r="DB27" i="2"/>
  <c r="DB28" i="2" s="1"/>
  <c r="DB29" i="2" s="1"/>
  <c r="DB30" i="2" s="1"/>
  <c r="DC27" i="2"/>
  <c r="DD27" i="2"/>
  <c r="DE27" i="2"/>
  <c r="DE28" i="2" s="1"/>
  <c r="DF27" i="2"/>
  <c r="DF28" i="2" s="1"/>
  <c r="DG27" i="2"/>
  <c r="DH27" i="2"/>
  <c r="DI27" i="2"/>
  <c r="DI28" i="2" s="1"/>
  <c r="DJ27" i="2"/>
  <c r="DK27" i="2"/>
  <c r="DL27" i="2"/>
  <c r="DM27" i="2"/>
  <c r="DN27" i="2"/>
  <c r="DN28" i="2" s="1"/>
  <c r="DO27" i="2"/>
  <c r="DP27" i="2"/>
  <c r="DQ27" i="2"/>
  <c r="DR27" i="2"/>
  <c r="DR28" i="2" s="1"/>
  <c r="DR29" i="2" s="1"/>
  <c r="DS27" i="2"/>
  <c r="DS28" i="2" s="1"/>
  <c r="DT27" i="2"/>
  <c r="DU27" i="2"/>
  <c r="DV27" i="2"/>
  <c r="DV28" i="2" s="1"/>
  <c r="DW27" i="2"/>
  <c r="DX27" i="2"/>
  <c r="DY27" i="2"/>
  <c r="DY28" i="2" s="1"/>
  <c r="DZ27" i="2"/>
  <c r="EA27" i="2"/>
  <c r="EB27" i="2"/>
  <c r="EC27" i="2"/>
  <c r="AL28" i="2"/>
  <c r="AL29" i="2" s="1"/>
  <c r="CA29" i="2" l="1"/>
  <c r="CA30" i="2" s="1"/>
  <c r="AT29" i="2"/>
  <c r="AT30" i="2" s="1"/>
  <c r="BJ29" i="2"/>
  <c r="BJ30" i="2" s="1"/>
  <c r="DF29" i="2"/>
  <c r="DF30" i="2" s="1"/>
  <c r="DZ28" i="2"/>
  <c r="DZ29" i="2" s="1"/>
  <c r="P29" i="2"/>
  <c r="P30" i="2" s="1"/>
  <c r="DO28" i="2"/>
  <c r="DO29" i="2" s="1"/>
  <c r="DO30" i="2" s="1"/>
  <c r="CY29" i="2"/>
  <c r="CY30" i="2" s="1"/>
  <c r="CM28" i="2"/>
  <c r="BC28" i="2"/>
  <c r="BC29" i="2" s="1"/>
  <c r="BC30" i="2" s="1"/>
  <c r="AQ28" i="2"/>
  <c r="AQ29" i="2" s="1"/>
  <c r="AQ30" i="2" s="1"/>
  <c r="AE28" i="2"/>
  <c r="AE29" i="2" s="1"/>
  <c r="AE30" i="2" s="1"/>
  <c r="W28" i="2"/>
  <c r="W29" i="2" s="1"/>
  <c r="W30" i="2" s="1"/>
  <c r="S28" i="2"/>
  <c r="S29" i="2" s="1"/>
  <c r="S30" i="2" s="1"/>
  <c r="L28" i="2"/>
  <c r="L30" i="2" s="1"/>
  <c r="EA28" i="2"/>
  <c r="EA29" i="2" s="1"/>
  <c r="EA30" i="2" s="1"/>
  <c r="DV29" i="2"/>
  <c r="DV30" i="2" s="1"/>
  <c r="CD29" i="2"/>
  <c r="CD30" i="2" s="1"/>
  <c r="DW28" i="2"/>
  <c r="DW29" i="2" s="1"/>
  <c r="DW30" i="2" s="1"/>
  <c r="CU28" i="2"/>
  <c r="CI28" i="2"/>
  <c r="CI29" i="2" s="1"/>
  <c r="CI30" i="2" s="1"/>
  <c r="CE28" i="2"/>
  <c r="CE29" i="2" s="1"/>
  <c r="CE30" i="2" s="1"/>
  <c r="BS28" i="2"/>
  <c r="BS29" i="2" s="1"/>
  <c r="BS30" i="2" s="1"/>
  <c r="BG28" i="2"/>
  <c r="BG29" i="2" s="1"/>
  <c r="BO29" i="2"/>
  <c r="BO30" i="2" s="1"/>
  <c r="AI29" i="2"/>
  <c r="AI30" i="2" s="1"/>
  <c r="DG28" i="2"/>
  <c r="DG29" i="2" s="1"/>
  <c r="DK28" i="2"/>
  <c r="DC28" i="2"/>
  <c r="CQ28" i="2"/>
  <c r="CQ29" i="2" s="1"/>
  <c r="BW29" i="2"/>
  <c r="BW30" i="2" s="1"/>
  <c r="BK28" i="2"/>
  <c r="BK29" i="2" s="1"/>
  <c r="BK30" i="2" s="1"/>
  <c r="AY28" i="2"/>
  <c r="AY29" i="2" s="1"/>
  <c r="AY30" i="2" s="1"/>
  <c r="AA28" i="2"/>
  <c r="AA29" i="2" s="1"/>
  <c r="AA30" i="2" s="1"/>
  <c r="M28" i="2"/>
  <c r="M30" i="2" s="1"/>
  <c r="DS29" i="2"/>
  <c r="DS30" i="2" s="1"/>
  <c r="AM28" i="2"/>
  <c r="AM29" i="2" s="1"/>
  <c r="AM30" i="2" s="1"/>
  <c r="DJ28" i="2"/>
  <c r="DJ29" i="2" s="1"/>
  <c r="DJ30" i="2" s="1"/>
  <c r="AD28" i="2"/>
  <c r="AD29" i="2" s="1"/>
  <c r="AD30" i="2" s="1"/>
  <c r="CP28" i="2"/>
  <c r="CP29" i="2" s="1"/>
  <c r="AX28" i="2"/>
  <c r="AX29" i="2" s="1"/>
  <c r="AX30" i="2" s="1"/>
  <c r="CT30" i="2"/>
  <c r="CS29" i="2"/>
  <c r="CS30" i="2" s="1"/>
  <c r="CC29" i="2"/>
  <c r="CC30" i="2" s="1"/>
  <c r="BM29" i="2"/>
  <c r="BM30" i="2" s="1"/>
  <c r="AW29" i="2"/>
  <c r="AW30" i="2" s="1"/>
  <c r="AG29" i="2"/>
  <c r="AG30" i="2" s="1"/>
  <c r="DN29" i="2"/>
  <c r="DN30" i="2" s="1"/>
  <c r="CX29" i="2"/>
  <c r="CX30" i="2" s="1"/>
  <c r="CH29" i="2"/>
  <c r="CH30" i="2" s="1"/>
  <c r="BR29" i="2"/>
  <c r="BR30" i="2" s="1"/>
  <c r="V29" i="2"/>
  <c r="V30" i="2" s="1"/>
  <c r="EC28" i="2"/>
  <c r="EC29" i="2" s="1"/>
  <c r="EC30" i="2" s="1"/>
  <c r="DM28" i="2"/>
  <c r="DM29" i="2" s="1"/>
  <c r="DX28" i="2"/>
  <c r="DX29" i="2" s="1"/>
  <c r="DP28" i="2"/>
  <c r="DP29" i="2" s="1"/>
  <c r="DH28" i="2"/>
  <c r="DH29" i="2" s="1"/>
  <c r="DH30" i="2" s="1"/>
  <c r="CZ28" i="2"/>
  <c r="CZ29" i="2" s="1"/>
  <c r="CR28" i="2"/>
  <c r="CR29" i="2" s="1"/>
  <c r="CJ28" i="2"/>
  <c r="CJ29" i="2" s="1"/>
  <c r="CB28" i="2"/>
  <c r="CB29" i="2" s="1"/>
  <c r="BT28" i="2"/>
  <c r="BT29" i="2" s="1"/>
  <c r="BL28" i="2"/>
  <c r="BL29" i="2" s="1"/>
  <c r="BD28" i="2"/>
  <c r="BD29" i="2" s="1"/>
  <c r="AV28" i="2"/>
  <c r="AV29" i="2" s="1"/>
  <c r="AN28" i="2"/>
  <c r="AN29" i="2" s="1"/>
  <c r="AF28" i="2"/>
  <c r="AF29" i="2" s="1"/>
  <c r="X28" i="2"/>
  <c r="X29" i="2" s="1"/>
  <c r="Q28" i="2"/>
  <c r="Q29" i="2" s="1"/>
  <c r="DR30" i="2"/>
  <c r="BV29" i="2"/>
  <c r="BV30" i="2" s="1"/>
  <c r="BF29" i="2"/>
  <c r="BF30" i="2" s="1"/>
  <c r="DU28" i="2"/>
  <c r="DU29" i="2" s="1"/>
  <c r="BN30" i="2"/>
  <c r="AH30" i="2"/>
  <c r="O28" i="2"/>
  <c r="O29" i="2" s="1"/>
  <c r="BB30" i="2"/>
  <c r="AL30" i="2"/>
  <c r="DY29" i="2"/>
  <c r="DY30" i="2" s="1"/>
  <c r="DI29" i="2"/>
  <c r="DI30" i="2" s="1"/>
  <c r="DE29" i="2"/>
  <c r="DE30" i="2" s="1"/>
  <c r="CW29" i="2"/>
  <c r="CW30" i="2" s="1"/>
  <c r="CO29" i="2"/>
  <c r="CO30" i="2" s="1"/>
  <c r="BY29" i="2"/>
  <c r="BY30" i="2" s="1"/>
  <c r="BI29" i="2"/>
  <c r="BI30" i="2" s="1"/>
  <c r="BA29" i="2"/>
  <c r="BA30" i="2" s="1"/>
  <c r="AS29" i="2"/>
  <c r="AS30" i="2" s="1"/>
  <c r="AK29" i="2"/>
  <c r="AK30" i="2" s="1"/>
  <c r="AC29" i="2"/>
  <c r="AC30" i="2" s="1"/>
  <c r="CL30" i="2"/>
  <c r="CG28" i="2"/>
  <c r="CG29" i="2" s="1"/>
  <c r="BQ28" i="2"/>
  <c r="BQ29" i="2" s="1"/>
  <c r="AP30" i="2"/>
  <c r="Z30" i="2"/>
  <c r="U28" i="2"/>
  <c r="U29" i="2" s="1"/>
  <c r="EB28" i="2"/>
  <c r="EB29" i="2" s="1"/>
  <c r="DT28" i="2"/>
  <c r="DT29" i="2" s="1"/>
  <c r="DL28" i="2"/>
  <c r="DL29" i="2" s="1"/>
  <c r="DD28" i="2"/>
  <c r="DD29" i="2" s="1"/>
  <c r="CV28" i="2"/>
  <c r="CV29" i="2" s="1"/>
  <c r="CN28" i="2"/>
  <c r="CN29" i="2" s="1"/>
  <c r="CN30" i="2" s="1"/>
  <c r="CF28" i="2"/>
  <c r="CF29" i="2" s="1"/>
  <c r="CF30" i="2" s="1"/>
  <c r="BX28" i="2"/>
  <c r="BX29" i="2" s="1"/>
  <c r="BP28" i="2"/>
  <c r="BP29" i="2" s="1"/>
  <c r="BH28" i="2"/>
  <c r="BH29" i="2" s="1"/>
  <c r="BH30" i="2" s="1"/>
  <c r="AZ28" i="2"/>
  <c r="AR28" i="2"/>
  <c r="AJ28" i="2"/>
  <c r="AJ29" i="2" s="1"/>
  <c r="AB28" i="2"/>
  <c r="AB29" i="2" s="1"/>
  <c r="AB30" i="2" s="1"/>
  <c r="T28" i="2"/>
  <c r="T29" i="2" s="1"/>
  <c r="T30" i="2" s="1"/>
  <c r="N28" i="2"/>
  <c r="N29" i="2" s="1"/>
  <c r="DQ28" i="2"/>
  <c r="DQ29" i="2" s="1"/>
  <c r="DQ30" i="2" s="1"/>
  <c r="DA28" i="2"/>
  <c r="DA29" i="2" s="1"/>
  <c r="DA30" i="2" s="1"/>
  <c r="CK28" i="2"/>
  <c r="CK29" i="2" s="1"/>
  <c r="BZ30" i="2"/>
  <c r="BU28" i="2"/>
  <c r="BU29" i="2" s="1"/>
  <c r="BE28" i="2"/>
  <c r="BE29" i="2" s="1"/>
  <c r="AO28" i="2"/>
  <c r="AO29" i="2" s="1"/>
  <c r="Y28" i="2"/>
  <c r="Y29" i="2" s="1"/>
  <c r="BG30" i="2" l="1"/>
  <c r="DZ30" i="2"/>
  <c r="BU30" i="2"/>
  <c r="AR29" i="2"/>
  <c r="AR30" i="2" s="1"/>
  <c r="AJ30" i="2"/>
  <c r="BQ30" i="2"/>
  <c r="AO30" i="2"/>
  <c r="CU29" i="2"/>
  <c r="CU30" i="2" s="1"/>
  <c r="BX30" i="2"/>
  <c r="DD30" i="2"/>
  <c r="CR30" i="2"/>
  <c r="CP30" i="2"/>
  <c r="CQ30" i="2"/>
  <c r="DK29" i="2"/>
  <c r="DK30" i="2" s="1"/>
  <c r="DG30" i="2"/>
  <c r="BP30" i="2"/>
  <c r="AZ29" i="2"/>
  <c r="AZ30" i="2" s="1"/>
  <c r="CM29" i="2"/>
  <c r="CM30" i="2" s="1"/>
  <c r="DC29" i="2"/>
  <c r="DC30" i="2" s="1"/>
  <c r="O30" i="2"/>
  <c r="N30" i="2"/>
  <c r="Y30" i="2"/>
  <c r="BE30" i="2"/>
  <c r="CK30" i="2"/>
  <c r="DT30" i="2"/>
  <c r="Q30" i="2"/>
  <c r="AV30" i="2"/>
  <c r="BL30" i="2"/>
  <c r="CV30" i="2"/>
  <c r="DL30" i="2"/>
  <c r="EB30" i="2"/>
  <c r="DU30" i="2"/>
  <c r="X30" i="2"/>
  <c r="AN30" i="2"/>
  <c r="BD30" i="2"/>
  <c r="BT30" i="2"/>
  <c r="CJ30" i="2"/>
  <c r="CZ30" i="2"/>
  <c r="DP30" i="2"/>
  <c r="U30" i="2"/>
  <c r="CG30" i="2"/>
  <c r="AF30" i="2"/>
  <c r="CB30" i="2"/>
  <c r="DX30" i="2"/>
  <c r="DM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<sst xmlns="http://schemas.openxmlformats.org/spreadsheetml/2006/main" count="147" uniqueCount="66">
  <si>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</si>
  <si>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</si>
  <si>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</si>
  <si>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</si>
  <si>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</si>
  <si>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</si>
  <si>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</si>
  <si>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</si>
  <si>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</si>
  <si>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</si>
  <si>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</si>
  <si>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</si>
  <si>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</si>
  <si>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</si>
  <si>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</si>
  <si>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</si>
  <si>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</si>
  <si>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</si>
  <si>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</si>
  <si>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</si>
  <si>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</si>
  <si>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</si>
  <si>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</si>
  <si>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</si>
  <si>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</si>
  <si>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</si>
  <si>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</si>
  <si>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</si>
  <si>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</si>
  <si>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</si>
  <si>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</si>
  <si>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</si>
  <si>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</si>
  <si>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</si>
  <si>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</si>
  <si>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</si>
  <si>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</si>
  <si>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</si>
  <si>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</si>
  <si>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</si>
  <si>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</si>
  <si>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</si>
  <si>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r>
      <t xml:space="preserve">PROJETO DE RESOLUÇÃO Nº 12/2024 – MESA DIRETORA DA CÂMARA MUNICIPAL DE OSASCO – </t>
    </r>
    <r>
      <rPr>
        <sz val="12"/>
        <color theme="1"/>
        <rFont val="Arial"/>
        <family val="2"/>
      </rPr>
      <t>Dispõe sobre a alteração das Resoluções nº 10/2017, 09/2019, 01/2021, 05/2021 e 06/2023 e dá outras providências.</t>
    </r>
  </si>
  <si>
    <t>não</t>
  </si>
  <si>
    <r>
      <t xml:space="preserve">PROJETO DE LEI COMPLEMENTAR Nº 13/2024 – PREFEITO DO MUNICÍPIO DE OSASCO – </t>
    </r>
    <r>
      <rPr>
        <sz val="12"/>
        <color theme="1"/>
        <rFont val="Arial"/>
        <family val="2"/>
      </rPr>
      <t>Institui a Operação Urbana Consorciada Paiva Ramos, estabelecendo diretrizes para a urbanização da área denominada Fazenda Paiva Ramos.</t>
    </r>
  </si>
  <si>
    <t xml:space="preserve"> 1ª SESSÃO EXTRAORDINÁRIA</t>
  </si>
  <si>
    <t>Rodolfo Cara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</si>
  <si>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</si>
  <si>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</si>
  <si>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</si>
  <si>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</si>
  <si>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</si>
  <si>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</si>
  <si>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</si>
  <si>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</si>
  <si>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Guiga</t>
  </si>
  <si>
    <t>Pedrinho Cantagessi</t>
  </si>
  <si>
    <t>Sérgio Fontellas</t>
  </si>
  <si>
    <t>Stephane Rossi</t>
  </si>
  <si>
    <t>DIA 5 DE JUNHO DE 2025 - QUINTA–FEIRA</t>
  </si>
  <si>
    <t>André Luís Alves Pereira</t>
  </si>
  <si>
    <t>APROVADO
VOTAÇÃO SIMBÓLICA</t>
  </si>
  <si>
    <r>
      <t xml:space="preserve">PROJETO DE LEI Nº 76/2025 – PEDRINHO CANTAGESSI - </t>
    </r>
    <r>
      <rPr>
        <sz val="12"/>
        <color theme="1"/>
        <rFont val="Arial"/>
        <family val="2"/>
      </rPr>
      <t>Institui a Semana Municipal de Conscientização sobre o Vitiligo.</t>
    </r>
  </si>
  <si>
    <r>
      <t>PROJETO DE LEI Nº 83/2025 – GUIGA -</t>
    </r>
    <r>
      <rPr>
        <sz val="12"/>
        <color theme="1"/>
        <rFont val="Arial"/>
        <family val="2"/>
      </rPr>
      <t xml:space="preserve"> Institui o “Osasco Tattoo Festival”.</t>
    </r>
  </si>
  <si>
    <t xml:space="preserve"> 3ª SESSÃO  EXTRAORDINÁRIA</t>
  </si>
  <si>
    <r>
      <t xml:space="preserve">3ª </t>
    </r>
    <r>
      <rPr>
        <b/>
        <sz val="12"/>
        <color theme="1"/>
        <rFont val="Arial"/>
        <family val="2"/>
      </rPr>
      <t>SESSÃO EXTRAORDINÁRIA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</si>
</sst>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5" fillId="4" borderId="0" xfId="0" applyFont="1" applyFill="1"/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zoomScaleNormal="100" workbookViewId="0">
      <selection activeCell="D2" sqref="D2:G2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64</v>
      </c>
      <c r="C2" s="15"/>
      <c r="D2" s="78" t="s">
        <v>65</v>
      </c>
      <c r="E2" s="79"/>
      <c r="F2" s="79"/>
      <c r="G2" s="80"/>
      <c r="L2" s="81" t="s">
        <v>33</v>
      </c>
      <c r="M2" s="79"/>
      <c r="N2" s="79"/>
      <c r="O2" s="80"/>
      <c r="P2" s="24" t="s">
        <v>10</v>
      </c>
      <c r="U2" s="14" t="s">
        <v>16</v>
      </c>
    </row>
    <row r="3" spans="1:26" ht="35.25" customHeight="1">
      <c r="B3" s="15" t="s">
        <v>59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46" t="s">
        <v>7</v>
      </c>
      <c r="E4" s="7"/>
      <c r="F4" s="24" t="s">
        <v>22</v>
      </c>
      <c r="G4" s="46" t="s">
        <v>31</v>
      </c>
      <c r="H4" s="8"/>
      <c r="I4" s="39" t="s">
        <v>23</v>
      </c>
      <c r="K4" s="8"/>
      <c r="L4" s="46" t="s">
        <v>29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0" t="s">
        <v>36</v>
      </c>
      <c r="C6" s="20">
        <v>1</v>
      </c>
      <c r="D6" s="53" t="s">
        <v>37</v>
      </c>
      <c r="E6" s="11"/>
      <c r="F6" s="37"/>
      <c r="G6" s="49"/>
      <c r="H6" s="11"/>
      <c r="I6" s="37"/>
      <c r="J6" s="24" t="str">
        <f t="shared" ref="J6:J26" si="1">IF(H6="","",VLOOKUP(H6,O$1:P$3,2))</f>
        <v/>
      </c>
      <c r="K6" s="11"/>
      <c r="L6" s="77" t="str">
        <f t="shared" ref="L6:L26" si="2">IF(K6="","",VLOOKUP(K6,O$1:P$3,2))</f>
        <v/>
      </c>
      <c r="M6" s="11"/>
      <c r="N6" s="43" t="str">
        <f t="shared" ref="N6:N26" si="3">IF(M6="","",VLOOKUP(M6,$O$1:$P$3,2))</f>
        <v/>
      </c>
      <c r="O6" s="10"/>
      <c r="P6" s="17" t="str">
        <f t="shared" ref="P6" si="4">IF(O6="","",VLOOKUP(O6,$O$1:$P$3,2))</f>
        <v/>
      </c>
      <c r="S6" s="7"/>
    </row>
    <row r="7" spans="1:26" ht="18" customHeight="1">
      <c r="A7" s="6">
        <v>2</v>
      </c>
      <c r="B7" s="40" t="s">
        <v>46</v>
      </c>
      <c r="C7" s="20">
        <v>1</v>
      </c>
      <c r="D7" s="53" t="s">
        <v>37</v>
      </c>
      <c r="E7" s="11"/>
      <c r="F7" s="37"/>
      <c r="G7" s="49"/>
      <c r="H7" s="11"/>
      <c r="I7" s="37"/>
      <c r="J7" s="24" t="str">
        <f t="shared" si="1"/>
        <v/>
      </c>
      <c r="K7" s="12"/>
      <c r="L7" s="44" t="str">
        <f t="shared" si="2"/>
        <v/>
      </c>
      <c r="M7" s="12"/>
      <c r="N7" s="43" t="str">
        <f t="shared" si="3"/>
        <v/>
      </c>
      <c r="O7" s="10"/>
      <c r="P7" s="17" t="str">
        <f t="shared" ref="P7" si="5">IF(O7="","",VLOOKUP(O7,$O$1:$P$3,2))</f>
        <v/>
      </c>
      <c r="S7" s="7"/>
    </row>
    <row r="8" spans="1:26" ht="18" customHeight="1">
      <c r="A8" s="6">
        <v>3</v>
      </c>
      <c r="B8" s="40" t="s">
        <v>47</v>
      </c>
      <c r="C8" s="20">
        <v>1</v>
      </c>
      <c r="D8" s="53" t="s">
        <v>37</v>
      </c>
      <c r="E8" s="11"/>
      <c r="F8" s="37"/>
      <c r="G8" s="49"/>
      <c r="H8" s="11"/>
      <c r="I8" s="37"/>
      <c r="J8" s="24" t="str">
        <f t="shared" si="1"/>
        <v/>
      </c>
      <c r="K8" s="12"/>
      <c r="L8" s="44" t="str">
        <f t="shared" si="2"/>
        <v/>
      </c>
      <c r="M8" s="12"/>
      <c r="N8" s="43" t="str">
        <f t="shared" si="3"/>
        <v/>
      </c>
      <c r="O8" s="10"/>
      <c r="P8" s="17" t="str">
        <f t="shared" ref="P8" si="6">IF(O8="","",VLOOKUP(O8,$O$1:$P$3,2))</f>
        <v/>
      </c>
      <c r="S8" s="7"/>
    </row>
    <row r="9" spans="1:26" ht="18" customHeight="1">
      <c r="A9" s="6">
        <v>4</v>
      </c>
      <c r="B9" s="40" t="s">
        <v>48</v>
      </c>
      <c r="C9" s="20">
        <v>1</v>
      </c>
      <c r="D9" s="53" t="s">
        <v>37</v>
      </c>
      <c r="E9" s="11"/>
      <c r="F9" s="37"/>
      <c r="G9" s="49"/>
      <c r="H9" s="11"/>
      <c r="I9" s="37"/>
      <c r="J9" s="24"/>
      <c r="K9" s="12"/>
      <c r="L9" s="44"/>
      <c r="M9" s="12"/>
      <c r="N9" s="43"/>
      <c r="O9" s="10"/>
      <c r="P9" s="17"/>
      <c r="S9" s="7"/>
    </row>
    <row r="10" spans="1:26" ht="18" customHeight="1">
      <c r="A10" s="6">
        <v>5</v>
      </c>
      <c r="B10" s="40" t="s">
        <v>49</v>
      </c>
      <c r="C10" s="20">
        <v>1</v>
      </c>
      <c r="D10" s="53" t="s">
        <v>37</v>
      </c>
      <c r="E10" s="11"/>
      <c r="F10" s="37"/>
      <c r="G10" s="49"/>
      <c r="H10" s="11"/>
      <c r="I10" s="37"/>
      <c r="J10" s="24"/>
      <c r="K10" s="12"/>
      <c r="L10" s="44"/>
      <c r="M10" s="12"/>
      <c r="N10" s="43"/>
      <c r="O10" s="10"/>
      <c r="P10" s="17"/>
      <c r="S10" s="7"/>
    </row>
    <row r="11" spans="1:26" ht="18" customHeight="1">
      <c r="A11" s="6">
        <v>6</v>
      </c>
      <c r="B11" s="40" t="s">
        <v>50</v>
      </c>
      <c r="C11" s="20">
        <v>2</v>
      </c>
      <c r="D11" s="56" t="s">
        <v>38</v>
      </c>
      <c r="E11" s="11"/>
      <c r="F11" s="37"/>
      <c r="G11" s="49"/>
      <c r="H11" s="11"/>
      <c r="I11" s="37"/>
      <c r="J11" s="24" t="str">
        <f t="shared" si="1"/>
        <v/>
      </c>
      <c r="K11" s="12"/>
      <c r="L11" s="44" t="str">
        <f t="shared" si="2"/>
        <v/>
      </c>
      <c r="M11" s="12"/>
      <c r="N11" s="43" t="str">
        <f t="shared" si="3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40" t="s">
        <v>24</v>
      </c>
      <c r="C12" s="20">
        <v>1</v>
      </c>
      <c r="D12" s="53" t="s">
        <v>37</v>
      </c>
      <c r="E12" s="11"/>
      <c r="F12" s="37"/>
      <c r="G12" s="49"/>
      <c r="H12" s="11"/>
      <c r="I12" s="37"/>
      <c r="J12" s="24" t="str">
        <f t="shared" si="1"/>
        <v/>
      </c>
      <c r="K12" s="12"/>
      <c r="L12" s="44" t="str">
        <f t="shared" si="2"/>
        <v/>
      </c>
      <c r="M12" s="12"/>
      <c r="N12" s="43" t="str">
        <f t="shared" si="3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40" t="s">
        <v>25</v>
      </c>
      <c r="C13" s="20">
        <v>2</v>
      </c>
      <c r="D13" s="56" t="s">
        <v>38</v>
      </c>
      <c r="E13" s="11"/>
      <c r="F13" s="37"/>
      <c r="G13" s="49"/>
      <c r="H13" s="11"/>
      <c r="I13" s="37"/>
      <c r="J13" s="24" t="str">
        <f t="shared" si="1"/>
        <v/>
      </c>
      <c r="K13" s="12"/>
      <c r="L13" s="44" t="str">
        <f t="shared" si="2"/>
        <v/>
      </c>
      <c r="M13" s="12"/>
      <c r="N13" s="43" t="str">
        <f t="shared" si="3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40" t="s">
        <v>26</v>
      </c>
      <c r="C14" s="20">
        <v>1</v>
      </c>
      <c r="D14" s="53" t="s">
        <v>37</v>
      </c>
      <c r="E14" s="11"/>
      <c r="F14" s="37"/>
      <c r="G14" s="49"/>
      <c r="H14" s="11"/>
      <c r="I14" s="37"/>
      <c r="J14" s="24" t="str">
        <f t="shared" si="1"/>
        <v/>
      </c>
      <c r="K14" s="12"/>
      <c r="L14" s="44" t="str">
        <f t="shared" si="2"/>
        <v/>
      </c>
      <c r="M14" s="12"/>
      <c r="N14" s="43" t="str">
        <f t="shared" si="3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6">
        <v>10</v>
      </c>
      <c r="B15" s="40" t="s">
        <v>51</v>
      </c>
      <c r="C15" s="20">
        <v>1</v>
      </c>
      <c r="D15" s="53" t="s">
        <v>37</v>
      </c>
      <c r="E15" s="11"/>
      <c r="F15" s="37"/>
      <c r="G15" s="49"/>
      <c r="H15" s="11"/>
      <c r="I15" s="37"/>
      <c r="J15" s="24" t="str">
        <f t="shared" si="1"/>
        <v/>
      </c>
      <c r="K15" s="12"/>
      <c r="L15" s="44" t="str">
        <f t="shared" si="2"/>
        <v/>
      </c>
      <c r="M15" s="12"/>
      <c r="N15" s="43" t="str">
        <f t="shared" si="3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40" t="s">
        <v>52</v>
      </c>
      <c r="C16" s="20">
        <v>1</v>
      </c>
      <c r="D16" s="53" t="s">
        <v>37</v>
      </c>
      <c r="E16" s="11"/>
      <c r="F16" s="37"/>
      <c r="G16" s="49"/>
      <c r="H16" s="11"/>
      <c r="I16" s="37"/>
      <c r="J16" s="24" t="str">
        <f t="shared" si="1"/>
        <v/>
      </c>
      <c r="K16" s="12"/>
      <c r="L16" s="44" t="str">
        <f t="shared" si="2"/>
        <v/>
      </c>
      <c r="M16" s="12"/>
      <c r="N16" s="43" t="str">
        <f t="shared" si="3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40" t="s">
        <v>53</v>
      </c>
      <c r="C17" s="20">
        <v>1</v>
      </c>
      <c r="D17" s="53" t="s">
        <v>37</v>
      </c>
      <c r="E17" s="11"/>
      <c r="F17" s="37"/>
      <c r="G17" s="49"/>
      <c r="H17" s="11"/>
      <c r="I17" s="37"/>
      <c r="J17" s="24" t="str">
        <f t="shared" si="1"/>
        <v/>
      </c>
      <c r="K17" s="12"/>
      <c r="L17" s="44" t="str">
        <f t="shared" si="2"/>
        <v/>
      </c>
      <c r="M17" s="12"/>
      <c r="N17" s="43" t="str">
        <f t="shared" si="3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40" t="s">
        <v>27</v>
      </c>
      <c r="C18" s="20">
        <v>1</v>
      </c>
      <c r="D18" s="53" t="s">
        <v>37</v>
      </c>
      <c r="E18" s="11"/>
      <c r="F18" s="37"/>
      <c r="G18" s="49"/>
      <c r="H18" s="11"/>
      <c r="I18" s="37"/>
      <c r="J18" s="24" t="str">
        <f t="shared" si="1"/>
        <v/>
      </c>
      <c r="K18" s="12"/>
      <c r="L18" s="44" t="str">
        <f t="shared" si="2"/>
        <v/>
      </c>
      <c r="M18" s="12"/>
      <c r="N18" s="43" t="str">
        <f t="shared" si="3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40" t="s">
        <v>54</v>
      </c>
      <c r="C19" s="20">
        <v>1</v>
      </c>
      <c r="D19" s="53" t="s">
        <v>37</v>
      </c>
      <c r="E19" s="11"/>
      <c r="F19" s="37"/>
      <c r="G19" s="49"/>
      <c r="H19" s="11"/>
      <c r="I19" s="37"/>
      <c r="J19" s="24" t="str">
        <f t="shared" si="1"/>
        <v/>
      </c>
      <c r="K19" s="12"/>
      <c r="L19" s="44" t="str">
        <f t="shared" si="2"/>
        <v/>
      </c>
      <c r="M19" s="12"/>
      <c r="N19" s="43" t="str">
        <f t="shared" si="3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40" t="s">
        <v>55</v>
      </c>
      <c r="C20" s="20">
        <v>1</v>
      </c>
      <c r="D20" s="53" t="s">
        <v>37</v>
      </c>
      <c r="E20" s="11"/>
      <c r="F20" s="37"/>
      <c r="G20" s="49"/>
      <c r="H20" s="11"/>
      <c r="I20" s="37"/>
      <c r="J20" s="24" t="str">
        <f t="shared" si="1"/>
        <v/>
      </c>
      <c r="K20" s="12"/>
      <c r="L20" s="44" t="str">
        <f t="shared" si="2"/>
        <v/>
      </c>
      <c r="M20" s="12"/>
      <c r="N20" s="43" t="str">
        <f t="shared" si="3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6">
        <v>16</v>
      </c>
      <c r="B21" s="40" t="s">
        <v>28</v>
      </c>
      <c r="C21" s="20">
        <v>2</v>
      </c>
      <c r="D21" s="56" t="s">
        <v>38</v>
      </c>
      <c r="E21" s="11"/>
      <c r="F21" s="37"/>
      <c r="G21" s="49"/>
      <c r="H21" s="11"/>
      <c r="I21" s="37"/>
      <c r="J21" s="24" t="str">
        <f t="shared" si="1"/>
        <v/>
      </c>
      <c r="K21" s="12"/>
      <c r="L21" s="44" t="str">
        <f t="shared" si="2"/>
        <v/>
      </c>
      <c r="M21" s="12"/>
      <c r="N21" s="43" t="str">
        <f t="shared" si="3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6">
        <v>17</v>
      </c>
      <c r="B22" s="40" t="s">
        <v>56</v>
      </c>
      <c r="C22" s="23">
        <v>1</v>
      </c>
      <c r="D22" s="53" t="s">
        <v>37</v>
      </c>
      <c r="E22" s="11"/>
      <c r="F22" s="37"/>
      <c r="G22" s="49"/>
      <c r="H22" s="11"/>
      <c r="I22" s="37"/>
      <c r="J22" s="24" t="str">
        <f t="shared" si="1"/>
        <v/>
      </c>
      <c r="K22" s="12"/>
      <c r="L22" s="44" t="str">
        <f t="shared" si="2"/>
        <v/>
      </c>
      <c r="M22" s="12"/>
      <c r="N22" s="43" t="str">
        <f t="shared" si="3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6">
        <v>18</v>
      </c>
      <c r="B23" s="40" t="s">
        <v>60</v>
      </c>
      <c r="C23" s="20">
        <v>1</v>
      </c>
      <c r="D23" s="53" t="s">
        <v>37</v>
      </c>
      <c r="E23" s="11"/>
      <c r="F23" s="37"/>
      <c r="G23" s="49"/>
      <c r="H23" s="11"/>
      <c r="I23" s="37"/>
      <c r="J23" s="24" t="str">
        <f t="shared" si="1"/>
        <v/>
      </c>
      <c r="K23" s="12"/>
      <c r="L23" s="44" t="str">
        <f t="shared" si="2"/>
        <v/>
      </c>
      <c r="M23" s="12"/>
      <c r="N23" s="43" t="str">
        <f t="shared" si="3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6">
        <v>19</v>
      </c>
      <c r="B24" s="40" t="s">
        <v>41</v>
      </c>
      <c r="C24" s="20">
        <v>1</v>
      </c>
      <c r="D24" s="53" t="s">
        <v>37</v>
      </c>
      <c r="E24" s="11"/>
      <c r="F24" s="37"/>
      <c r="G24" s="49"/>
      <c r="H24" s="11"/>
      <c r="I24" s="37"/>
      <c r="J24" s="24" t="str">
        <f t="shared" si="1"/>
        <v/>
      </c>
      <c r="K24" s="12"/>
      <c r="L24" s="44" t="str">
        <f t="shared" si="2"/>
        <v/>
      </c>
      <c r="M24" s="12"/>
      <c r="N24" s="43" t="str">
        <f t="shared" si="3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6">
        <v>20</v>
      </c>
      <c r="B25" s="40" t="s">
        <v>57</v>
      </c>
      <c r="C25" s="20">
        <v>1</v>
      </c>
      <c r="D25" s="53" t="s">
        <v>37</v>
      </c>
      <c r="E25" s="11"/>
      <c r="F25" s="37"/>
      <c r="G25" s="49"/>
      <c r="H25" s="11"/>
      <c r="I25" s="37"/>
      <c r="J25" s="25" t="str">
        <f t="shared" si="1"/>
        <v/>
      </c>
      <c r="K25" s="12"/>
      <c r="L25" s="44" t="str">
        <f t="shared" si="2"/>
        <v/>
      </c>
      <c r="M25" s="12"/>
      <c r="N25" s="43" t="str">
        <f t="shared" si="3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6">
        <v>21</v>
      </c>
      <c r="B26" s="40" t="s">
        <v>58</v>
      </c>
      <c r="C26" s="20">
        <v>2</v>
      </c>
      <c r="D26" s="75" t="s">
        <v>38</v>
      </c>
      <c r="E26" s="11"/>
      <c r="F26" s="37"/>
      <c r="G26" s="74"/>
      <c r="H26" s="22"/>
      <c r="I26" s="38"/>
      <c r="J26" s="24" t="str">
        <f t="shared" si="1"/>
        <v/>
      </c>
      <c r="K26" s="12"/>
      <c r="L26" s="44" t="str">
        <f t="shared" si="2"/>
        <v/>
      </c>
      <c r="M26" s="73"/>
      <c r="N26" s="54" t="str">
        <f t="shared" si="3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17</v>
      </c>
      <c r="D27" s="55" t="s">
        <v>34</v>
      </c>
      <c r="G27" s="45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t="s">
        <v>14</v>
      </c>
      <c r="S31" s="24"/>
      <c r="T31" s="24"/>
    </row>
    <row r="32" spans="1:20" ht="15.75">
      <c r="B32" s="71"/>
      <c r="C32" s="14"/>
      <c r="D32" s="14"/>
      <c r="O32" s="13"/>
      <c r="S32" s="24"/>
      <c r="T32" s="24"/>
    </row>
    <row r="33" spans="2:20" ht="15.75">
      <c r="B33" s="71"/>
      <c r="C33"/>
      <c r="O33" s="13"/>
      <c r="S33" s="24"/>
      <c r="T33" s="24"/>
    </row>
    <row r="34" spans="2:20" ht="15.75">
      <c r="B34" s="71"/>
      <c r="S34" s="24"/>
      <c r="T34" s="24"/>
    </row>
    <row r="35" spans="2:20" ht="15.75">
      <c r="B35" s="71"/>
      <c r="S35" s="25"/>
      <c r="T35" s="24"/>
    </row>
    <row r="36" spans="2:20" ht="18">
      <c r="B36" s="34"/>
      <c r="S36" s="25"/>
      <c r="T36" s="24"/>
    </row>
    <row r="37" spans="2:20" ht="18.75">
      <c r="B37" s="33"/>
      <c r="S37" s="24"/>
      <c r="T37" s="24"/>
    </row>
    <row r="38" spans="2:20" ht="15.75">
      <c r="B38" s="35" t="s">
        <v>30</v>
      </c>
      <c r="S38" s="24"/>
      <c r="T38" s="24"/>
    </row>
    <row r="39" spans="2:20" ht="18">
      <c r="B39" s="34"/>
      <c r="S39" s="24"/>
      <c r="T39" s="24"/>
    </row>
    <row r="40" spans="2:20" ht="18">
      <c r="B40" s="34"/>
      <c r="C40" s="14"/>
      <c r="S40" s="24"/>
      <c r="T40" s="25"/>
    </row>
    <row r="41" spans="2:20" ht="18">
      <c r="B41" s="34"/>
      <c r="T41" s="24"/>
    </row>
    <row r="42" spans="2:20" ht="18.75">
      <c r="B42" s="33"/>
      <c r="T42" s="24"/>
    </row>
    <row r="43" spans="2:20" ht="18.75">
      <c r="B43" s="33"/>
      <c r="T43" s="24"/>
    </row>
    <row r="44" spans="2:20" ht="18.75">
      <c r="B44" s="33"/>
      <c r="L44"/>
      <c r="T44" s="24"/>
    </row>
    <row r="45" spans="2:20" ht="18.75">
      <c r="B45" s="33"/>
      <c r="L45"/>
    </row>
    <row r="46" spans="2:20" ht="15.75" customHeight="1">
      <c r="B46" s="31"/>
    </row>
    <row r="47" spans="2:20" ht="18.75">
      <c r="B47" s="33"/>
    </row>
    <row r="48" spans="2:20" ht="18">
      <c r="B48" s="34"/>
    </row>
    <row r="49" spans="2:2" ht="18">
      <c r="B49" s="34"/>
    </row>
    <row r="50" spans="2:2" ht="18">
      <c r="B50" s="34"/>
    </row>
    <row r="51" spans="2:2" ht="18.75">
      <c r="B51" s="33"/>
    </row>
    <row r="52" spans="2:2" ht="18.75">
      <c r="B52" s="33"/>
    </row>
  </sheetData>
  <mergeCells count="2">
    <mergeCell ref="D2:G2"/>
    <mergeCell ref="L2:O2"/>
  </mergeCells>
  <dataValidations count="1">
    <dataValidation type="list" allowBlank="1" showInputMessage="1" showErrorMessage="1" sqref="B47:B52 B39:B45 B33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36"/>
  <sheetViews>
    <sheetView tabSelected="1" zoomScaleNormal="100" workbookViewId="0">
      <pane xSplit="2" topLeftCell="G1" activePane="topRight" state="frozen"/>
      <selection pane="topRight" activeCell="B3" sqref="B3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10" width="34" customWidth="1"/>
    <col min="11" max="11" width="27.5703125" customWidth="1"/>
    <col min="12" max="12" width="28.85546875" customWidth="1"/>
    <col min="13" max="13" width="27" customWidth="1"/>
    <col min="14" max="14" width="30.85546875" customWidth="1"/>
    <col min="15" max="15" width="28.5703125" customWidth="1"/>
    <col min="16" max="16" width="32.42578125" customWidth="1"/>
    <col min="17" max="17" width="33.85546875" customWidth="1"/>
    <col min="18" max="18" width="27.5703125" customWidth="1"/>
    <col min="19" max="106" width="36.7109375" customWidth="1"/>
  </cols>
  <sheetData>
    <row r="1" spans="1:106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3"/>
      <c r="L1" s="2"/>
    </row>
    <row r="2" spans="1:106" ht="23.25" customHeight="1">
      <c r="B2" s="15" t="s">
        <v>64</v>
      </c>
      <c r="C2" s="3"/>
      <c r="D2" s="3"/>
      <c r="E2" s="3"/>
      <c r="F2" s="3"/>
      <c r="G2" s="3"/>
      <c r="H2" s="3"/>
      <c r="I2" s="3"/>
      <c r="J2" s="3"/>
      <c r="K2" s="3"/>
      <c r="L2" s="2"/>
      <c r="M2" s="36"/>
    </row>
    <row r="3" spans="1:106" ht="23.25" customHeight="1">
      <c r="B3" s="15" t="s">
        <v>59</v>
      </c>
      <c r="C3" s="3"/>
      <c r="D3" s="3"/>
      <c r="E3" s="42"/>
      <c r="F3" s="42"/>
      <c r="G3" s="42"/>
      <c r="H3" s="42"/>
      <c r="I3" s="42"/>
      <c r="J3" s="3"/>
      <c r="K3" s="3"/>
      <c r="L3" s="2"/>
    </row>
    <row r="4" spans="1:106" ht="108" customHeight="1">
      <c r="C4" s="18" t="s">
        <v>5</v>
      </c>
      <c r="D4" s="32" t="s">
        <v>32</v>
      </c>
      <c r="E4" s="57" t="s">
        <v>42</v>
      </c>
      <c r="F4" s="57" t="s">
        <v>44</v>
      </c>
      <c r="G4" s="57" t="s">
        <v>62</v>
      </c>
      <c r="H4" s="57" t="s">
        <v>63</v>
      </c>
      <c r="I4" s="51"/>
      <c r="J4" s="51"/>
      <c r="K4" s="51"/>
      <c r="L4" s="51"/>
      <c r="M4" s="51"/>
      <c r="N4" s="51"/>
      <c r="O4" s="21"/>
      <c r="P4" s="19"/>
      <c r="Q4" s="26"/>
      <c r="R4" s="2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4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4"/>
      <c r="DB4" s="4"/>
    </row>
    <row r="5" spans="1:106" ht="48" customHeight="1">
      <c r="C5" s="41" t="s">
        <v>45</v>
      </c>
      <c r="E5" s="58" t="s">
        <v>35</v>
      </c>
      <c r="F5" s="58" t="s">
        <v>35</v>
      </c>
      <c r="G5" s="76" t="s">
        <v>61</v>
      </c>
      <c r="H5" s="76" t="s">
        <v>61</v>
      </c>
      <c r="I5" s="50"/>
      <c r="J5" s="50"/>
      <c r="K5" s="50"/>
      <c r="L5" s="50"/>
      <c r="M5" s="50"/>
      <c r="N5" s="31"/>
      <c r="O5" s="31"/>
      <c r="P5" s="31"/>
      <c r="Q5" s="31"/>
      <c r="R5" s="31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4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4"/>
      <c r="DB5" s="4"/>
    </row>
    <row r="6" spans="1:106" ht="20.25">
      <c r="A6" s="63">
        <v>1</v>
      </c>
      <c r="B6" s="65" t="s">
        <v>36</v>
      </c>
      <c r="E6" s="59" t="s">
        <v>39</v>
      </c>
      <c r="F6" s="59" t="s">
        <v>39</v>
      </c>
      <c r="G6" s="59"/>
      <c r="H6" s="59"/>
      <c r="I6" s="47"/>
      <c r="J6" s="47"/>
      <c r="K6" s="47"/>
      <c r="L6" s="47"/>
      <c r="M6" s="47"/>
      <c r="N6" s="14"/>
      <c r="O6" s="14"/>
      <c r="P6" s="14"/>
      <c r="Q6" s="14"/>
      <c r="R6" s="14"/>
    </row>
    <row r="7" spans="1:106" ht="20.25">
      <c r="A7" s="63">
        <v>2</v>
      </c>
      <c r="B7" s="65" t="s">
        <v>46</v>
      </c>
      <c r="E7" s="59" t="s">
        <v>39</v>
      </c>
      <c r="F7" s="59" t="s">
        <v>39</v>
      </c>
      <c r="G7" s="59"/>
      <c r="H7" s="59"/>
      <c r="I7" s="47"/>
      <c r="J7" s="47"/>
      <c r="K7" s="47"/>
      <c r="L7" s="47"/>
      <c r="M7" s="47"/>
      <c r="N7" s="14"/>
      <c r="O7" s="14"/>
      <c r="P7" s="14"/>
      <c r="Q7" s="14"/>
      <c r="R7" s="14"/>
    </row>
    <row r="8" spans="1:106" ht="20.25">
      <c r="A8" s="63">
        <v>3</v>
      </c>
      <c r="B8" s="65" t="s">
        <v>47</v>
      </c>
      <c r="E8" s="60" t="s">
        <v>40</v>
      </c>
      <c r="F8" s="59" t="s">
        <v>39</v>
      </c>
      <c r="G8" s="59"/>
      <c r="H8" s="59"/>
      <c r="I8" s="48"/>
      <c r="J8" s="48"/>
      <c r="K8" s="48"/>
      <c r="L8" s="48"/>
      <c r="M8" s="48"/>
      <c r="N8" s="14"/>
      <c r="O8" s="14"/>
      <c r="P8" s="14"/>
      <c r="Q8" s="14"/>
      <c r="R8" s="14"/>
    </row>
    <row r="9" spans="1:106" ht="20.25">
      <c r="A9" s="63">
        <v>4</v>
      </c>
      <c r="B9" s="65" t="s">
        <v>48</v>
      </c>
      <c r="E9" s="59" t="s">
        <v>39</v>
      </c>
      <c r="F9" s="59" t="s">
        <v>39</v>
      </c>
      <c r="G9" s="60"/>
      <c r="H9" s="60"/>
      <c r="I9" s="47"/>
      <c r="J9" s="47"/>
      <c r="K9" s="47"/>
      <c r="L9" s="47"/>
      <c r="M9" s="47"/>
      <c r="N9" s="14"/>
      <c r="O9" s="14"/>
      <c r="P9" s="14"/>
      <c r="Q9" s="14"/>
      <c r="R9" s="14"/>
    </row>
    <row r="10" spans="1:106" ht="20.25">
      <c r="A10" s="63">
        <v>5</v>
      </c>
      <c r="B10" s="65" t="s">
        <v>49</v>
      </c>
      <c r="E10" s="59" t="s">
        <v>39</v>
      </c>
      <c r="F10" s="59" t="s">
        <v>39</v>
      </c>
      <c r="G10" s="59"/>
      <c r="H10" s="59"/>
      <c r="I10" s="47"/>
      <c r="J10" s="47"/>
      <c r="K10" s="47"/>
      <c r="L10" s="47"/>
      <c r="M10" s="47"/>
      <c r="N10" s="14"/>
      <c r="O10" s="14"/>
      <c r="P10" s="14"/>
      <c r="Q10" s="14"/>
      <c r="R10" s="14"/>
    </row>
    <row r="11" spans="1:106" ht="20.25">
      <c r="A11" s="63">
        <v>6</v>
      </c>
      <c r="B11" s="65" t="s">
        <v>50</v>
      </c>
      <c r="E11" s="59" t="s">
        <v>39</v>
      </c>
      <c r="F11" s="59" t="s">
        <v>39</v>
      </c>
      <c r="G11" s="70"/>
      <c r="H11" s="70"/>
      <c r="I11" s="47"/>
      <c r="J11" s="47"/>
      <c r="K11" s="47"/>
      <c r="L11" s="47"/>
      <c r="M11" s="47"/>
      <c r="N11" s="14"/>
      <c r="O11" s="14"/>
      <c r="P11" s="14"/>
      <c r="Q11" s="14"/>
      <c r="R11" s="14"/>
    </row>
    <row r="12" spans="1:106" ht="20.25">
      <c r="A12" s="63">
        <v>7</v>
      </c>
      <c r="B12" s="65" t="s">
        <v>24</v>
      </c>
      <c r="E12" s="70" t="s">
        <v>38</v>
      </c>
      <c r="F12" s="70" t="s">
        <v>38</v>
      </c>
      <c r="G12" s="70"/>
      <c r="H12" s="70"/>
      <c r="I12" s="52"/>
      <c r="J12" s="52"/>
      <c r="K12" s="52"/>
      <c r="L12" s="52"/>
      <c r="M12" s="52"/>
      <c r="N12" s="14"/>
      <c r="O12" s="14"/>
      <c r="P12" s="14"/>
      <c r="Q12" s="14"/>
      <c r="R12" s="14"/>
    </row>
    <row r="13" spans="1:106" ht="20.25">
      <c r="A13" s="63">
        <v>8</v>
      </c>
      <c r="B13" s="65" t="s">
        <v>25</v>
      </c>
      <c r="E13" s="59" t="s">
        <v>39</v>
      </c>
      <c r="F13" s="59" t="s">
        <v>39</v>
      </c>
      <c r="G13" s="59"/>
      <c r="H13" s="59"/>
      <c r="I13" s="47"/>
      <c r="J13" s="47"/>
      <c r="K13" s="47"/>
      <c r="L13" s="47"/>
      <c r="M13" s="47"/>
      <c r="N13" s="14"/>
      <c r="O13" s="14"/>
      <c r="P13" s="14"/>
      <c r="Q13" s="14"/>
      <c r="R13" s="14"/>
    </row>
    <row r="14" spans="1:106" ht="20.25">
      <c r="A14" s="63">
        <v>9</v>
      </c>
      <c r="B14" s="65" t="s">
        <v>26</v>
      </c>
      <c r="E14" s="59"/>
      <c r="F14" s="59"/>
      <c r="G14" s="59"/>
      <c r="H14" s="59"/>
      <c r="I14" s="47"/>
      <c r="J14" s="47"/>
      <c r="K14" s="47"/>
      <c r="L14" s="47"/>
      <c r="M14" s="47"/>
      <c r="N14" s="14"/>
      <c r="O14" s="14"/>
      <c r="P14" s="14"/>
      <c r="Q14" s="14"/>
      <c r="R14" s="14"/>
    </row>
    <row r="15" spans="1:106" ht="20.25">
      <c r="A15" s="63">
        <v>10</v>
      </c>
      <c r="B15" s="65" t="s">
        <v>51</v>
      </c>
      <c r="E15" s="59"/>
      <c r="F15" s="59"/>
      <c r="G15" s="59"/>
      <c r="H15" s="59"/>
      <c r="I15" s="47"/>
      <c r="J15" s="47"/>
      <c r="K15" s="47"/>
      <c r="L15" s="47"/>
      <c r="M15" s="47"/>
      <c r="N15" s="14"/>
      <c r="O15" s="14"/>
      <c r="P15" s="14"/>
      <c r="Q15" s="14"/>
      <c r="R15" s="14"/>
    </row>
    <row r="16" spans="1:106" ht="20.25">
      <c r="A16" s="63">
        <v>11</v>
      </c>
      <c r="B16" s="65" t="s">
        <v>52</v>
      </c>
      <c r="E16" s="59" t="s">
        <v>39</v>
      </c>
      <c r="F16" s="59" t="s">
        <v>39</v>
      </c>
      <c r="G16" s="59"/>
      <c r="H16" s="59"/>
      <c r="I16" s="47"/>
      <c r="J16" s="47"/>
      <c r="K16" s="47"/>
      <c r="L16" s="47"/>
      <c r="M16" s="47"/>
      <c r="N16" s="14"/>
      <c r="O16" s="14"/>
      <c r="P16" s="14"/>
      <c r="Q16" s="14"/>
      <c r="R16" s="14"/>
    </row>
    <row r="17" spans="1:133" ht="20.25">
      <c r="A17" s="63">
        <v>12</v>
      </c>
      <c r="B17" s="65" t="s">
        <v>53</v>
      </c>
      <c r="E17" s="59" t="s">
        <v>39</v>
      </c>
      <c r="F17" s="59" t="s">
        <v>39</v>
      </c>
      <c r="G17" s="59"/>
      <c r="H17" s="59"/>
      <c r="I17" s="52"/>
      <c r="J17" s="52"/>
      <c r="K17" s="52"/>
      <c r="L17" s="52"/>
      <c r="M17" s="52"/>
      <c r="N17" s="14"/>
      <c r="O17" s="14"/>
      <c r="P17" s="14"/>
      <c r="Q17" s="14"/>
      <c r="R17" s="14"/>
    </row>
    <row r="18" spans="1:133" ht="20.25">
      <c r="A18" s="63">
        <v>13</v>
      </c>
      <c r="B18" s="65" t="s">
        <v>27</v>
      </c>
      <c r="E18" s="59" t="s">
        <v>39</v>
      </c>
      <c r="F18" s="59" t="s">
        <v>39</v>
      </c>
      <c r="G18" s="70"/>
      <c r="H18" s="70"/>
      <c r="I18" s="47"/>
      <c r="J18" s="47"/>
      <c r="K18" s="47"/>
      <c r="L18" s="47"/>
      <c r="M18" s="47"/>
      <c r="N18" s="14"/>
      <c r="O18" s="14"/>
      <c r="P18" s="14"/>
      <c r="Q18" s="14"/>
      <c r="R18" s="14"/>
    </row>
    <row r="19" spans="1:133" ht="20.25">
      <c r="A19" s="63">
        <v>14</v>
      </c>
      <c r="B19" s="65" t="s">
        <v>54</v>
      </c>
      <c r="E19" s="59" t="s">
        <v>39</v>
      </c>
      <c r="F19" s="59" t="s">
        <v>39</v>
      </c>
      <c r="G19" s="59"/>
      <c r="H19" s="59"/>
      <c r="I19" s="47"/>
      <c r="J19" s="47"/>
      <c r="K19" s="47"/>
      <c r="L19" s="47"/>
      <c r="M19" s="47"/>
      <c r="N19" s="14"/>
      <c r="O19" s="14"/>
      <c r="P19" s="14"/>
      <c r="Q19" s="14"/>
      <c r="R19" s="14"/>
    </row>
    <row r="20" spans="1:133" ht="20.25">
      <c r="A20" s="63">
        <v>15</v>
      </c>
      <c r="B20" s="65" t="s">
        <v>55</v>
      </c>
      <c r="E20" s="59" t="s">
        <v>39</v>
      </c>
      <c r="F20" s="59" t="s">
        <v>39</v>
      </c>
      <c r="G20" s="59"/>
      <c r="H20" s="59"/>
      <c r="I20" s="47"/>
      <c r="J20" s="47"/>
      <c r="K20" s="47"/>
      <c r="L20" s="47"/>
      <c r="M20" s="47"/>
      <c r="N20" s="14"/>
      <c r="O20" s="14"/>
      <c r="P20" s="14"/>
      <c r="Q20" s="14"/>
      <c r="R20" s="14"/>
    </row>
    <row r="21" spans="1:133" ht="20.25">
      <c r="A21" s="63">
        <v>16</v>
      </c>
      <c r="B21" s="65" t="s">
        <v>28</v>
      </c>
      <c r="E21" s="59" t="s">
        <v>39</v>
      </c>
      <c r="F21" s="72" t="s">
        <v>43</v>
      </c>
      <c r="G21" s="59"/>
      <c r="H21" s="59"/>
      <c r="I21" s="52"/>
      <c r="J21" s="52"/>
      <c r="K21" s="52"/>
      <c r="L21" s="52"/>
      <c r="M21" s="52"/>
      <c r="N21" s="14"/>
      <c r="O21" s="14"/>
      <c r="P21" s="14"/>
      <c r="Q21" s="14"/>
      <c r="R21" s="14"/>
    </row>
    <row r="22" spans="1:133" ht="20.25">
      <c r="A22" s="63">
        <v>17</v>
      </c>
      <c r="B22" s="65" t="s">
        <v>56</v>
      </c>
      <c r="E22" s="59" t="s">
        <v>39</v>
      </c>
      <c r="F22" s="59" t="s">
        <v>39</v>
      </c>
      <c r="G22" s="59"/>
      <c r="H22" s="59"/>
      <c r="I22" s="47"/>
      <c r="J22" s="47"/>
      <c r="K22" s="47"/>
      <c r="L22" s="47"/>
      <c r="M22" s="47"/>
      <c r="N22" s="14"/>
      <c r="O22" s="14"/>
      <c r="P22" s="14"/>
      <c r="Q22" s="14"/>
      <c r="R22" s="14"/>
    </row>
    <row r="23" spans="1:133" ht="20.25">
      <c r="A23" s="63">
        <v>18</v>
      </c>
      <c r="B23" s="65" t="s">
        <v>60</v>
      </c>
      <c r="E23" s="59" t="s">
        <v>39</v>
      </c>
      <c r="F23" s="59" t="s">
        <v>39</v>
      </c>
      <c r="G23" s="59"/>
      <c r="H23" s="59"/>
      <c r="I23" s="47"/>
      <c r="J23" s="47"/>
      <c r="K23" s="47"/>
      <c r="L23" s="47"/>
      <c r="M23" s="47"/>
      <c r="N23" s="14"/>
      <c r="O23" s="14"/>
      <c r="P23" s="14"/>
      <c r="Q23" s="14"/>
      <c r="R23" s="14"/>
    </row>
    <row r="24" spans="1:133" ht="20.25">
      <c r="A24" s="63">
        <v>19</v>
      </c>
      <c r="B24" s="65" t="s">
        <v>41</v>
      </c>
      <c r="E24" s="59" t="s">
        <v>39</v>
      </c>
      <c r="F24" s="59" t="s">
        <v>39</v>
      </c>
      <c r="G24" s="59"/>
      <c r="H24" s="59"/>
      <c r="I24" s="52"/>
      <c r="J24" s="52"/>
      <c r="K24" s="52"/>
      <c r="L24" s="52"/>
      <c r="M24" s="52"/>
      <c r="N24" s="14"/>
      <c r="O24" s="14"/>
      <c r="P24" s="14"/>
      <c r="Q24" s="14"/>
      <c r="R24" s="14"/>
    </row>
    <row r="25" spans="1:133" ht="20.25">
      <c r="A25" s="63">
        <v>20</v>
      </c>
      <c r="B25" s="65" t="s">
        <v>57</v>
      </c>
      <c r="E25" s="59" t="s">
        <v>39</v>
      </c>
      <c r="F25" s="59" t="s">
        <v>39</v>
      </c>
      <c r="G25" s="59"/>
      <c r="H25" s="59"/>
      <c r="I25" s="47"/>
      <c r="J25" s="47"/>
      <c r="K25" s="47"/>
      <c r="L25" s="47"/>
      <c r="M25" s="47"/>
      <c r="N25" s="14"/>
      <c r="O25" s="14"/>
      <c r="P25" s="14"/>
      <c r="Q25" s="14"/>
      <c r="R25" s="14"/>
    </row>
    <row r="26" spans="1:133" ht="20.25">
      <c r="A26" s="63">
        <v>21</v>
      </c>
      <c r="B26" s="65" t="s">
        <v>58</v>
      </c>
      <c r="E26" s="59" t="s">
        <v>39</v>
      </c>
      <c r="F26" s="59" t="s">
        <v>39</v>
      </c>
      <c r="G26" s="59"/>
      <c r="H26" s="59"/>
      <c r="I26" s="52"/>
      <c r="J26" s="52"/>
      <c r="K26" s="52"/>
      <c r="L26" s="52"/>
      <c r="M26" s="52"/>
      <c r="N26" s="14"/>
      <c r="O26" s="14"/>
      <c r="P26" s="14"/>
      <c r="Q26" s="14"/>
      <c r="R26" s="14"/>
    </row>
    <row r="27" spans="1:133" s="28" customFormat="1" ht="15.75">
      <c r="A27" s="61"/>
      <c r="B27" s="66" t="s">
        <v>18</v>
      </c>
      <c r="E27" s="61">
        <f>COUNTIF(E6:E26,"sim")</f>
        <v>17</v>
      </c>
      <c r="F27" s="61">
        <f>COUNTIF(F6:F26,"sim")</f>
        <v>17</v>
      </c>
      <c r="G27" s="61">
        <f t="shared" ref="G27:H27" si="0">COUNTIF(G6:G26,"sim")</f>
        <v>0</v>
      </c>
      <c r="H27" s="61">
        <f t="shared" si="0"/>
        <v>0</v>
      </c>
      <c r="I27" s="28">
        <f t="shared" ref="I27:AN27" si="1">COUNTIF(I6:I26,"sim")</f>
        <v>0</v>
      </c>
      <c r="J27" s="28">
        <f t="shared" si="1"/>
        <v>0</v>
      </c>
      <c r="K27" s="28">
        <f t="shared" si="1"/>
        <v>0</v>
      </c>
      <c r="L27" s="28">
        <f t="shared" si="1"/>
        <v>0</v>
      </c>
      <c r="M27" s="28">
        <f t="shared" si="1"/>
        <v>0</v>
      </c>
      <c r="N27" s="28">
        <f t="shared" si="1"/>
        <v>0</v>
      </c>
      <c r="O27" s="28">
        <f t="shared" si="1"/>
        <v>0</v>
      </c>
      <c r="P27" s="28">
        <f t="shared" si="1"/>
        <v>0</v>
      </c>
      <c r="Q27" s="28">
        <f t="shared" si="1"/>
        <v>0</v>
      </c>
      <c r="R27" s="28">
        <f t="shared" si="1"/>
        <v>0</v>
      </c>
      <c r="S27" s="28">
        <f t="shared" si="1"/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si="1"/>
        <v>0</v>
      </c>
      <c r="AO27" s="28">
        <f t="shared" ref="AO27:BT27" si="2">COUNTIF(AO6:AO26,"sim")</f>
        <v>0</v>
      </c>
      <c r="AP27" s="28">
        <f t="shared" si="2"/>
        <v>0</v>
      </c>
      <c r="AQ27" s="28">
        <f t="shared" si="2"/>
        <v>0</v>
      </c>
      <c r="AR27" s="28">
        <f t="shared" si="2"/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si="2"/>
        <v>0</v>
      </c>
      <c r="BU27" s="28">
        <f t="shared" ref="BU27:CZ27" si="3">COUNTIF(BU6:BU26,"sim")</f>
        <v>0</v>
      </c>
      <c r="BV27" s="28">
        <f t="shared" si="3"/>
        <v>0</v>
      </c>
      <c r="BW27" s="28">
        <f t="shared" si="3"/>
        <v>0</v>
      </c>
      <c r="BX27" s="28">
        <f t="shared" si="3"/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si="3"/>
        <v>0</v>
      </c>
      <c r="DA27" s="28">
        <f t="shared" ref="DA27:EC27" si="4">COUNTIF(DA6:DA26,"sim")</f>
        <v>0</v>
      </c>
      <c r="DB27" s="28">
        <f t="shared" si="4"/>
        <v>0</v>
      </c>
      <c r="DC27" s="28">
        <f t="shared" si="4"/>
        <v>0</v>
      </c>
      <c r="DD27" s="28">
        <f t="shared" si="4"/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  <c r="EC27" s="28">
        <f t="shared" si="4"/>
        <v>0</v>
      </c>
    </row>
    <row r="28" spans="1:133" s="29" customFormat="1" ht="15.75">
      <c r="A28" s="62"/>
      <c r="B28" s="67" t="s">
        <v>19</v>
      </c>
      <c r="E28" s="62">
        <f>COUNTIF(E6:E27,"não")</f>
        <v>0</v>
      </c>
      <c r="F28" s="62">
        <f>COUNTIF(F6:F27,"não")</f>
        <v>1</v>
      </c>
      <c r="G28" s="62">
        <f t="shared" ref="G28:H28" si="5">COUNTIF(G6:G27,"não")</f>
        <v>0</v>
      </c>
      <c r="H28" s="62">
        <f t="shared" si="5"/>
        <v>0</v>
      </c>
      <c r="I28" s="29">
        <f t="shared" ref="I28:AN28" si="6">COUNTIF(I6:I27,"não")</f>
        <v>0</v>
      </c>
      <c r="J28" s="29">
        <f t="shared" si="6"/>
        <v>0</v>
      </c>
      <c r="K28" s="29">
        <f t="shared" si="6"/>
        <v>0</v>
      </c>
      <c r="L28" s="29">
        <f t="shared" si="6"/>
        <v>0</v>
      </c>
      <c r="M28" s="29">
        <f t="shared" si="6"/>
        <v>0</v>
      </c>
      <c r="N28" s="29">
        <f t="shared" si="6"/>
        <v>0</v>
      </c>
      <c r="O28" s="29">
        <f t="shared" si="6"/>
        <v>0</v>
      </c>
      <c r="P28" s="29">
        <f t="shared" si="6"/>
        <v>0</v>
      </c>
      <c r="Q28" s="29">
        <f t="shared" si="6"/>
        <v>0</v>
      </c>
      <c r="R28" s="29">
        <f t="shared" si="6"/>
        <v>0</v>
      </c>
      <c r="S28" s="29">
        <f t="shared" si="6"/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si="6"/>
        <v>0</v>
      </c>
      <c r="AO28" s="29">
        <f t="shared" ref="AO28:BT28" si="7">COUNTIF(AO6:AO27,"não")</f>
        <v>0</v>
      </c>
      <c r="AP28" s="29">
        <f t="shared" si="7"/>
        <v>0</v>
      </c>
      <c r="AQ28" s="29">
        <f t="shared" si="7"/>
        <v>0</v>
      </c>
      <c r="AR28" s="29">
        <f t="shared" si="7"/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si="7"/>
        <v>0</v>
      </c>
      <c r="BU28" s="29">
        <f t="shared" ref="BU28:CZ28" si="8">COUNTIF(BU6:BU27,"não")</f>
        <v>0</v>
      </c>
      <c r="BV28" s="29">
        <f t="shared" si="8"/>
        <v>0</v>
      </c>
      <c r="BW28" s="29">
        <f t="shared" si="8"/>
        <v>0</v>
      </c>
      <c r="BX28" s="29">
        <f t="shared" si="8"/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si="8"/>
        <v>0</v>
      </c>
      <c r="DA28" s="29">
        <f t="shared" ref="DA28:EC28" si="9">COUNTIF(DA6:DA27,"não")</f>
        <v>0</v>
      </c>
      <c r="DB28" s="29">
        <f t="shared" si="9"/>
        <v>0</v>
      </c>
      <c r="DC28" s="29">
        <f t="shared" si="9"/>
        <v>0</v>
      </c>
      <c r="DD28" s="29">
        <f t="shared" si="9"/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  <c r="EC28" s="29">
        <f t="shared" si="9"/>
        <v>0</v>
      </c>
    </row>
    <row r="29" spans="1:133" ht="15.75">
      <c r="A29" s="63"/>
      <c r="B29" s="68" t="s">
        <v>10</v>
      </c>
      <c r="E29" s="63">
        <f>COUNTIF(E7:E28,"ausente")</f>
        <v>1</v>
      </c>
      <c r="F29" s="63">
        <f>COUNTIF(F7:F28,"ausente")</f>
        <v>1</v>
      </c>
      <c r="G29" s="63">
        <f t="shared" ref="G29:H29" si="10">COUNTIF(G7:G28,"ausente")</f>
        <v>0</v>
      </c>
      <c r="H29" s="63">
        <f t="shared" si="10"/>
        <v>0</v>
      </c>
      <c r="I29">
        <f>COUNTIF(I7:I28,"ausente")</f>
        <v>0</v>
      </c>
      <c r="J29">
        <v>6</v>
      </c>
      <c r="K29">
        <v>6</v>
      </c>
      <c r="L29">
        <v>6</v>
      </c>
      <c r="M29">
        <v>6</v>
      </c>
      <c r="N29">
        <f t="shared" ref="N29:AS29" si="11">COUNTIF(N7:N28,"ausente")</f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si="11"/>
        <v>0</v>
      </c>
      <c r="AT29">
        <f t="shared" ref="AT29:BY29" si="12">COUNTIF(AT7:AT28,"ausente")</f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si="12"/>
        <v>0</v>
      </c>
      <c r="BZ29">
        <f t="shared" ref="BZ29:DE29" si="13">COUNTIF(BZ7:BZ28,"ausente")</f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si="13"/>
        <v>0</v>
      </c>
      <c r="DF29">
        <f t="shared" ref="DF29:EC29" si="14">COUNTIF(DF7:DF28,"ausente")</f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  <c r="EC29">
        <f t="shared" si="14"/>
        <v>0</v>
      </c>
    </row>
    <row r="30" spans="1:133" s="30" customFormat="1" ht="15.75">
      <c r="A30" s="64"/>
      <c r="B30" s="69" t="s">
        <v>20</v>
      </c>
      <c r="E30" s="64">
        <f>COUNTIF(E8:E29,"abstenção")</f>
        <v>0</v>
      </c>
      <c r="F30" s="64">
        <f>COUNTIF(F8:F29,"abstenção")</f>
        <v>0</v>
      </c>
      <c r="G30" s="64">
        <f t="shared" ref="G30:H30" si="15">COUNTIF(G8:G29,"abstenção")</f>
        <v>0</v>
      </c>
      <c r="H30" s="64">
        <f t="shared" si="15"/>
        <v>0</v>
      </c>
      <c r="I30" s="30">
        <f t="shared" ref="I30:AN30" si="16">COUNTIF(I8:I29,"abstenção")</f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30">
        <f t="shared" si="16"/>
        <v>0</v>
      </c>
      <c r="P30" s="30">
        <f t="shared" si="16"/>
        <v>0</v>
      </c>
      <c r="Q30" s="30">
        <f t="shared" si="16"/>
        <v>0</v>
      </c>
      <c r="R30" s="30">
        <f t="shared" si="16"/>
        <v>0</v>
      </c>
      <c r="S30" s="30">
        <f t="shared" si="16"/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si="16"/>
        <v>0</v>
      </c>
      <c r="AO30" s="30">
        <f t="shared" ref="AO30:BR30" si="17">COUNTIF(AO8:AO29,"abstenção")</f>
        <v>0</v>
      </c>
      <c r="AP30" s="30">
        <f t="shared" si="17"/>
        <v>0</v>
      </c>
      <c r="AQ30" s="30">
        <f t="shared" si="17"/>
        <v>0</v>
      </c>
      <c r="AR30" s="30">
        <f t="shared" si="17"/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si="17"/>
        <v>0</v>
      </c>
      <c r="BS30" s="30">
        <f t="shared" ref="BS30:EC30" si="18">COUNTIF(BS8:BS29,"abstenção")</f>
        <v>0</v>
      </c>
      <c r="BT30" s="30">
        <f t="shared" si="18"/>
        <v>0</v>
      </c>
      <c r="BU30" s="30">
        <f t="shared" si="18"/>
        <v>0</v>
      </c>
      <c r="BV30" s="30">
        <f t="shared" si="18"/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  <c r="EC30" s="30">
        <f t="shared" si="18"/>
        <v>0</v>
      </c>
    </row>
    <row r="32" spans="1:133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PRIMEIRA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2025-06-10T14:31:07Z</dcterms:modified>
</cp:coreProperties>
</file>