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6271CB1-5DD4-4639-B15A-28808C1FC2D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8" i="11" l="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F27" i="2"/>
  <c r="G27" i="2"/>
  <c r="H27" i="2"/>
  <c r="F28" i="2"/>
  <c r="G28" i="2"/>
  <c r="H28" i="2"/>
  <c r="F29" i="2"/>
  <c r="G29" i="2"/>
  <c r="H29" i="2"/>
  <c r="F30" i="2"/>
  <c r="G30" i="2"/>
  <c r="H30" i="2"/>
  <c r="C27" i="3"/>
  <c r="C28" i="3"/>
  <c r="C29" i="3"/>
  <c r="C30" i="3"/>
  <c r="E27" i="2"/>
  <c r="E28" i="2"/>
  <c r="E29" i="2"/>
  <c r="E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<sst xmlns="http://schemas.openxmlformats.org/spreadsheetml/2006/main" count="468" uniqueCount="129">
  <si>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</si>
  <si>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</si>
  <si>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</si>
  <si>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</si>
  <si>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</si>
  <si>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</si>
  <si>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</si>
  <si>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</si>
  <si>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</si>
  <si>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</si>
  <si>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</si>
  <si>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</si>
  <si>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</si>
  <si>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</si>
  <si>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</si>
  <si>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</si>
  <si>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</si>
  <si>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</si>
  <si>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</si>
  <si>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</si>
  <si>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</si>
  <si>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</si>
  <si>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</si>
  <si>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</si>
  <si>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</si>
  <si>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</si>
  <si>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</si>
  <si>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</si>
  <si>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</si>
  <si>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</si>
  <si>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</si>
  <si>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</si>
  <si>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</si>
  <si>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</si>
  <si>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</si>
  <si>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</si>
  <si>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</si>
  <si>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</si>
  <si>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</si>
  <si>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</si>
  <si>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</si>
  <si>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</si>
  <si>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</si>
  <si>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</si>
  <si>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</si>
  <si>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</si>
  <si>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</si>
  <si>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</si>
  <si>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</si>
  <si>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</si>
  <si>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</si>
  <si>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</si>
  <si>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</si>
  <si>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</si>
  <si>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</si>
  <si>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</si>
  <si>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</si>
  <si>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</si>
  <si>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</si>
  <si>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</si>
  <si>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</si>
  <si>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</si>
  <si>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</si>
  <si>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</si>
  <si>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</si>
  <si>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</si>
  <si>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</si>
  <si>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</si>
  <si>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</si>
  <si>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</si>
  <si>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</si>
  <si>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</si>
  <si>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</si>
  <si>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</si>
  <si>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</si>
  <si>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</si>
  <si>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</si>
  <si>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</si>
  <si>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</si>
  <si>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</si>
  <si>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</si>
  <si>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</si>
  <si>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</si>
  <si>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</si>
  <si>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</si>
  <si>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</si>
  <si>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</si>
  <si>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</si>
  <si>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</si>
  <si>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</si>
  <si>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</si>
  <si>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</si>
  <si>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</si>
  <si>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</si>
  <si>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</si>
  <si>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</si>
  <si>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</si>
  <si>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t>Justificativa de ausência da Vereadora Lúcia da Saúde.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</si>
  <si>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</si>
  <si>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r>
      <t xml:space="preserve">PROJETO DE LEI N.º 77/2026 – RALFI - </t>
    </r>
    <r>
      <rPr>
        <sz val="14"/>
        <color theme="1"/>
        <rFont val="Arial"/>
        <family val="2"/>
      </rPr>
      <t>Dispõe sobre diretrizes para a promoção da triagem precoce para detecção de sinais de Transtorno do Espectro Autista (TEA) e outras deficiências no Município de Osasco.</t>
    </r>
  </si>
  <si>
    <r>
      <t xml:space="preserve">PROJETO DE LEI N.º 147/2026 - GABRIEL SAÚDE - </t>
    </r>
    <r>
      <rPr>
        <sz val="11"/>
        <color theme="1"/>
        <rFont val="Arial"/>
        <family val="2"/>
      </rPr>
      <t>Denomina Viela José Carlos de Arruda a atual Viela 15 do Loteamento Jardim Velloso, situado no Bairro Veloso.</t>
    </r>
  </si>
  <si>
    <t>Justificativa de ausência do Vereador Heber do Juntoz.</t>
  </si>
  <si>
    <r>
      <t xml:space="preserve">MOÇÃO DE APLAUSO N.º 250/2026 – JOSIAS DA JUCO – </t>
    </r>
    <r>
      <rPr>
        <sz val="11"/>
        <color theme="1"/>
        <rFont val="Arial"/>
        <family val="2"/>
      </rPr>
      <t>Aos Guardas Civis Municipais Tardelli e João Victor, integrantes da Guarda Civil de Osasco, em reconhecimento ao trabalho de excelência desenvolvido no exercício de suas funções, marcado por comprometimento, profissionalismo, coragem, e dedicação à proteção da população osasquense.</t>
    </r>
  </si>
  <si>
    <r>
      <t>MOÇÃO DE CONGRATULAÇÕES N.º 258/2026 – DELBIO TERUEL –</t>
    </r>
    <r>
      <rPr>
        <sz val="11"/>
        <color theme="1"/>
        <rFont val="Arial"/>
        <family val="2"/>
      </rPr>
      <t xml:space="preserve"> À União Distribuidora de Aço - UDIAÇO, extensiva aos seus fundadores Hélio Trevizan Júnior, Adalberto Trevizan e Wagner Trevizan, seus familiares, diretores, colaboradores e a todos que fazem parte da família Udiaço, pela comemoração de seus 37 anos de fundação, celebrados em 8 de setembro.</t>
    </r>
  </si>
  <si>
    <r>
      <t xml:space="preserve">PROJETO DE LEI N.º 89/2026 - JOSIAS DA JUCO - </t>
    </r>
    <r>
      <rPr>
        <sz val="14"/>
        <color theme="1"/>
        <rFont val="Arial"/>
        <family val="2"/>
      </rPr>
      <t>Altera a Lei nº 4.855, de 07 de dezembro de 2017, para estender a prorrogação da licença-maternidade às servidoras públicas municipais que adotarem ou obtiverem guarda judicial para fins de adoção.</t>
    </r>
  </si>
  <si>
    <r>
      <t>PROJETO DE LEI N.º 131/2026 - CANTOR GOLEIRO -</t>
    </r>
    <r>
      <rPr>
        <sz val="14"/>
        <color theme="1"/>
        <rFont val="Arial"/>
        <family val="2"/>
      </rPr>
      <t xml:space="preserve"> Institui no Calendário Oficial de Eventos de Osasco o Dia do Aniversário do Jd. Canaã.</t>
    </r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</si>
  <si>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</si>
  <si>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50ª SESSÃO ORDINÁRIA</t>
  </si>
  <si>
    <t>DIA 15 DE SETEMBRO DE 2026 - TERÇA-FEIRA</t>
  </si>
  <si>
    <t>OFÍCIO PROLEGIS Nº 202603295690 – Prefeito do Município de Osasco – Informa a sanção da Lei nº 5.517, de 8 de setembro de 2026, referente ao Projeto de Lei nº 185/2026, de autoria do Prefeito do Município de Osasco que dispõe sobre abertura de crédito adicional especial ao orçamento vigente e dá outras providências.</t>
  </si>
  <si>
    <t>OFÍCIO PROLEGIS nº 202603295703 - Prefeito do Município de Osasco – Informa a sanção da Lei nº 5.518, de 8 de setembro de 2026, referente ao Projeto de Lei nº 190/2026, de autoria do Prefeito do Município de Osasco que dispõe sobre abertura de crédito adicional especial ao orçamento vigente e dá outras providências.</t>
  </si>
  <si>
    <t>OFÍCIO PROLEGIS nº 202603295587 - Prefeito do Município de Osasco – Informa a sanção da Lei nº 5.519, de 8 de setembro de 2026, referente ao Projeto de Lei nº 100/2026, de autoria do vereador Carmônio Bastos que dispõe sobre a denominação do novo prédio da Câmara Municipal de Osasco.</t>
  </si>
  <si>
    <t>OFÍCIO PROLEGIS nº 202603295673 - Prefeito do Município de Osasco – Informa a sanção da Lei nº 5.520, de 8 de setembro de 2026, referente ao Projeto de Lei nº 5/2026, de autoria do vereador Délbio Teruel que institui diretrizes para a prevenção, identificação e acolhimento de pessoas com transtorno do jogo patológico (ludopatia) no âmbito da rede municipal de saúde, com foco na atenção psicossocial, e dá outras providências.</t>
  </si>
  <si>
    <t>Decretos nº 15.222 ao 15.224, 15.228, 15.229, 15.232 e 15.233 de setembro de 2026 – Prefeito do Município de Osasco - Dispõem sobre a abertura de crédito adicional suplementar ao orçamento vigente e dão outras providências.</t>
  </si>
  <si>
    <t xml:space="preserve">PROJETO DE LEI Nº 211/2026 - Prefeito do Município de Osasco - Dispõe sobre a 
abertura de crédito adicional especial ao orçamento vigente e dá outras providências. </t>
  </si>
  <si>
    <t xml:space="preserve">PROJETO DE LEI Nº 212/2026 - Prefeito do Município de Osasco - Dispõe sobre a 
abertura de crédito adicional especial ao orçamento vigente e dá outras providências. </t>
  </si>
  <si>
    <t xml:space="preserve">PROJETO DE LEI Nº 198/2026 – Délbio Teruel - Dispõe sobre a denominação da Praça 
Benedito José dos Santos. </t>
  </si>
  <si>
    <t xml:space="preserve">PROJETO DE LEI Nº 208/2026 – Gabriel Saúde - Altera a Lei nº 4.524, de 4 de abril de 
2012, para dispor sobre a transferência da permissão de exploração do serviço de táxi 
em caso de falecimento do permissionário e em razão de incapacidade superveniente 
para a condução do veículo, e dá outras providências. </t>
  </si>
  <si>
    <t xml:space="preserve"> PROJETO DE LEI Nº 209/2026 – Pedrinho Cantagessi - Dispõe sobre diretrizes para 
a promoção da saúde mental dos servidores públicos municipais no âmbito do Município 
de Osasco. </t>
  </si>
  <si>
    <r>
      <t>MOÇÃO DE APLAUSO N.º 260/2026 – DELBIO TERUEL –</t>
    </r>
    <r>
      <rPr>
        <sz val="11"/>
        <color theme="1"/>
        <rFont val="Arial"/>
        <family val="2"/>
      </rPr>
      <t xml:space="preserve"> À Secretaria Municipal de Educação de Osasco, na pessoa do Secretário José Toste Borges, extensiva aos coordenadores, gestores, servidores, profissionais da educação e a toda equipe responsável pela organização e realização do desfile cívico de 7 de Setembro, pelo excelente trabalho desenvolvido na comemoração da Independência do Brasil.</t>
    </r>
  </si>
  <si>
    <r>
      <t xml:space="preserve">MOÇÃO DE CONGRATULAÇÕES N.º 261/2026 – STEPHANE ROSSI – </t>
    </r>
    <r>
      <rPr>
        <sz val="11"/>
        <color theme="1"/>
        <rFont val="Arial"/>
        <family val="2"/>
      </rPr>
      <t>Ao Sr. Waldir Russel, renomado artista plástico, cuja produção artística vem contribuindo de maneira significativa para o fortalecimento e a valorização da cultura e das artes plásticas em nosso Município.</t>
    </r>
  </si>
  <si>
    <r>
      <t xml:space="preserve">MOÇÃO DE APLAUSO N.º 262/2026 – BATISTA COMUNIDADE – </t>
    </r>
    <r>
      <rPr>
        <sz val="11"/>
        <color theme="1"/>
        <rFont val="Arial"/>
        <family val="2"/>
      </rPr>
      <t>Ao servidor público, cantor, missionário e presbítero Odin Soares da Cunha, pela trajetória de vida marcada pela fé, trabalho, dedicação ao serviço público e compromisso com a comunidade de Osasco.</t>
    </r>
  </si>
  <si>
    <r>
      <t xml:space="preserve">MOÇÃO DE PESAR N.º 263/2026 – SÉRGIO FONTELLAS – </t>
    </r>
    <r>
      <rPr>
        <sz val="11"/>
        <color theme="1"/>
        <rFont val="Arial"/>
        <family val="2"/>
      </rPr>
      <t>Pelo falecimento de Valdeci Lopes Bastos, no dia 9 de setembro.</t>
    </r>
  </si>
  <si>
    <r>
      <t xml:space="preserve">MOÇÃO DE RECONHECIMENTO N.º 264/2026 – GUILHERME PRADO – </t>
    </r>
    <r>
      <rPr>
        <sz val="11"/>
        <color theme="1"/>
        <rFont val="Arial"/>
        <family val="2"/>
      </rPr>
      <t>Ao compositor osasquense Léo Rocatto, por sua trajetória, criatividade e inteligência artística, bem como à relevante contribuição para a música brasileira.</t>
    </r>
  </si>
  <si>
    <t>pela ausêmcia da autora, será pautado na próxima sessão.</t>
  </si>
  <si>
    <t>APROVADO</t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</si>
  <si>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</si>
  <si>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t>sim</t>
  </si>
  <si>
    <t>na presidência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</si>
</sst>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2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6" sqref="K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1" t="s">
        <v>27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70"/>
      <c r="O1" s="70"/>
      <c r="P1" s="70"/>
      <c r="Q1" s="40">
        <v>1</v>
      </c>
      <c r="R1" s="36" t="s">
        <v>10</v>
      </c>
      <c r="T1" s="155"/>
      <c r="U1" s="155"/>
      <c r="V1" s="155"/>
      <c r="W1" s="155"/>
      <c r="X1" s="155"/>
      <c r="Y1" s="155"/>
      <c r="Z1" s="7" t="s">
        <v>16</v>
      </c>
    </row>
    <row r="2" spans="1:28" ht="19.5" customHeight="1">
      <c r="A2" s="83" t="s">
        <v>107</v>
      </c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70"/>
      <c r="O2" s="70"/>
      <c r="P2" s="70"/>
      <c r="Q2" s="35">
        <v>2</v>
      </c>
      <c r="R2" s="36" t="s">
        <v>11</v>
      </c>
      <c r="T2" s="155"/>
      <c r="U2" s="155"/>
      <c r="V2" s="155"/>
      <c r="W2" s="155"/>
      <c r="X2" s="155"/>
      <c r="Y2" s="155"/>
      <c r="Z2" s="7" t="s">
        <v>17</v>
      </c>
    </row>
    <row r="3" spans="1:28" ht="19.5" customHeight="1" thickBot="1">
      <c r="A3" s="83" t="s">
        <v>108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70"/>
      <c r="O3" s="70"/>
      <c r="P3" s="70"/>
      <c r="Q3" s="41">
        <v>3</v>
      </c>
      <c r="R3" s="37" t="s">
        <v>12</v>
      </c>
      <c r="T3" s="155"/>
      <c r="U3" s="155"/>
      <c r="V3" s="155"/>
      <c r="W3" s="155"/>
      <c r="X3" s="155"/>
      <c r="Y3" s="155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5"/>
      <c r="U4" s="155"/>
      <c r="V4" s="155"/>
      <c r="W4" s="155"/>
      <c r="X4" s="155"/>
      <c r="Y4" s="155"/>
    </row>
    <row r="5" spans="1:28" ht="18" customHeight="1">
      <c r="A5" s="46" t="s">
        <v>94</v>
      </c>
      <c r="B5" s="88">
        <v>2</v>
      </c>
      <c r="C5" s="102" t="s">
        <v>48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5"/>
      <c r="U5" s="155"/>
      <c r="V5" s="155"/>
      <c r="W5" s="155"/>
      <c r="X5" s="155"/>
      <c r="Y5" s="155"/>
    </row>
    <row r="6" spans="1:28" ht="18" customHeight="1">
      <c r="A6" s="46" t="s">
        <v>60</v>
      </c>
      <c r="B6" s="88">
        <v>2</v>
      </c>
      <c r="C6" s="102" t="s">
        <v>48</v>
      </c>
      <c r="D6" s="63"/>
      <c r="E6" s="62"/>
      <c r="F6" s="88">
        <v>2</v>
      </c>
      <c r="G6" s="102" t="s">
        <v>48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5"/>
      <c r="U6" s="155"/>
      <c r="V6" s="155"/>
      <c r="W6" s="155"/>
      <c r="X6" s="155"/>
      <c r="Y6" s="155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5"/>
      <c r="U7" s="155"/>
      <c r="V7" s="155"/>
      <c r="W7" s="155"/>
      <c r="X7" s="155"/>
      <c r="Y7" s="155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5"/>
      <c r="U8" s="155"/>
      <c r="V8" s="155"/>
      <c r="W8" s="155"/>
      <c r="X8" s="155"/>
      <c r="Y8" s="155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5"/>
      <c r="U9" s="155"/>
      <c r="V9" s="155"/>
      <c r="W9" s="155"/>
      <c r="X9" s="155"/>
      <c r="Y9" s="155"/>
    </row>
    <row r="10" spans="1:28" ht="18" customHeight="1">
      <c r="A10" s="46" t="s">
        <v>51</v>
      </c>
      <c r="B10" s="88">
        <v>1</v>
      </c>
      <c r="C10" s="62" t="s">
        <v>47</v>
      </c>
      <c r="D10" s="63"/>
      <c r="E10" s="102"/>
      <c r="F10" s="88">
        <v>1</v>
      </c>
      <c r="G10" s="62" t="s">
        <v>47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5"/>
      <c r="U10" s="155"/>
      <c r="V10" s="155"/>
      <c r="W10" s="155"/>
      <c r="X10" s="155"/>
      <c r="Y10" s="155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5"/>
      <c r="U11" s="155"/>
      <c r="V11" s="155"/>
      <c r="W11" s="155"/>
      <c r="X11" s="155"/>
      <c r="Y11" s="155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5"/>
      <c r="U12" s="155"/>
      <c r="V12" s="155"/>
      <c r="W12" s="155"/>
      <c r="X12" s="155"/>
      <c r="Y12" s="155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5"/>
      <c r="U13" s="155"/>
      <c r="V13" s="155"/>
      <c r="W13" s="155"/>
      <c r="X13" s="155"/>
      <c r="Y13" s="155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5"/>
      <c r="U14" s="155"/>
      <c r="V14" s="155"/>
      <c r="W14" s="155"/>
      <c r="X14" s="155"/>
      <c r="Y14" s="155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5"/>
      <c r="U15" s="155"/>
      <c r="V15" s="155"/>
      <c r="W15" s="155"/>
      <c r="X15" s="155"/>
      <c r="Y15" s="155"/>
    </row>
    <row r="16" spans="1:28" ht="18.75" customHeight="1">
      <c r="A16" s="46" t="s">
        <v>87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5"/>
      <c r="U16" s="155"/>
      <c r="V16" s="155"/>
      <c r="W16" s="155"/>
      <c r="X16" s="155"/>
      <c r="Y16" s="155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5"/>
      <c r="U17" s="155"/>
      <c r="V17" s="155"/>
      <c r="W17" s="155"/>
      <c r="X17" s="155"/>
      <c r="Y17" s="155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5"/>
      <c r="U18" s="155"/>
      <c r="V18" s="155"/>
      <c r="W18" s="155"/>
      <c r="X18" s="155"/>
      <c r="Y18" s="155"/>
    </row>
    <row r="19" spans="1:28" ht="18" customHeight="1">
      <c r="A19" s="46" t="s">
        <v>88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5"/>
      <c r="U19" s="155"/>
      <c r="V19" s="155"/>
      <c r="W19" s="155"/>
      <c r="X19" s="155"/>
      <c r="Y19" s="155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5"/>
      <c r="U20" s="155"/>
      <c r="V20" s="155"/>
      <c r="W20" s="155"/>
      <c r="X20" s="155"/>
      <c r="Y20" s="155"/>
    </row>
    <row r="21" spans="1:28" ht="18" customHeight="1">
      <c r="A21" s="46" t="s">
        <v>93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5"/>
      <c r="U21" s="155"/>
      <c r="V21" s="155"/>
      <c r="W21" s="155"/>
      <c r="X21" s="155"/>
      <c r="Y21" s="155"/>
    </row>
    <row r="22" spans="1:28" ht="18.75" customHeight="1">
      <c r="A22" s="46" t="s">
        <v>95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5"/>
      <c r="U22" s="155"/>
      <c r="V22" s="155"/>
      <c r="W22" s="155"/>
      <c r="X22" s="155"/>
      <c r="Y22" s="155"/>
    </row>
    <row r="23" spans="1:28" ht="18" customHeight="1">
      <c r="A23" s="46" t="s">
        <v>61</v>
      </c>
      <c r="B23" s="88">
        <v>1</v>
      </c>
      <c r="C23" s="62" t="s">
        <v>47</v>
      </c>
      <c r="D23" s="63"/>
      <c r="E23" s="102"/>
      <c r="F23" s="88">
        <v>1</v>
      </c>
      <c r="G23" s="62" t="s">
        <v>47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5"/>
      <c r="U23" s="155"/>
      <c r="V23" s="155"/>
      <c r="W23" s="155"/>
      <c r="X23" s="155"/>
      <c r="Y23" s="155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5"/>
      <c r="U24" s="155"/>
      <c r="V24" s="155"/>
      <c r="W24" s="155"/>
      <c r="X24" s="155"/>
      <c r="Y24" s="155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2</v>
      </c>
      <c r="K25" s="102" t="s">
        <v>48</v>
      </c>
      <c r="L25" s="67"/>
      <c r="M25" s="65"/>
      <c r="N25" s="63"/>
      <c r="O25" s="62"/>
      <c r="P25" s="63"/>
      <c r="Q25" s="66"/>
      <c r="R25" s="102"/>
      <c r="S25" s="91"/>
      <c r="T25" s="155"/>
      <c r="U25" s="155"/>
      <c r="V25" s="155"/>
      <c r="W25" s="155"/>
      <c r="X25" s="155"/>
      <c r="Y25" s="155"/>
    </row>
    <row r="26" spans="1:28" ht="16.5" thickBot="1">
      <c r="A26" s="38" t="s">
        <v>13</v>
      </c>
      <c r="B26" s="98">
        <v>12</v>
      </c>
      <c r="C26" s="96" t="s">
        <v>43</v>
      </c>
      <c r="D26" s="98"/>
      <c r="E26" s="96" t="s">
        <v>43</v>
      </c>
      <c r="F26" s="98">
        <v>14</v>
      </c>
      <c r="G26" s="96" t="s">
        <v>43</v>
      </c>
      <c r="H26" s="100"/>
      <c r="I26" s="101"/>
      <c r="J26" s="98">
        <v>16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44</v>
      </c>
      <c r="D27" s="98"/>
      <c r="E27" s="96" t="s">
        <v>44</v>
      </c>
      <c r="F27" s="98">
        <v>7</v>
      </c>
      <c r="G27" s="96" t="s">
        <v>44</v>
      </c>
      <c r="H27" s="100"/>
      <c r="I27" s="96"/>
      <c r="J27" s="98">
        <v>5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94</v>
      </c>
      <c r="V32" s="12"/>
      <c r="W32" s="12"/>
    </row>
    <row r="33" spans="1:23" ht="18">
      <c r="A33" s="34" t="s">
        <v>55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82</v>
      </c>
      <c r="V44" s="12"/>
      <c r="W44" s="12"/>
    </row>
    <row r="45" spans="1:23" ht="18">
      <c r="A45" s="34" t="s">
        <v>53</v>
      </c>
      <c r="V45" s="12"/>
      <c r="W45" s="12"/>
    </row>
    <row r="46" spans="1:23" ht="18">
      <c r="A46" s="34" t="s">
        <v>93</v>
      </c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S5" sqref="S5"/>
    </sheetView>
  </sheetViews>
  <sheetFormatPr defaultColWidth="9.140625" defaultRowHeight="12.75"/>
  <cols>
    <col min="1" max="1" width="47.7109375" style="22" customWidth="1"/>
    <col min="2" max="14" width="23.7109375" style="22" customWidth="1"/>
    <col min="15" max="15" width="19" style="22" customWidth="1"/>
    <col min="16" max="16" width="26.28515625" style="22" customWidth="1"/>
    <col min="17" max="17" width="22.140625" style="22" customWidth="1"/>
    <col min="18" max="24" width="22.7109375" style="22" customWidth="1"/>
    <col min="25" max="16384" width="9.140625" style="22"/>
  </cols>
  <sheetData>
    <row r="1" spans="1:2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4" ht="15">
      <c r="A2" s="76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24" ht="17.25" customHeight="1">
      <c r="A3" s="76" t="s">
        <v>108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4" ht="63" customHeight="1">
      <c r="A4" s="51" t="str">
        <f>'[1]MOÇÃO E REQUERIMENTO'!B7</f>
        <v>EXPEDIENTE</v>
      </c>
      <c r="B4" s="50" t="s">
        <v>42</v>
      </c>
      <c r="C4" s="117" t="s">
        <v>97</v>
      </c>
      <c r="D4" s="117" t="s">
        <v>101</v>
      </c>
      <c r="E4" s="117" t="s">
        <v>109</v>
      </c>
      <c r="F4" s="117" t="s">
        <v>110</v>
      </c>
      <c r="G4" s="117" t="s">
        <v>111</v>
      </c>
      <c r="H4" s="117" t="s">
        <v>112</v>
      </c>
      <c r="I4" s="117" t="s">
        <v>113</v>
      </c>
      <c r="J4" s="117" t="s">
        <v>114</v>
      </c>
      <c r="K4" s="117" t="s">
        <v>115</v>
      </c>
      <c r="L4" s="117" t="s">
        <v>116</v>
      </c>
      <c r="M4" s="117" t="s">
        <v>117</v>
      </c>
      <c r="N4" s="117" t="s">
        <v>118</v>
      </c>
      <c r="O4" s="112" t="s">
        <v>32</v>
      </c>
      <c r="P4" s="123"/>
      <c r="Q4" s="50" t="s">
        <v>25</v>
      </c>
      <c r="R4" s="84" t="s">
        <v>102</v>
      </c>
      <c r="S4" s="84" t="s">
        <v>103</v>
      </c>
      <c r="T4" s="84" t="s">
        <v>119</v>
      </c>
      <c r="U4" s="84" t="s">
        <v>120</v>
      </c>
      <c r="V4" s="84" t="s">
        <v>121</v>
      </c>
      <c r="W4" s="84" t="s">
        <v>122</v>
      </c>
      <c r="X4" s="84" t="s">
        <v>123</v>
      </c>
    </row>
    <row r="5" spans="1:24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13"/>
      <c r="R5" s="149" t="s">
        <v>96</v>
      </c>
      <c r="S5" s="113" t="s">
        <v>84</v>
      </c>
      <c r="T5" s="113" t="s">
        <v>84</v>
      </c>
      <c r="U5" s="113" t="s">
        <v>84</v>
      </c>
      <c r="V5" s="149" t="s">
        <v>96</v>
      </c>
      <c r="W5" s="113" t="s">
        <v>84</v>
      </c>
      <c r="X5" s="149" t="s">
        <v>96</v>
      </c>
    </row>
    <row r="6" spans="1:24" ht="15.75">
      <c r="A6" s="126" t="s">
        <v>94</v>
      </c>
      <c r="Q6" s="23"/>
    </row>
    <row r="7" spans="1:24" ht="15.75">
      <c r="A7" s="126" t="s">
        <v>60</v>
      </c>
      <c r="Q7" s="23"/>
    </row>
    <row r="8" spans="1:24" ht="15.75">
      <c r="A8" s="126" t="s">
        <v>49</v>
      </c>
      <c r="Q8" s="23"/>
    </row>
    <row r="9" spans="1:24" ht="15.75">
      <c r="A9" s="127" t="s">
        <v>50</v>
      </c>
      <c r="Q9" s="23"/>
    </row>
    <row r="10" spans="1:24" ht="15.75">
      <c r="A10" s="126" t="s">
        <v>26</v>
      </c>
      <c r="Q10" s="23"/>
    </row>
    <row r="11" spans="1:24" ht="15.75">
      <c r="A11" s="126" t="s">
        <v>51</v>
      </c>
      <c r="Q11" s="23"/>
    </row>
    <row r="12" spans="1:24" ht="15.75">
      <c r="A12" s="126" t="s">
        <v>22</v>
      </c>
      <c r="Q12" s="23"/>
    </row>
    <row r="13" spans="1:24" ht="15.75">
      <c r="A13" s="126" t="s">
        <v>23</v>
      </c>
      <c r="Q13" s="23"/>
    </row>
    <row r="14" spans="1:24" ht="15.75">
      <c r="A14" s="126" t="s">
        <v>52</v>
      </c>
      <c r="Q14" s="23"/>
    </row>
    <row r="15" spans="1:24" ht="15.75">
      <c r="A15" s="126" t="s">
        <v>53</v>
      </c>
      <c r="Q15" s="23"/>
    </row>
    <row r="16" spans="1:24" ht="15.75">
      <c r="A16" s="126" t="s">
        <v>54</v>
      </c>
      <c r="Q16" s="23"/>
    </row>
    <row r="17" spans="1:17" ht="15.75">
      <c r="A17" s="126" t="s">
        <v>87</v>
      </c>
      <c r="Q17" s="23"/>
    </row>
    <row r="18" spans="1:17" ht="15.75">
      <c r="A18" s="126" t="s">
        <v>24</v>
      </c>
      <c r="Q18" s="23"/>
    </row>
    <row r="19" spans="1:17" ht="15.75">
      <c r="A19" s="126" t="s">
        <v>55</v>
      </c>
      <c r="Q19" s="23"/>
    </row>
    <row r="20" spans="1:17" ht="15.75">
      <c r="A20" s="126" t="s">
        <v>88</v>
      </c>
      <c r="Q20" s="23"/>
    </row>
    <row r="21" spans="1:17" ht="15.75">
      <c r="A21" s="126" t="s">
        <v>83</v>
      </c>
      <c r="Q21" s="23"/>
    </row>
    <row r="22" spans="1:17" ht="15.75">
      <c r="A22" s="126" t="s">
        <v>93</v>
      </c>
      <c r="Q22" s="23"/>
    </row>
    <row r="23" spans="1:17" ht="15.75">
      <c r="A23" s="126" t="s">
        <v>95</v>
      </c>
      <c r="Q23" s="23"/>
    </row>
    <row r="24" spans="1:17" ht="15.75">
      <c r="A24" s="126" t="s">
        <v>61</v>
      </c>
      <c r="Q24" s="23"/>
    </row>
    <row r="25" spans="1:17" ht="15.75">
      <c r="A25" s="126" t="s">
        <v>82</v>
      </c>
      <c r="Q25" s="23"/>
    </row>
    <row r="26" spans="1:17" ht="15.75">
      <c r="A26" s="126" t="s">
        <v>56</v>
      </c>
      <c r="Q26" s="23"/>
    </row>
    <row r="27" spans="1:17" s="25" customFormat="1">
      <c r="A27" s="24" t="s">
        <v>18</v>
      </c>
    </row>
    <row r="28" spans="1:17" s="27" customFormat="1">
      <c r="A28" s="26" t="s">
        <v>19</v>
      </c>
    </row>
    <row r="29" spans="1:17">
      <c r="A29" s="28" t="s">
        <v>11</v>
      </c>
    </row>
    <row r="30" spans="1:17" s="30" customFormat="1">
      <c r="A30" s="29" t="s">
        <v>20</v>
      </c>
    </row>
    <row r="32" spans="1:1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B1" activePane="topRight" state="frozen"/>
      <selection activeCell="A4" sqref="A4"/>
      <selection pane="topRight" activeCell="F6" sqref="F6:F7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107</v>
      </c>
      <c r="B2" s="49"/>
      <c r="C2" s="74"/>
    </row>
    <row r="3" spans="1:48" ht="17.25" customHeight="1">
      <c r="A3" s="76" t="s">
        <v>108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98</v>
      </c>
      <c r="F4" s="139" t="s">
        <v>99</v>
      </c>
      <c r="G4" s="139" t="s">
        <v>104</v>
      </c>
      <c r="H4" s="139" t="s">
        <v>105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35</v>
      </c>
      <c r="B5" s="78"/>
      <c r="C5" s="144"/>
      <c r="D5" s="79"/>
      <c r="E5" s="149" t="s">
        <v>124</v>
      </c>
      <c r="F5" s="156" t="s">
        <v>125</v>
      </c>
      <c r="G5" s="156" t="s">
        <v>125</v>
      </c>
      <c r="H5" s="156" t="s">
        <v>126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94</v>
      </c>
      <c r="C6" s="107"/>
      <c r="E6" s="107"/>
      <c r="F6" s="107" t="s">
        <v>127</v>
      </c>
      <c r="G6" s="107" t="s">
        <v>127</v>
      </c>
      <c r="H6" s="107"/>
      <c r="I6" s="142"/>
    </row>
    <row r="7" spans="1:48" ht="20.25">
      <c r="A7" s="46" t="s">
        <v>60</v>
      </c>
      <c r="C7" s="107"/>
      <c r="E7" s="107"/>
      <c r="F7" s="114" t="s">
        <v>48</v>
      </c>
      <c r="G7" s="114" t="s">
        <v>48</v>
      </c>
      <c r="H7" s="107"/>
    </row>
    <row r="8" spans="1:48" ht="20.25">
      <c r="A8" s="46" t="s">
        <v>49</v>
      </c>
      <c r="C8" s="107"/>
      <c r="E8" s="107"/>
      <c r="F8" s="107" t="s">
        <v>127</v>
      </c>
      <c r="G8" s="107" t="s">
        <v>127</v>
      </c>
      <c r="H8" s="107"/>
    </row>
    <row r="9" spans="1:48" ht="20.25">
      <c r="A9" s="82" t="s">
        <v>50</v>
      </c>
      <c r="C9" s="114"/>
      <c r="E9" s="114"/>
      <c r="F9" s="114" t="s">
        <v>128</v>
      </c>
      <c r="G9" s="114" t="s">
        <v>128</v>
      </c>
      <c r="H9" s="114"/>
    </row>
    <row r="10" spans="1:48" ht="20.25">
      <c r="A10" s="46" t="s">
        <v>26</v>
      </c>
      <c r="C10" s="107"/>
      <c r="E10" s="107"/>
      <c r="F10" s="107" t="s">
        <v>127</v>
      </c>
      <c r="G10" s="107" t="s">
        <v>127</v>
      </c>
      <c r="H10" s="107"/>
    </row>
    <row r="11" spans="1:48" ht="20.25">
      <c r="A11" s="46" t="s">
        <v>51</v>
      </c>
      <c r="C11" s="107"/>
      <c r="E11" s="107"/>
      <c r="F11" s="107" t="s">
        <v>127</v>
      </c>
      <c r="G11" s="107" t="s">
        <v>127</v>
      </c>
      <c r="H11" s="107"/>
    </row>
    <row r="12" spans="1:48" ht="20.25">
      <c r="A12" s="46" t="s">
        <v>22</v>
      </c>
      <c r="C12" s="114"/>
      <c r="E12" s="107"/>
      <c r="F12" s="107" t="s">
        <v>127</v>
      </c>
      <c r="G12" s="107" t="s">
        <v>127</v>
      </c>
      <c r="H12" s="107"/>
    </row>
    <row r="13" spans="1:48" ht="20.25">
      <c r="A13" s="46" t="s">
        <v>23</v>
      </c>
      <c r="C13" s="107"/>
      <c r="E13" s="114"/>
      <c r="F13" s="114" t="s">
        <v>48</v>
      </c>
      <c r="G13" s="114" t="s">
        <v>48</v>
      </c>
      <c r="H13" s="114"/>
    </row>
    <row r="14" spans="1:48" ht="20.25">
      <c r="A14" s="46" t="s">
        <v>52</v>
      </c>
      <c r="C14" s="107"/>
      <c r="E14" s="107"/>
      <c r="F14" s="107" t="s">
        <v>127</v>
      </c>
      <c r="G14" s="107" t="s">
        <v>127</v>
      </c>
      <c r="H14" s="107"/>
    </row>
    <row r="15" spans="1:48" ht="20.25">
      <c r="A15" s="46" t="s">
        <v>53</v>
      </c>
      <c r="C15" s="107"/>
      <c r="E15" s="107"/>
      <c r="F15" s="107" t="s">
        <v>127</v>
      </c>
      <c r="G15" s="107" t="s">
        <v>127</v>
      </c>
      <c r="H15" s="107"/>
    </row>
    <row r="16" spans="1:48" ht="20.25">
      <c r="A16" s="46" t="s">
        <v>54</v>
      </c>
      <c r="C16" s="143"/>
      <c r="E16" s="114"/>
      <c r="F16" s="114" t="s">
        <v>48</v>
      </c>
      <c r="G16" s="114" t="s">
        <v>48</v>
      </c>
      <c r="H16" s="114"/>
    </row>
    <row r="17" spans="1:133" ht="20.25">
      <c r="A17" s="46" t="s">
        <v>87</v>
      </c>
      <c r="C17" s="114"/>
      <c r="E17" s="107"/>
      <c r="F17" s="107" t="s">
        <v>127</v>
      </c>
      <c r="G17" s="107" t="s">
        <v>127</v>
      </c>
      <c r="H17" s="107"/>
    </row>
    <row r="18" spans="1:133" ht="20.25">
      <c r="A18" s="46" t="s">
        <v>24</v>
      </c>
      <c r="C18" s="107"/>
      <c r="E18" s="107"/>
      <c r="F18" s="107" t="s">
        <v>127</v>
      </c>
      <c r="G18" s="107" t="s">
        <v>127</v>
      </c>
      <c r="H18" s="107"/>
    </row>
    <row r="19" spans="1:133" ht="20.25">
      <c r="A19" s="46" t="s">
        <v>55</v>
      </c>
      <c r="C19" s="107"/>
      <c r="E19" s="107"/>
      <c r="F19" s="107" t="s">
        <v>127</v>
      </c>
      <c r="G19" s="107" t="s">
        <v>127</v>
      </c>
      <c r="H19" s="107"/>
    </row>
    <row r="20" spans="1:133" ht="20.25">
      <c r="A20" s="46" t="s">
        <v>88</v>
      </c>
      <c r="C20" s="114"/>
      <c r="E20" s="107"/>
      <c r="F20" s="107" t="s">
        <v>127</v>
      </c>
      <c r="G20" s="107" t="s">
        <v>127</v>
      </c>
      <c r="H20" s="107"/>
    </row>
    <row r="21" spans="1:133" ht="20.25">
      <c r="A21" s="46" t="s">
        <v>83</v>
      </c>
      <c r="C21" s="114"/>
      <c r="E21" s="114"/>
      <c r="F21" s="114" t="s">
        <v>48</v>
      </c>
      <c r="G21" s="114" t="s">
        <v>48</v>
      </c>
      <c r="H21" s="114"/>
    </row>
    <row r="22" spans="1:133" ht="20.25">
      <c r="A22" s="46" t="s">
        <v>93</v>
      </c>
      <c r="C22" s="107"/>
      <c r="E22" s="114"/>
      <c r="F22" s="107" t="s">
        <v>127</v>
      </c>
      <c r="G22" s="107" t="s">
        <v>127</v>
      </c>
      <c r="H22" s="114"/>
    </row>
    <row r="23" spans="1:133" ht="20.25">
      <c r="A23" s="46" t="s">
        <v>95</v>
      </c>
      <c r="C23" s="114"/>
      <c r="E23" s="107"/>
      <c r="F23" s="107" t="s">
        <v>127</v>
      </c>
      <c r="G23" s="107" t="s">
        <v>127</v>
      </c>
      <c r="H23" s="107"/>
    </row>
    <row r="24" spans="1:133" ht="20.25">
      <c r="A24" s="46" t="s">
        <v>61</v>
      </c>
      <c r="C24" s="107"/>
      <c r="E24" s="107"/>
      <c r="F24" s="107" t="s">
        <v>127</v>
      </c>
      <c r="G24" s="107" t="s">
        <v>127</v>
      </c>
      <c r="H24" s="107"/>
    </row>
    <row r="25" spans="1:133" ht="20.25">
      <c r="A25" s="46" t="s">
        <v>82</v>
      </c>
      <c r="C25" s="107"/>
      <c r="E25" s="107"/>
      <c r="F25" s="107" t="s">
        <v>127</v>
      </c>
      <c r="G25" s="107" t="s">
        <v>127</v>
      </c>
      <c r="H25" s="107"/>
    </row>
    <row r="26" spans="1:133" ht="20.25">
      <c r="A26" s="46" t="s">
        <v>56</v>
      </c>
      <c r="C26" s="107"/>
      <c r="E26" s="114"/>
      <c r="F26" s="114" t="s">
        <v>48</v>
      </c>
      <c r="G26" s="114" t="s">
        <v>48</v>
      </c>
      <c r="H26" s="114"/>
    </row>
    <row r="27" spans="1:133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0</v>
      </c>
      <c r="F27" s="103">
        <f t="shared" ref="F27:H27" si="1">COUNTIF(F6:F26,"sim")</f>
        <v>15</v>
      </c>
      <c r="G27" s="103">
        <f t="shared" si="1"/>
        <v>15</v>
      </c>
      <c r="H27" s="103">
        <f t="shared" si="1"/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2">COUNTIF(E6:E26,"não")</f>
        <v>0</v>
      </c>
      <c r="F28" s="104">
        <f t="shared" ref="F28:H28" si="3">COUNTIF(F6:F26,"não")</f>
        <v>0</v>
      </c>
      <c r="G28" s="104">
        <f t="shared" si="3"/>
        <v>0</v>
      </c>
      <c r="H28" s="104">
        <f t="shared" si="3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>COUNTIF(C6:C26,"ausente")</f>
        <v>0</v>
      </c>
      <c r="E29" s="40">
        <f t="shared" ref="E29" si="4">COUNTIF(E6:E26,"ausente")</f>
        <v>0</v>
      </c>
      <c r="F29" s="40">
        <f t="shared" ref="F29:H29" si="5">COUNTIF(F6:F26,"ausente")</f>
        <v>5</v>
      </c>
      <c r="G29" s="40">
        <f t="shared" si="5"/>
        <v>5</v>
      </c>
      <c r="H29" s="40">
        <f t="shared" si="5"/>
        <v>0</v>
      </c>
    </row>
    <row r="30" spans="1:133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6">COUNTIF(E6:E26,"abstenção")</f>
        <v>0</v>
      </c>
      <c r="F30" s="105">
        <f t="shared" ref="F30:H30" si="7">COUNTIF(F6:F26,"abstenção")</f>
        <v>0</v>
      </c>
      <c r="G30" s="105">
        <f t="shared" si="7"/>
        <v>0</v>
      </c>
      <c r="H30" s="105">
        <f t="shared" si="7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A3" sqref="A3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19" t="s">
        <v>5</v>
      </c>
      <c r="B4" s="118" t="s">
        <v>7</v>
      </c>
      <c r="C4" s="138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50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8" t="s">
        <v>94</v>
      </c>
      <c r="C6" s="107"/>
      <c r="U6" s="7"/>
      <c r="V6" s="7"/>
    </row>
    <row r="7" spans="1:29" ht="18">
      <c r="A7" s="128" t="s">
        <v>60</v>
      </c>
      <c r="C7" s="107"/>
      <c r="U7" s="7"/>
      <c r="V7" s="7"/>
    </row>
    <row r="8" spans="1:29" ht="18">
      <c r="A8" s="128" t="s">
        <v>49</v>
      </c>
      <c r="C8" s="107"/>
      <c r="U8" s="7"/>
      <c r="V8" s="7"/>
    </row>
    <row r="9" spans="1:29" ht="18">
      <c r="A9" s="129" t="s">
        <v>50</v>
      </c>
      <c r="C9" s="114"/>
      <c r="U9" s="7"/>
      <c r="V9" s="7"/>
    </row>
    <row r="10" spans="1:29" ht="18">
      <c r="A10" s="128" t="s">
        <v>26</v>
      </c>
      <c r="C10" s="107"/>
      <c r="U10" s="7"/>
      <c r="V10" s="7"/>
    </row>
    <row r="11" spans="1:29" ht="18">
      <c r="A11" s="128" t="s">
        <v>51</v>
      </c>
      <c r="C11" s="107"/>
      <c r="U11" s="7"/>
      <c r="V11" s="7"/>
    </row>
    <row r="12" spans="1:29" ht="18">
      <c r="A12" s="128" t="s">
        <v>22</v>
      </c>
      <c r="C12" s="107"/>
      <c r="U12" s="7"/>
      <c r="V12" s="7"/>
    </row>
    <row r="13" spans="1:29" ht="18">
      <c r="A13" s="128" t="s">
        <v>23</v>
      </c>
      <c r="C13" s="114"/>
      <c r="U13" s="7"/>
      <c r="V13" s="7"/>
    </row>
    <row r="14" spans="1:29" ht="18">
      <c r="A14" s="128" t="s">
        <v>52</v>
      </c>
      <c r="C14" s="107"/>
      <c r="U14" s="7"/>
      <c r="V14" s="7"/>
    </row>
    <row r="15" spans="1:29" ht="18">
      <c r="A15" s="128" t="s">
        <v>53</v>
      </c>
      <c r="C15" s="107"/>
      <c r="U15" s="7"/>
      <c r="V15" s="7"/>
    </row>
    <row r="16" spans="1:29" ht="18">
      <c r="A16" s="128" t="s">
        <v>54</v>
      </c>
      <c r="C16" s="114"/>
      <c r="U16" s="7"/>
      <c r="V16" s="7"/>
    </row>
    <row r="17" spans="1:123" ht="18">
      <c r="A17" s="128" t="s">
        <v>87</v>
      </c>
      <c r="C17" s="107"/>
      <c r="U17" s="7"/>
      <c r="V17" s="7"/>
    </row>
    <row r="18" spans="1:123" ht="15" customHeight="1">
      <c r="A18" s="128" t="s">
        <v>24</v>
      </c>
      <c r="C18" s="107"/>
      <c r="T18" s="8"/>
      <c r="U18" s="7"/>
      <c r="V18" s="7"/>
    </row>
    <row r="19" spans="1:123" ht="18">
      <c r="A19" s="128" t="s">
        <v>55</v>
      </c>
      <c r="C19" s="107"/>
      <c r="U19" s="7"/>
      <c r="V19" s="7"/>
    </row>
    <row r="20" spans="1:123" ht="18">
      <c r="A20" s="128" t="s">
        <v>88</v>
      </c>
      <c r="C20" s="107"/>
      <c r="U20" s="7"/>
      <c r="V20" s="7"/>
    </row>
    <row r="21" spans="1:123" ht="18">
      <c r="A21" s="128" t="s">
        <v>83</v>
      </c>
      <c r="C21" s="114"/>
      <c r="U21" s="7"/>
      <c r="V21" s="7"/>
    </row>
    <row r="22" spans="1:123" ht="18">
      <c r="A22" s="128" t="s">
        <v>93</v>
      </c>
      <c r="C22" s="114"/>
      <c r="U22" s="7"/>
      <c r="V22" s="7"/>
    </row>
    <row r="23" spans="1:123" ht="18">
      <c r="A23" s="128" t="s">
        <v>95</v>
      </c>
      <c r="C23" s="107"/>
      <c r="U23" s="7"/>
      <c r="V23" s="7"/>
    </row>
    <row r="24" spans="1:123" ht="18">
      <c r="A24" s="128" t="s">
        <v>61</v>
      </c>
      <c r="C24" s="107"/>
      <c r="U24" s="7"/>
      <c r="V24" s="7"/>
    </row>
    <row r="25" spans="1:123" ht="18">
      <c r="A25" s="128" t="s">
        <v>82</v>
      </c>
      <c r="C25" s="107"/>
      <c r="U25" s="7"/>
      <c r="V25" s="7"/>
    </row>
    <row r="26" spans="1:123" ht="18">
      <c r="A26" s="128" t="s">
        <v>56</v>
      </c>
      <c r="C26" s="114"/>
      <c r="U26" s="7"/>
      <c r="V26" s="7"/>
    </row>
    <row r="27" spans="1:123" s="16" customFormat="1" ht="15.75">
      <c r="A27" s="15" t="s">
        <v>18</v>
      </c>
      <c r="B27" s="145">
        <f>COUNTIF(B6:B26,"sim")</f>
        <v>0</v>
      </c>
      <c r="C27" s="103">
        <f t="shared" ref="C27" si="0">COUNTIF(C6:C26,"sim")</f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46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 s="147">
        <f>COUNTIF(B6:B26,"ausente")</f>
        <v>0</v>
      </c>
      <c r="C29" s="40">
        <f t="shared" ref="C29" si="10">COUNTIF(C6:C26,"ausente")</f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148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C26" sqref="C26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107</v>
      </c>
      <c r="B2" s="2"/>
    </row>
    <row r="3" spans="1:3" ht="15.75" thickBot="1">
      <c r="A3" s="120" t="s">
        <v>108</v>
      </c>
      <c r="B3" s="2"/>
    </row>
    <row r="4" spans="1:3" ht="78.75" customHeight="1" thickBot="1">
      <c r="A4" s="119" t="s">
        <v>5</v>
      </c>
      <c r="B4" s="111" t="s">
        <v>21</v>
      </c>
      <c r="C4" s="138" t="s">
        <v>100</v>
      </c>
    </row>
    <row r="5" spans="1:3" s="6" customFormat="1" ht="60.75" customHeight="1">
      <c r="A5" s="121"/>
      <c r="B5" s="111"/>
      <c r="C5" s="144" t="s">
        <v>125</v>
      </c>
    </row>
    <row r="6" spans="1:3" ht="15.75">
      <c r="A6" s="126" t="s">
        <v>94</v>
      </c>
      <c r="C6" s="107" t="s">
        <v>127</v>
      </c>
    </row>
    <row r="7" spans="1:3" ht="15.75">
      <c r="A7" s="126" t="s">
        <v>60</v>
      </c>
      <c r="C7" s="114" t="s">
        <v>48</v>
      </c>
    </row>
    <row r="8" spans="1:3" ht="15.75">
      <c r="A8" s="126" t="s">
        <v>49</v>
      </c>
      <c r="C8" s="107" t="s">
        <v>127</v>
      </c>
    </row>
    <row r="9" spans="1:3" ht="15.75">
      <c r="A9" s="127" t="s">
        <v>50</v>
      </c>
      <c r="C9" s="114" t="s">
        <v>128</v>
      </c>
    </row>
    <row r="10" spans="1:3" ht="15.75">
      <c r="A10" s="126" t="s">
        <v>26</v>
      </c>
      <c r="C10" s="107" t="s">
        <v>127</v>
      </c>
    </row>
    <row r="11" spans="1:3" ht="15.75">
      <c r="A11" s="126" t="s">
        <v>51</v>
      </c>
      <c r="C11" s="107" t="s">
        <v>127</v>
      </c>
    </row>
    <row r="12" spans="1:3" ht="15.75">
      <c r="A12" s="126" t="s">
        <v>22</v>
      </c>
      <c r="C12" s="107" t="s">
        <v>127</v>
      </c>
    </row>
    <row r="13" spans="1:3" ht="15.75">
      <c r="A13" s="126" t="s">
        <v>23</v>
      </c>
      <c r="C13" s="114" t="s">
        <v>48</v>
      </c>
    </row>
    <row r="14" spans="1:3" ht="15.75">
      <c r="A14" s="126" t="s">
        <v>52</v>
      </c>
      <c r="C14" s="107" t="s">
        <v>127</v>
      </c>
    </row>
    <row r="15" spans="1:3" ht="15.75">
      <c r="A15" s="126" t="s">
        <v>53</v>
      </c>
      <c r="B15" s="137"/>
      <c r="C15" s="107" t="s">
        <v>127</v>
      </c>
    </row>
    <row r="16" spans="1:3" ht="15.75">
      <c r="A16" s="126" t="s">
        <v>54</v>
      </c>
      <c r="C16" s="114" t="s">
        <v>48</v>
      </c>
    </row>
    <row r="17" spans="1:3" ht="15.75">
      <c r="A17" s="126" t="s">
        <v>87</v>
      </c>
      <c r="C17" s="107" t="s">
        <v>127</v>
      </c>
    </row>
    <row r="18" spans="1:3" ht="15.75">
      <c r="A18" s="126" t="s">
        <v>24</v>
      </c>
      <c r="C18" s="107" t="s">
        <v>127</v>
      </c>
    </row>
    <row r="19" spans="1:3" ht="15.75">
      <c r="A19" s="126" t="s">
        <v>55</v>
      </c>
      <c r="C19" s="107" t="s">
        <v>127</v>
      </c>
    </row>
    <row r="20" spans="1:3" ht="15.75">
      <c r="A20" s="126" t="s">
        <v>88</v>
      </c>
      <c r="C20" s="107" t="s">
        <v>127</v>
      </c>
    </row>
    <row r="21" spans="1:3" ht="15.75">
      <c r="A21" s="126" t="s">
        <v>83</v>
      </c>
      <c r="C21" s="114" t="s">
        <v>48</v>
      </c>
    </row>
    <row r="22" spans="1:3" ht="15.75">
      <c r="A22" s="126" t="s">
        <v>93</v>
      </c>
      <c r="C22" s="107" t="s">
        <v>127</v>
      </c>
    </row>
    <row r="23" spans="1:3" ht="15.75">
      <c r="A23" s="126" t="s">
        <v>95</v>
      </c>
      <c r="C23" s="107" t="s">
        <v>127</v>
      </c>
    </row>
    <row r="24" spans="1:3" ht="15.75">
      <c r="A24" s="126" t="s">
        <v>61</v>
      </c>
      <c r="C24" s="107" t="s">
        <v>127</v>
      </c>
    </row>
    <row r="25" spans="1:3" ht="15.75">
      <c r="A25" s="126" t="s">
        <v>82</v>
      </c>
      <c r="C25" s="107" t="s">
        <v>127</v>
      </c>
    </row>
    <row r="26" spans="1:3" ht="15.75">
      <c r="A26" s="126" t="s">
        <v>56</v>
      </c>
      <c r="C26" s="114" t="s">
        <v>48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15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5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107</v>
      </c>
      <c r="B2" s="2"/>
      <c r="C2" s="54"/>
      <c r="D2" s="54"/>
      <c r="E2" s="54"/>
    </row>
    <row r="3" spans="1:10" ht="15.75" thickBot="1">
      <c r="A3" s="120" t="s">
        <v>108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89</v>
      </c>
      <c r="G4" s="141" t="s">
        <v>90</v>
      </c>
      <c r="H4" s="141" t="s">
        <v>91</v>
      </c>
      <c r="I4" s="141" t="s">
        <v>92</v>
      </c>
      <c r="J4" s="141" t="s">
        <v>106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94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87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88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93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95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107</v>
      </c>
      <c r="B2" s="2"/>
    </row>
    <row r="3" spans="1:23">
      <c r="A3" s="76" t="s">
        <v>108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94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87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88</v>
      </c>
    </row>
    <row r="21" spans="1:23" ht="18">
      <c r="A21" s="128" t="s">
        <v>83</v>
      </c>
    </row>
    <row r="22" spans="1:23" ht="18">
      <c r="A22" s="128" t="s">
        <v>93</v>
      </c>
    </row>
    <row r="23" spans="1:23" ht="18">
      <c r="A23" s="128" t="s">
        <v>95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2026-09-17T22:03:52Z</dcterms:modified>
</cp:coreProperties>
</file>