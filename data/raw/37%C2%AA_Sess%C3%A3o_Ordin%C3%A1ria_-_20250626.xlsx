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E0408CE-A64C-488C-A7A8-B825740031C1}" xr6:coauthVersionLast="47" xr6:coauthVersionMax="47" xr10:uidLastSave="{00000000-0000-0000-0000-000000000000}"/>
  <bookViews>
    <workbookView xWindow="-120" yWindow="-120" windowWidth="29040" windowHeight="15720" tabRatio="849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C28" i="10"/>
  <c r="C29" i="10"/>
  <c r="C30" i="10"/>
  <c r="C31" i="10"/>
  <c r="D27" i="3"/>
  <c r="D28" i="3"/>
  <c r="D29" i="3"/>
  <c r="D30" i="3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<sst xmlns="http://schemas.openxmlformats.org/spreadsheetml/2006/main" count="479" uniqueCount="139">
  <si>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</si>
  <si>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</si>
  <si>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</si>
  <si>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</si>
  <si>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</si>
  <si>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</si>
  <si>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</si>
  <si>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</si>
  <si>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</si>
  <si>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</si>
  <si>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</si>
  <si>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</si>
  <si>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</si>
  <si>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</si>
  <si>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</si>
  <si>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</si>
  <si>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</si>
  <si>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</si>
  <si>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</si>
  <si>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</si>
  <si>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</si>
  <si>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</si>
  <si>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</si>
  <si>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</si>
  <si>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</si>
  <si>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</si>
  <si>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</si>
  <si>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</si>
  <si>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</si>
  <si>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</si>
  <si>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</si>
  <si>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</si>
  <si>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</si>
  <si>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</si>
  <si>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</si>
  <si>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</si>
  <si>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</si>
  <si>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</si>
  <si>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</si>
  <si>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</si>
  <si>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</si>
  <si>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</si>
  <si>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</si>
  <si>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</si>
  <si>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</si>
  <si>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</si>
  <si>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</si>
  <si>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</si>
  <si>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</si>
  <si>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</si>
  <si>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</si>
  <si>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</si>
  <si>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</si>
  <si>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</si>
  <si>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</si>
  <si>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</si>
  <si>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</si>
  <si>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</si>
  <si>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</si>
  <si>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</si>
  <si>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</si>
  <si>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</si>
  <si>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</si>
  <si>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</si>
  <si>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</si>
  <si>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</si>
  <si>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</si>
  <si>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</si>
  <si>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</si>
  <si>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</si>
  <si>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</si>
  <si>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</si>
  <si>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</si>
  <si>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</si>
  <si>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</si>
  <si>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</si>
  <si>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</si>
  <si>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</si>
  <si>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</si>
  <si>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</si>
  <si>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</si>
  <si>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</si>
  <si>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</si>
  <si>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</si>
  <si>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</si>
  <si>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</si>
  <si>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</si>
  <si>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</si>
  <si>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</si>
  <si>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</si>
  <si>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</si>
  <si>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</si>
  <si>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</si>
  <si>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</si>
  <si>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</si>
  <si>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</si>
  <si>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André Luís Alves Pereira</t>
  </si>
  <si>
    <t xml:space="preserve"> </t>
  </si>
  <si>
    <t>Batista Comunidade</t>
  </si>
  <si>
    <t>Lúcia da Saúde</t>
  </si>
  <si>
    <r>
      <t xml:space="preserve">MOÇÃO DE RECONHECIMENTO Nº 302/2025 – HEBER DO JUNTOZ – </t>
    </r>
    <r>
      <rPr>
        <sz val="11"/>
        <color theme="1"/>
        <rFont val="Arial"/>
        <family val="2"/>
      </rPr>
      <t>Ao marco de 10 anos da promulgação da Lei Brasileira de Inclusão da Pessoa com Deficiência - Estatuto Da Pessoa Com Deficiência.</t>
    </r>
  </si>
  <si>
    <t>na presidência</t>
  </si>
  <si>
    <t>Justificativa de ausência da Vereadora Elsa Oliveira.</t>
  </si>
  <si>
    <r>
      <t xml:space="preserve">MOÇÃO DE APLAUSOS Nº 308/2025 – ANDREZINHO - </t>
    </r>
    <r>
      <rPr>
        <sz val="11"/>
        <color theme="1"/>
        <rFont val="Arial"/>
        <family val="2"/>
      </rPr>
      <t>À Jaqueline Raimundo por sua trajetória pessoal e profissional.</t>
    </r>
  </si>
  <si>
    <r>
      <t xml:space="preserve">MOÇÃO DE APLAUSOS Nº 314/2025 – ALEXANDRE CAPRIOTTI - </t>
    </r>
    <r>
      <rPr>
        <sz val="11"/>
        <color theme="1"/>
        <rFont val="Arial"/>
        <family val="2"/>
      </rPr>
      <t>À primeira equipe feminina de policiais civis do Brasil pela participação no “Swat Dubai Challenge”, evento considerado a Copa do Mundo das Polícias.</t>
    </r>
  </si>
  <si>
    <r>
      <t xml:space="preserve">MOÇÃO DE APLAUSOS Nº 321/2025 – BATISTA COMUNIDADE - </t>
    </r>
    <r>
      <rPr>
        <sz val="11"/>
        <color theme="1"/>
        <rFont val="Arial"/>
        <family val="2"/>
      </rPr>
      <t>À Senhora Michele Cassemiro Aroni, em reconhecimento à sua trajetória de vida, dedicação e compromisso com o serviço público e exemplo de superação e fé.</t>
    </r>
  </si>
  <si>
    <r>
      <t xml:space="preserve">MOÇÃO DE APOIO Nº 322/2025 – PEDRINHO CANTAGESSI - </t>
    </r>
    <r>
      <rPr>
        <sz val="11"/>
        <color theme="1"/>
        <rFont val="Arial"/>
        <family val="2"/>
      </rPr>
      <t>À Semana de Conscientização sobre o Vitiligo, celebrada anualmente na semana do dia 25 de junho.</t>
    </r>
  </si>
  <si>
    <t>37ª SESSÃO ORDINÁRIA</t>
  </si>
  <si>
    <t>DIA 26 DE JUNHO DE 2025 - QUINTA-FEIRA</t>
  </si>
  <si>
    <t>DIA 26 DE JUNHO DE 2025 - QUINTA–FEIRA</t>
  </si>
  <si>
    <t>Justificativa de ausência do Vereador Rodrigo Gansinho.</t>
  </si>
  <si>
    <r>
      <t>MOÇÃO DE APLAUSOS Nº 320/2025 – ANDREZINHO -</t>
    </r>
    <r>
      <rPr>
        <sz val="11"/>
        <color theme="1"/>
        <rFont val="Arial"/>
        <family val="2"/>
      </rPr>
      <t xml:space="preserve"> À Roseli Aparecida Fellippe de Freitas por sua atuação profissional voltada a área da Saúde do Município de Osasco.</t>
    </r>
  </si>
  <si>
    <r>
      <t xml:space="preserve">MOÇÃO DE APLAUSOS Nº 323/2025 – GABRIEL SAÚDE - </t>
    </r>
    <r>
      <rPr>
        <sz val="11"/>
        <color theme="1"/>
        <rFont val="Arial"/>
        <family val="2"/>
      </rPr>
      <t>Ao Sr. Fabio Grossi, Presidente da Companhia Municipal de Transportes de Osasco (CMTO), pelo sucesso do Primeiro Passeio Ciclístico da Juventude, realizado em 18 de maio de 2025.</t>
    </r>
  </si>
  <si>
    <r>
      <t>MOÇÃO DE APLAUSOS Nº 324/2025 – BATISTA COMUNIDADE -</t>
    </r>
    <r>
      <rPr>
        <sz val="11"/>
        <color theme="1"/>
        <rFont val="Arial"/>
        <family val="2"/>
      </rPr>
      <t xml:space="preserve"> À senhora Mônica Rocha de Sousa, em reconhecimento aos seus relevantes serviços prestados à nossa cidade.</t>
    </r>
  </si>
  <si>
    <r>
      <t xml:space="preserve">MOÇÃO DE APLAUSOS Nº 325/2025 – BATISTA COMUNIDADE - </t>
    </r>
    <r>
      <rPr>
        <sz val="11"/>
        <color theme="1"/>
        <rFont val="Arial"/>
        <family val="2"/>
      </rPr>
      <t>Ao Senhor Rubem Farias, renomado baixista, multi-instrumentista, compositor, arranjador, produtor musical, professor e empreendedor.</t>
    </r>
  </si>
  <si>
    <r>
      <t>MOÇÃO DE CONGRATULAÇÕES Nº 326/2025 – GABRIEL SAÚDE -</t>
    </r>
    <r>
      <rPr>
        <sz val="11"/>
        <color theme="1"/>
        <rFont val="Arial"/>
        <family val="2"/>
      </rPr>
      <t xml:space="preserve"> Em homenagem ao aniversário do bairro Quitaúna, celebrado no dia 24 de junho.</t>
    </r>
  </si>
  <si>
    <r>
      <t>MOÇÃO DE APLAUSOS Nº 327/2025 – SÉRGIO FONTELLAS -</t>
    </r>
    <r>
      <rPr>
        <sz val="11"/>
        <color theme="1"/>
        <rFont val="Arial"/>
        <family val="2"/>
      </rPr>
      <t xml:space="preserve"> Ao Grupo Saúde Universal (GSU), pela mobilização voluntária em prol da conscientização da doação de sangue, realizada em todo o território nacional, especialmente a atuação do grupo, na Unidade da Fundação Pró-Sangue, localizada no Hospital Regional da Cidade de Osasco, incentivando a população à prática da doação de sangue, promovendo a solidariedade e estimulando os voluntários a salvarem vidas através da doação de sangue.</t>
    </r>
  </si>
  <si>
    <r>
      <t xml:space="preserve">MOÇÃO DE APLAUSOS Nº 328/2025 – SÉRGIO FONTELLAS – </t>
    </r>
    <r>
      <rPr>
        <sz val="11"/>
        <color theme="1"/>
        <rFont val="Arial"/>
        <family val="2"/>
      </rPr>
      <t>À Diretora Cristiane Freitas, do Departamento de Fiscalização e Controle Urbano (DFCU), e toda sua equipe pelos relevantes serviços prestados à população de Osasco.</t>
    </r>
  </si>
  <si>
    <r>
      <t>MOÇÃO DE APLAUSOS Nº 329/2025 – PEDRINHO CANTAGESSI -</t>
    </r>
    <r>
      <rPr>
        <sz val="11"/>
        <color theme="1"/>
        <rFont val="Arial"/>
        <family val="2"/>
      </rPr>
      <t xml:space="preserve"> Ao Dr. James Willames Pires Barbosa pelo brilhante trabalho exercido frente a Coordenação da Urgência e Emergência da Secretaria Municipal de Saúde e como clínico geral no pronto socorro do Rochdalle.</t>
    </r>
  </si>
  <si>
    <r>
      <t>MOÇÃO DE RECONHECIMENTO Nº 330/2025 – GUILHERME PRADO -</t>
    </r>
    <r>
      <rPr>
        <sz val="11"/>
        <color theme="1"/>
        <rFont val="Arial"/>
        <family val="2"/>
      </rPr>
      <t>À Dra. Luciana Maria Nunes Ferreira, médica no PS do Jardim D’Abril, pelo atendimento humanizado, postura ética e dedicação incansável à saúde pública de Osasco.</t>
    </r>
  </si>
  <si>
    <r>
      <t xml:space="preserve">MOÇÃO DE RECONHECIMENTO Nº 331/2025 – GUILHERME PRADO - </t>
    </r>
    <r>
      <rPr>
        <sz val="11"/>
        <color theme="1"/>
        <rFont val="Arial"/>
        <family val="2"/>
      </rPr>
      <t>Ao Sr. Marcos Paulo Machado, gerente administrativo do PS do Jardim D’Abril, pelo trabalho acolhedor e eficiente na gestão da unidade, em benefício da população osasquense.</t>
    </r>
  </si>
  <si>
    <r>
      <t xml:space="preserve">MOÇÃO DE APLAUSOS Nº 332/2025 – PEDRINHO CANTAGESSI - </t>
    </r>
    <r>
      <rPr>
        <sz val="11"/>
        <color theme="1"/>
        <rFont val="Arial"/>
        <family val="2"/>
      </rPr>
      <t>À Aparecida Bispo Avelar pelo excelente trabalho como Diretora Técnica do Departamento de Urgência e Emergência da Secretaria da Saúde.</t>
    </r>
  </si>
  <si>
    <r>
      <t xml:space="preserve">MOÇÃO DE RECONHECIMENTO Nº 333/2025 – DÉLBIO TERUEL - </t>
    </r>
    <r>
      <rPr>
        <sz val="11"/>
        <color theme="1"/>
        <rFont val="Arial"/>
        <family val="2"/>
      </rPr>
      <t>Ao servidor público Francisco Silvano dos Santos, gerente do parque ecológico Ana Luiza Moura Freitas pelo relevante trabalho desenvolvido em prol da educação ambiental, preservação da biodiversidade e promoção da conscientização ecológica.</t>
    </r>
  </si>
  <si>
    <r>
      <t>MOÇÃO DE APLAUSOS Nº 334/2025 – STEPHANE ROSSI -</t>
    </r>
    <r>
      <rPr>
        <sz val="11"/>
        <color theme="1"/>
        <rFont val="Arial"/>
        <family val="2"/>
      </rPr>
      <t xml:space="preserve"> À vereadora de Itapevi, Priscilla Souza Mariano Cavanha, em reconhecimento pelos relevantes serviços prestados e empenho dedicado à população.</t>
    </r>
  </si>
  <si>
    <r>
      <t xml:space="preserve">MOÇÃO DE RECONHECIMENTO Nº 335/2025 – DÉLBIO TERUEL - </t>
    </r>
    <r>
      <rPr>
        <sz val="11"/>
        <color theme="1"/>
        <rFont val="Arial"/>
        <family val="2"/>
      </rPr>
      <t>À Dra. Letícia de Cássia Costa Lima, médica da Estratégia Saúde da Família (ESF), lotada na Unidade Básica de Saúde Lia Buarque Macedo Gasparini, pela sua destacada atuação profissional, humana e técnica na atenção primária à saúde do município de Osasco.</t>
    </r>
  </si>
  <si>
    <t>esgotado o tempo regimental, será pautada na próxima sessão.</t>
  </si>
  <si>
    <r>
      <t>MOÇÃO DE RECONHECIMENTO Nº 336/2025 – SÉRGIO FONTELLAS -</t>
    </r>
    <r>
      <rPr>
        <sz val="11"/>
        <color theme="1"/>
        <rFont val="Arial"/>
        <family val="2"/>
      </rPr>
      <t xml:space="preserve"> Ao Diretor Leonardo Abrantes e a toda equipe que compõe o trabalho desenvolvido pela TV Câmara: Gurupi Martins, Herodes Bezerra, Robson Cotait, Cristina Vieira, Rafael Mendes, Bruno Aguilar, Leonardo Novachi, Alexsandro Sakatauskas, Ricardo Gama e Claudiene de Lima, pelo excelente trabalho desempenhado na cobertura das atividades legislativas, na produção de reportagens e matérias de interesse público.</t>
    </r>
  </si>
  <si>
    <r>
      <t xml:space="preserve">MOÇÃO DE APLAUSOS Nº 337/2025 – SÉRGIO FONTELLAS - </t>
    </r>
    <r>
      <rPr>
        <sz val="11"/>
        <color theme="1"/>
        <rFont val="Arial"/>
        <family val="2"/>
      </rPr>
      <t>À Sandra de Andrade, que desde muito jovem, enfrentou os desafios trazidos pela paralisia infantil, mas nunca permitiu que isso limitasse sua vontade de viver com dignidade e propósito. Sandra encontrou na venda de doces, uma forma de sustento e superação, pois com seu carinho e dedicação, percorre repartições públicas levando não apenas seus doces, mas também um sorriso e uma história de força que inspira a todos ao seu redor.</t>
    </r>
  </si>
  <si>
    <r>
      <t xml:space="preserve">MOÇÃO DE APLAUSOS Nº 338/2025 – PEDRINHO CANTAGESSI - </t>
    </r>
    <r>
      <rPr>
        <sz val="11"/>
        <color theme="1"/>
        <rFont val="Arial"/>
        <family val="2"/>
      </rPr>
      <t>À Vanderléia de Abreu Araujo Adriano pelo seu brilhante trabalho à frente da Diretoria Geral da Atenção Secundária e da Gerência de Enfermagem da Secretaria da Saúde.</t>
    </r>
  </si>
  <si>
    <r>
      <t xml:space="preserve">MOÇÃO DE RECONHECIMENTO Nº 339/2025 – LAÉRCIO MENDONÇA - </t>
    </r>
    <r>
      <rPr>
        <sz val="11"/>
        <color theme="1"/>
        <rFont val="Arial"/>
        <family val="2"/>
      </rPr>
      <t>À enfermeira Marilene de Fátima Pereira, conhecida carinhosamente como Mari Pereira, pelos relevantes serviços prestados à população osasquense na área da saúde, com destaque para sua competência, dedicação e liderança no exercício da enfermagem.</t>
    </r>
  </si>
  <si>
    <r>
      <t xml:space="preserve">MOÇÃO DE APLAUSOS Nº 340/2025 – LAÉRCIO MENDONÇA - </t>
    </r>
    <r>
      <rPr>
        <sz val="11"/>
        <color theme="1"/>
        <rFont val="Arial"/>
        <family val="2"/>
      </rPr>
      <t>Ao Conselho Comunitário de Segurança - CONSEG/Sudeste Osasco, pelo relevante trabalho de articulação comunitária e fortalecimento da segurança pública em nossa cidade.</t>
    </r>
  </si>
  <si>
    <r>
      <t>MOÇÃO DE CONGRATULAÇÕES Nº 341/2025 – GABRIEL SAÚDE -</t>
    </r>
    <r>
      <rPr>
        <sz val="11"/>
        <color theme="1"/>
        <rFont val="Arial"/>
        <family val="2"/>
      </rPr>
      <t xml:space="preserve"> À Dra. Gabrielle Picanço Rilhas, médica
infectologista, por sua destacada atuação no Hospital Municipal Antônio Giglio (HMAG) e por sua
dedicação incansável à saúde da população osasquense.</t>
    </r>
  </si>
  <si>
    <r>
      <t xml:space="preserve">MOÇÃO DE CONGRATULAÇÕES Nº 342/2025 – GABRIEL SAÚDE - </t>
    </r>
    <r>
      <rPr>
        <sz val="11"/>
        <color theme="1"/>
        <rFont val="Arial"/>
        <family val="2"/>
      </rPr>
      <t xml:space="preserve"> Ao Sr. Cláudio Corgosinho Moraes, profissional
exemplar, pela sua atuação dedicada e respeitosa no Hospital Municipal Antônio Giglio e pela trajetória
de vida marcada pelo compromisso, humildade e trabalho em equipe.</t>
    </r>
  </si>
  <si>
    <r>
      <t xml:space="preserve">MOÇÃO DE CONGRATULAÇÕES Nº 343/2025 – GABRIEL SAÚDE - </t>
    </r>
    <r>
      <rPr>
        <sz val="11"/>
        <color theme="1"/>
        <rFont val="Arial"/>
        <family val="2"/>
      </rPr>
      <t xml:space="preserve"> Ao enfermeiro Pablo Carvalho Ribeiro, profissional
comprometido e altamente capacitado, que vem desempenhando um trabalho exemplar no Hospital
Municipal Antônio Giglio.</t>
    </r>
  </si>
  <si>
    <r>
      <t>MOÇÃO DE CONGRATULAÇÕES Nº 344/2025 – GABRIEL SAÚDE -</t>
    </r>
    <r>
      <rPr>
        <sz val="11"/>
        <color theme="1"/>
        <rFont val="Arial"/>
        <family val="2"/>
      </rPr>
      <t xml:space="preserve"> Ao Dr. Carlos André dos Santos Sanfelice, médico
com sólida trajetória e atuação destacada no sistema de saúde do município de Osasco.</t>
    </r>
  </si>
  <si>
    <r>
      <t xml:space="preserve">MOÇÃO DE CONGRATULAÇÕES Nº 345/2025 – GABRIEL SAÚDE -  </t>
    </r>
    <r>
      <rPr>
        <sz val="11"/>
        <color theme="1"/>
        <rFont val="Arial"/>
        <family val="2"/>
      </rPr>
      <t>À Dra. Paula S. Guardia Ortiz, médica pediatra e
intensivista, por sua trajetória inspiradora e sua dedicação exemplar no Hospital Municipal Antônio
Giglio.</t>
    </r>
  </si>
  <si>
    <r>
      <t xml:space="preserve">MOÇÃO DE CONGRATULAÇÕES Nº 346/2025 – GABRIEL SAÚDE - </t>
    </r>
    <r>
      <rPr>
        <sz val="11"/>
        <color theme="1"/>
        <rFont val="Arial"/>
        <family val="2"/>
      </rPr>
      <t>À Sra. Flávia Regina Serra Vieira Lourenço,
enfermeira emergencista, pelos seus 28 anos de notável atuação na área da saúde pública em nosso
município, exercendo sua profissão com responsabilidade, competência e um profundo compromisso
com a vida.</t>
    </r>
  </si>
  <si>
    <r>
      <t xml:space="preserve">PROJETO DE LEI Nº 25/2025 – SÉRGIO FONTELLAS – </t>
    </r>
    <r>
      <rPr>
        <sz val="11"/>
        <color theme="1"/>
        <rFont val="Arial"/>
        <family val="2"/>
      </rPr>
      <t>Dispõe sobre a criação da carteira de identificação de pessoas acometidas por Alzheimer.</t>
    </r>
  </si>
  <si>
    <r>
      <t xml:space="preserve">PROJETO DE LEI Nº 26/2025 – SÉRGIO FONTELLAS – </t>
    </r>
    <r>
      <rPr>
        <sz val="11"/>
        <color theme="1"/>
        <rFont val="Arial"/>
        <family val="2"/>
      </rPr>
      <t>Institui a certificação municipal Selo Empresa Amiga dos Autistas.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</si>
</sst>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107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108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98</v>
      </c>
      <c r="B6" s="89">
        <v>1</v>
      </c>
      <c r="C6" s="62" t="s">
        <v>55</v>
      </c>
      <c r="D6" s="63"/>
      <c r="E6" s="103"/>
      <c r="F6" s="89">
        <v>1</v>
      </c>
      <c r="G6" s="62" t="s">
        <v>55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2</v>
      </c>
      <c r="C8" s="103" t="s">
        <v>56</v>
      </c>
      <c r="D8" s="63"/>
      <c r="E8" s="62"/>
      <c r="F8" s="89">
        <v>2</v>
      </c>
      <c r="G8" s="103" t="s">
        <v>56</v>
      </c>
      <c r="H8" s="63"/>
      <c r="I8" s="62"/>
      <c r="J8" s="63">
        <v>2</v>
      </c>
      <c r="K8" s="103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1</v>
      </c>
      <c r="C9" s="62" t="s">
        <v>55</v>
      </c>
      <c r="D9" s="63"/>
      <c r="E9" s="62"/>
      <c r="F9" s="89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1</v>
      </c>
      <c r="C10" s="62" t="s">
        <v>55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2</v>
      </c>
      <c r="C11" s="103" t="s">
        <v>56</v>
      </c>
      <c r="D11" s="63"/>
      <c r="E11" s="62"/>
      <c r="F11" s="89">
        <v>2</v>
      </c>
      <c r="G11" s="103" t="s">
        <v>56</v>
      </c>
      <c r="H11" s="63"/>
      <c r="I11" s="62"/>
      <c r="J11" s="63">
        <v>2</v>
      </c>
      <c r="K11" s="103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1</v>
      </c>
      <c r="C12" s="62" t="s">
        <v>55</v>
      </c>
      <c r="D12" s="63"/>
      <c r="E12" s="103"/>
      <c r="F12" s="89">
        <v>1</v>
      </c>
      <c r="G12" s="62" t="s">
        <v>55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2</v>
      </c>
      <c r="G13" s="103" t="s">
        <v>56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1</v>
      </c>
      <c r="C14" s="62" t="s">
        <v>55</v>
      </c>
      <c r="D14" s="63"/>
      <c r="E14" s="62"/>
      <c r="F14" s="89">
        <v>1</v>
      </c>
      <c r="G14" s="62" t="s">
        <v>55</v>
      </c>
      <c r="H14" s="63"/>
      <c r="I14" s="62"/>
      <c r="J14" s="63">
        <v>1</v>
      </c>
      <c r="K14" s="62" t="s">
        <v>55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2</v>
      </c>
      <c r="C15" s="103" t="s">
        <v>56</v>
      </c>
      <c r="D15" s="63"/>
      <c r="E15" s="62"/>
      <c r="F15" s="89">
        <v>1</v>
      </c>
      <c r="G15" s="62" t="s">
        <v>55</v>
      </c>
      <c r="H15" s="63"/>
      <c r="I15" s="62"/>
      <c r="J15" s="63">
        <v>2</v>
      </c>
      <c r="K15" s="103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2</v>
      </c>
      <c r="C17" s="103" t="s">
        <v>56</v>
      </c>
      <c r="D17" s="63"/>
      <c r="E17" s="62"/>
      <c r="F17" s="89">
        <v>2</v>
      </c>
      <c r="G17" s="103" t="s">
        <v>56</v>
      </c>
      <c r="H17" s="63"/>
      <c r="I17" s="68"/>
      <c r="J17" s="63">
        <v>1</v>
      </c>
      <c r="K17" s="62" t="s">
        <v>55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1</v>
      </c>
      <c r="C18" s="62" t="s">
        <v>55</v>
      </c>
      <c r="D18" s="63"/>
      <c r="E18" s="62"/>
      <c r="F18" s="89">
        <v>1</v>
      </c>
      <c r="G18" s="62" t="s">
        <v>55</v>
      </c>
      <c r="H18" s="63"/>
      <c r="I18" s="62"/>
      <c r="J18" s="63">
        <v>2</v>
      </c>
      <c r="K18" s="103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99</v>
      </c>
      <c r="B19" s="89">
        <v>1</v>
      </c>
      <c r="C19" s="62" t="s">
        <v>55</v>
      </c>
      <c r="D19" s="63"/>
      <c r="E19" s="103"/>
      <c r="F19" s="89">
        <v>1</v>
      </c>
      <c r="G19" s="62" t="s">
        <v>55</v>
      </c>
      <c r="H19" s="63"/>
      <c r="I19" s="62"/>
      <c r="J19" s="63">
        <v>2</v>
      </c>
      <c r="K19" s="103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1</v>
      </c>
      <c r="C20" s="62" t="s">
        <v>55</v>
      </c>
      <c r="D20" s="63"/>
      <c r="E20" s="62"/>
      <c r="F20" s="89">
        <v>1</v>
      </c>
      <c r="G20" s="62" t="s">
        <v>55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1</v>
      </c>
      <c r="C21" s="62" t="s">
        <v>55</v>
      </c>
      <c r="D21" s="63"/>
      <c r="E21" s="62"/>
      <c r="F21" s="89">
        <v>1</v>
      </c>
      <c r="G21" s="62" t="s">
        <v>55</v>
      </c>
      <c r="H21" s="63"/>
      <c r="I21" s="62"/>
      <c r="J21" s="63">
        <v>2</v>
      </c>
      <c r="K21" s="103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96</v>
      </c>
      <c r="B22" s="89">
        <v>1</v>
      </c>
      <c r="C22" s="62" t="s">
        <v>55</v>
      </c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2</v>
      </c>
      <c r="C23" s="103" t="s">
        <v>56</v>
      </c>
      <c r="D23" s="63"/>
      <c r="E23" s="62"/>
      <c r="F23" s="89">
        <v>2</v>
      </c>
      <c r="G23" s="103" t="s">
        <v>56</v>
      </c>
      <c r="H23" s="63"/>
      <c r="I23" s="62"/>
      <c r="J23" s="63">
        <v>2</v>
      </c>
      <c r="K23" s="103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2</v>
      </c>
      <c r="G24" s="103" t="s">
        <v>56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14</v>
      </c>
      <c r="C26" s="97" t="s">
        <v>49</v>
      </c>
      <c r="D26" s="99"/>
      <c r="E26" s="97"/>
      <c r="F26" s="99">
        <v>15</v>
      </c>
      <c r="G26" s="97" t="s">
        <v>49</v>
      </c>
      <c r="H26" s="101"/>
      <c r="I26" s="102"/>
      <c r="J26" s="99">
        <v>13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7</v>
      </c>
      <c r="C27" s="97" t="s">
        <v>50</v>
      </c>
      <c r="D27" s="99"/>
      <c r="E27" s="97"/>
      <c r="F27" s="99">
        <v>6</v>
      </c>
      <c r="G27" s="97" t="s">
        <v>50</v>
      </c>
      <c r="H27" s="101"/>
      <c r="I27" s="97"/>
      <c r="J27" s="99">
        <v>8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97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61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65</v>
      </c>
      <c r="V41" s="12"/>
      <c r="W41" s="12"/>
    </row>
    <row r="42" spans="1:23" ht="18">
      <c r="A42" s="34" t="s">
        <v>24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61</v>
      </c>
    </row>
    <row r="53" spans="1:23" ht="18">
      <c r="A53" s="34" t="s">
        <v>64</v>
      </c>
    </row>
    <row r="54" spans="1:23" ht="18">
      <c r="A54" s="34" t="s">
        <v>99</v>
      </c>
    </row>
    <row r="55" spans="1:23" ht="18">
      <c r="A55" s="34" t="s">
        <v>63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K39"/>
  <sheetViews>
    <sheetView tabSelected="1" workbookViewId="0">
      <pane xSplit="1" topLeftCell="B1" activePane="topRight" state="frozen"/>
      <selection pane="topRight" activeCell="AI21" sqref="AI21"/>
    </sheetView>
  </sheetViews>
  <sheetFormatPr defaultColWidth="9.140625" defaultRowHeight="12.75"/>
  <cols>
    <col min="1" max="1" width="47.7109375" style="22" customWidth="1"/>
    <col min="2" max="4" width="23.7109375" style="22" customWidth="1"/>
    <col min="5" max="5" width="19" style="22" customWidth="1"/>
    <col min="6" max="6" width="26.28515625" style="22" customWidth="1"/>
    <col min="7" max="7" width="22.140625" style="22" customWidth="1"/>
    <col min="8" max="37" width="22.7109375" style="22" customWidth="1"/>
    <col min="38" max="16384" width="9.140625" style="22"/>
  </cols>
  <sheetData>
    <row r="1" spans="1:37" ht="15">
      <c r="A1" s="77" t="s">
        <v>8</v>
      </c>
      <c r="B1" s="21"/>
      <c r="C1" s="21"/>
      <c r="D1" s="21"/>
      <c r="E1" s="21"/>
      <c r="F1" s="21"/>
    </row>
    <row r="2" spans="1:37" ht="15">
      <c r="A2" s="77" t="s">
        <v>107</v>
      </c>
      <c r="B2" s="21"/>
      <c r="C2" s="21"/>
      <c r="D2" s="21"/>
      <c r="E2" s="21"/>
      <c r="F2" s="21"/>
    </row>
    <row r="3" spans="1:37" ht="17.25" customHeight="1">
      <c r="A3" s="77" t="s">
        <v>109</v>
      </c>
      <c r="B3" s="21"/>
      <c r="C3" s="21"/>
      <c r="D3" s="21"/>
      <c r="E3" s="21"/>
      <c r="F3" s="21"/>
    </row>
    <row r="4" spans="1:37" ht="63" customHeight="1">
      <c r="A4" s="51" t="str">
        <f>'[1]MOÇÃO E REQUERIMENTO'!B7</f>
        <v>EXPEDIENTE</v>
      </c>
      <c r="B4" s="50" t="s">
        <v>48</v>
      </c>
      <c r="C4" s="118" t="s">
        <v>110</v>
      </c>
      <c r="D4" s="118" t="s">
        <v>102</v>
      </c>
      <c r="E4" s="113" t="s">
        <v>34</v>
      </c>
      <c r="F4" s="125"/>
      <c r="G4" s="50" t="s">
        <v>27</v>
      </c>
      <c r="H4" s="85" t="s">
        <v>100</v>
      </c>
      <c r="I4" s="85" t="s">
        <v>103</v>
      </c>
      <c r="J4" s="85" t="s">
        <v>104</v>
      </c>
      <c r="K4" s="85" t="s">
        <v>111</v>
      </c>
      <c r="L4" s="85" t="s">
        <v>105</v>
      </c>
      <c r="M4" s="69" t="s">
        <v>106</v>
      </c>
      <c r="N4" s="69" t="s">
        <v>112</v>
      </c>
      <c r="O4" s="69" t="s">
        <v>113</v>
      </c>
      <c r="P4" s="69" t="s">
        <v>114</v>
      </c>
      <c r="Q4" s="69" t="s">
        <v>115</v>
      </c>
      <c r="R4" s="69" t="s">
        <v>116</v>
      </c>
      <c r="S4" s="69" t="s">
        <v>117</v>
      </c>
      <c r="T4" s="69" t="s">
        <v>118</v>
      </c>
      <c r="U4" s="69" t="s">
        <v>119</v>
      </c>
      <c r="V4" s="69" t="s">
        <v>120</v>
      </c>
      <c r="W4" s="69" t="s">
        <v>121</v>
      </c>
      <c r="X4" s="69" t="s">
        <v>122</v>
      </c>
      <c r="Y4" s="69" t="s">
        <v>123</v>
      </c>
      <c r="Z4" s="69" t="s">
        <v>124</v>
      </c>
      <c r="AA4" s="69" t="s">
        <v>126</v>
      </c>
      <c r="AB4" s="69" t="s">
        <v>127</v>
      </c>
      <c r="AC4" s="69" t="s">
        <v>128</v>
      </c>
      <c r="AD4" s="69" t="s">
        <v>129</v>
      </c>
      <c r="AE4" s="69" t="s">
        <v>130</v>
      </c>
      <c r="AF4" s="69" t="s">
        <v>131</v>
      </c>
      <c r="AG4" s="69" t="s">
        <v>132</v>
      </c>
      <c r="AH4" s="69" t="s">
        <v>133</v>
      </c>
      <c r="AI4" s="69" t="s">
        <v>134</v>
      </c>
      <c r="AJ4" s="69" t="s">
        <v>135</v>
      </c>
      <c r="AK4" s="69" t="s">
        <v>136</v>
      </c>
    </row>
    <row r="5" spans="1:37" s="59" customFormat="1" ht="48" customHeight="1">
      <c r="A5" s="57" t="s">
        <v>45</v>
      </c>
      <c r="B5" s="55"/>
      <c r="C5" s="55"/>
      <c r="D5" s="55"/>
      <c r="E5" s="55"/>
      <c r="F5" s="114"/>
      <c r="H5" s="114" t="s">
        <v>92</v>
      </c>
      <c r="I5" s="114" t="s">
        <v>92</v>
      </c>
      <c r="J5" s="114" t="s">
        <v>92</v>
      </c>
      <c r="K5" s="114" t="s">
        <v>92</v>
      </c>
      <c r="L5" s="119" t="s">
        <v>93</v>
      </c>
      <c r="M5" s="114" t="s">
        <v>92</v>
      </c>
      <c r="N5" s="114" t="s">
        <v>92</v>
      </c>
      <c r="O5" s="114" t="s">
        <v>92</v>
      </c>
      <c r="P5" s="114" t="s">
        <v>92</v>
      </c>
      <c r="Q5" s="114" t="s">
        <v>92</v>
      </c>
      <c r="R5" s="119" t="s">
        <v>93</v>
      </c>
      <c r="S5" s="114" t="s">
        <v>92</v>
      </c>
      <c r="T5" s="114" t="s">
        <v>92</v>
      </c>
      <c r="U5" s="114" t="s">
        <v>92</v>
      </c>
      <c r="V5" s="114" t="s">
        <v>92</v>
      </c>
      <c r="W5" s="114" t="s">
        <v>92</v>
      </c>
      <c r="X5" s="114" t="s">
        <v>92</v>
      </c>
      <c r="Y5" s="114" t="s">
        <v>92</v>
      </c>
      <c r="Z5" s="119" t="s">
        <v>125</v>
      </c>
      <c r="AA5" s="119" t="s">
        <v>125</v>
      </c>
      <c r="AB5" s="119" t="s">
        <v>125</v>
      </c>
      <c r="AC5" s="114" t="s">
        <v>92</v>
      </c>
      <c r="AD5" s="119" t="s">
        <v>125</v>
      </c>
      <c r="AE5" s="114" t="s">
        <v>92</v>
      </c>
      <c r="AF5" s="114" t="s">
        <v>92</v>
      </c>
      <c r="AG5" s="114" t="s">
        <v>92</v>
      </c>
      <c r="AH5" s="114" t="s">
        <v>92</v>
      </c>
      <c r="AI5" s="114" t="s">
        <v>92</v>
      </c>
      <c r="AJ5" s="114" t="s">
        <v>92</v>
      </c>
      <c r="AK5" s="114" t="s">
        <v>92</v>
      </c>
    </row>
    <row r="6" spans="1:37" ht="15.75">
      <c r="A6" s="128" t="s">
        <v>54</v>
      </c>
      <c r="G6" s="23"/>
    </row>
    <row r="7" spans="1:37" ht="15.75">
      <c r="A7" s="128" t="s">
        <v>98</v>
      </c>
      <c r="G7" s="23"/>
    </row>
    <row r="8" spans="1:37" ht="15.75">
      <c r="A8" s="128" t="s">
        <v>57</v>
      </c>
      <c r="G8" s="23"/>
    </row>
    <row r="9" spans="1:37" ht="15.75">
      <c r="A9" s="129" t="s">
        <v>58</v>
      </c>
      <c r="G9" s="23"/>
    </row>
    <row r="10" spans="1:37" ht="15.75">
      <c r="A10" s="128" t="s">
        <v>28</v>
      </c>
      <c r="G10" s="23"/>
    </row>
    <row r="11" spans="1:37" ht="15.75">
      <c r="A11" s="128" t="s">
        <v>59</v>
      </c>
      <c r="G11" s="23"/>
    </row>
    <row r="12" spans="1:37" ht="15.75">
      <c r="A12" s="128" t="s">
        <v>22</v>
      </c>
      <c r="G12" s="23"/>
    </row>
    <row r="13" spans="1:37" ht="15.75">
      <c r="A13" s="128" t="s">
        <v>23</v>
      </c>
      <c r="G13" s="23"/>
    </row>
    <row r="14" spans="1:37" ht="15.75">
      <c r="A14" s="128" t="s">
        <v>24</v>
      </c>
      <c r="G14" s="23"/>
    </row>
    <row r="15" spans="1:37" ht="15.75">
      <c r="A15" s="128" t="s">
        <v>60</v>
      </c>
      <c r="G15" s="23"/>
    </row>
    <row r="16" spans="1:37" ht="15.75">
      <c r="A16" s="128" t="s">
        <v>61</v>
      </c>
      <c r="G16" s="23"/>
    </row>
    <row r="17" spans="1:7" ht="15.75">
      <c r="A17" s="128" t="s">
        <v>62</v>
      </c>
      <c r="G17" s="23"/>
    </row>
    <row r="18" spans="1:7" ht="15.75">
      <c r="A18" s="128" t="s">
        <v>25</v>
      </c>
      <c r="G18" s="23"/>
    </row>
    <row r="19" spans="1:7" ht="15.75">
      <c r="A19" s="128" t="s">
        <v>63</v>
      </c>
      <c r="G19" s="23"/>
    </row>
    <row r="20" spans="1:7" ht="15.75">
      <c r="A20" s="128" t="s">
        <v>99</v>
      </c>
      <c r="G20" s="23"/>
    </row>
    <row r="21" spans="1:7" ht="15.75">
      <c r="A21" s="128" t="s">
        <v>26</v>
      </c>
      <c r="G21" s="23"/>
    </row>
    <row r="22" spans="1:7" ht="15.75">
      <c r="A22" s="128" t="s">
        <v>64</v>
      </c>
      <c r="G22" s="23"/>
    </row>
    <row r="23" spans="1:7" ht="15.75">
      <c r="A23" s="128" t="s">
        <v>96</v>
      </c>
      <c r="G23" s="23"/>
    </row>
    <row r="24" spans="1:7" ht="15.75">
      <c r="A24" s="128" t="s">
        <v>52</v>
      </c>
      <c r="G24" s="23"/>
    </row>
    <row r="25" spans="1:7" ht="15.75">
      <c r="A25" s="128" t="s">
        <v>65</v>
      </c>
      <c r="G25" s="23"/>
    </row>
    <row r="26" spans="1:7" ht="15.75">
      <c r="A26" s="128" t="s">
        <v>66</v>
      </c>
      <c r="G26" s="23"/>
    </row>
    <row r="27" spans="1:7" s="25" customFormat="1">
      <c r="A27" s="24" t="s">
        <v>18</v>
      </c>
    </row>
    <row r="28" spans="1:7" s="27" customFormat="1">
      <c r="A28" s="26" t="s">
        <v>19</v>
      </c>
    </row>
    <row r="29" spans="1:7">
      <c r="A29" s="28" t="s">
        <v>11</v>
      </c>
    </row>
    <row r="30" spans="1:7" s="30" customFormat="1">
      <c r="A30" s="29" t="s">
        <v>20</v>
      </c>
    </row>
    <row r="32" spans="1: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107</v>
      </c>
      <c r="B2" s="49"/>
      <c r="C2" s="75"/>
    </row>
    <row r="3" spans="1:45" ht="17.25" customHeight="1">
      <c r="A3" s="77" t="s">
        <v>109</v>
      </c>
      <c r="B3" s="49"/>
      <c r="C3" s="75"/>
      <c r="E3" s="117"/>
    </row>
    <row r="4" spans="1:45" ht="90.75" customHeight="1" thickBot="1">
      <c r="A4" s="52" t="s">
        <v>5</v>
      </c>
      <c r="B4" s="109" t="s">
        <v>31</v>
      </c>
      <c r="C4" s="140"/>
      <c r="D4" s="110" t="s">
        <v>6</v>
      </c>
      <c r="E4" s="14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37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54</v>
      </c>
      <c r="C6" s="108"/>
      <c r="E6" s="108"/>
    </row>
    <row r="7" spans="1:45" ht="20.25">
      <c r="A7" s="46" t="s">
        <v>98</v>
      </c>
      <c r="C7" s="108"/>
      <c r="E7" s="108"/>
    </row>
    <row r="8" spans="1:45" ht="20.25">
      <c r="A8" s="46" t="s">
        <v>57</v>
      </c>
      <c r="C8" s="108"/>
      <c r="E8" s="108"/>
    </row>
    <row r="9" spans="1:45" ht="20.25">
      <c r="A9" s="83" t="s">
        <v>58</v>
      </c>
      <c r="C9" s="115"/>
      <c r="E9" s="115"/>
    </row>
    <row r="10" spans="1:45" ht="20.25">
      <c r="A10" s="46" t="s">
        <v>28</v>
      </c>
      <c r="C10" s="108"/>
      <c r="E10" s="108"/>
    </row>
    <row r="11" spans="1:45" ht="20.25">
      <c r="A11" s="46" t="s">
        <v>59</v>
      </c>
      <c r="C11" s="115"/>
      <c r="E11" s="115"/>
    </row>
    <row r="12" spans="1:45" ht="20.25">
      <c r="A12" s="46" t="s">
        <v>22</v>
      </c>
      <c r="C12" s="108"/>
      <c r="E12" s="115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60</v>
      </c>
      <c r="C15" s="108"/>
      <c r="E15" s="108"/>
    </row>
    <row r="16" spans="1:45" ht="20.25">
      <c r="A16" s="46" t="s">
        <v>61</v>
      </c>
      <c r="C16" s="108"/>
      <c r="E16" s="108"/>
    </row>
    <row r="17" spans="1:130" ht="20.25">
      <c r="A17" s="46" t="s">
        <v>62</v>
      </c>
      <c r="C17" s="108"/>
      <c r="E17" s="108"/>
    </row>
    <row r="18" spans="1:130" ht="20.25">
      <c r="A18" s="46" t="s">
        <v>25</v>
      </c>
      <c r="C18" s="108"/>
      <c r="E18" s="108"/>
    </row>
    <row r="19" spans="1:130" ht="20.25">
      <c r="A19" s="46" t="s">
        <v>63</v>
      </c>
      <c r="C19" s="108"/>
      <c r="E19" s="108"/>
    </row>
    <row r="20" spans="1:130" ht="20.25">
      <c r="A20" s="46" t="s">
        <v>99</v>
      </c>
      <c r="C20" s="108"/>
      <c r="E20" s="115"/>
    </row>
    <row r="21" spans="1:130" ht="20.25">
      <c r="A21" s="46" t="s">
        <v>26</v>
      </c>
      <c r="C21" s="115"/>
      <c r="E21" s="108"/>
    </row>
    <row r="22" spans="1:130" ht="20.25">
      <c r="A22" s="46" t="s">
        <v>64</v>
      </c>
      <c r="C22" s="108"/>
      <c r="E22" s="108"/>
    </row>
    <row r="23" spans="1:130" ht="20.25">
      <c r="A23" s="46" t="s">
        <v>96</v>
      </c>
      <c r="C23" s="108"/>
      <c r="E23" s="108"/>
    </row>
    <row r="24" spans="1:130" ht="20.25">
      <c r="A24" s="46" t="s">
        <v>52</v>
      </c>
      <c r="C24" s="108"/>
      <c r="E24" s="108"/>
    </row>
    <row r="25" spans="1:130" ht="20.25">
      <c r="A25" s="46" t="s">
        <v>65</v>
      </c>
      <c r="C25" s="108"/>
      <c r="E25" s="108"/>
    </row>
    <row r="26" spans="1:130" ht="20.25">
      <c r="A26" s="46" t="s">
        <v>66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8" sqref="G1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137</v>
      </c>
      <c r="D4" s="142" t="s">
        <v>138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94</v>
      </c>
      <c r="D5" s="114" t="s">
        <v>94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54</v>
      </c>
      <c r="C6" s="108" t="s">
        <v>95</v>
      </c>
      <c r="D6" s="108" t="s">
        <v>95</v>
      </c>
      <c r="V6" s="7"/>
      <c r="W6" s="7"/>
    </row>
    <row r="7" spans="1:30" ht="18">
      <c r="A7" s="130" t="s">
        <v>98</v>
      </c>
      <c r="C7" s="115" t="s">
        <v>56</v>
      </c>
      <c r="D7" s="108" t="s">
        <v>95</v>
      </c>
      <c r="V7" s="7"/>
      <c r="W7" s="7"/>
    </row>
    <row r="8" spans="1:30" ht="18">
      <c r="A8" s="130" t="s">
        <v>57</v>
      </c>
      <c r="C8" s="108" t="s">
        <v>95</v>
      </c>
      <c r="D8" s="108" t="s">
        <v>95</v>
      </c>
      <c r="V8" s="7"/>
      <c r="W8" s="7"/>
    </row>
    <row r="9" spans="1:30" ht="18">
      <c r="A9" s="131" t="s">
        <v>58</v>
      </c>
      <c r="C9" s="115" t="s">
        <v>56</v>
      </c>
      <c r="D9" s="115" t="s">
        <v>56</v>
      </c>
      <c r="V9" s="7"/>
      <c r="W9" s="7"/>
    </row>
    <row r="10" spans="1:30" ht="18">
      <c r="A10" s="130" t="s">
        <v>28</v>
      </c>
      <c r="C10" s="108" t="s">
        <v>95</v>
      </c>
      <c r="D10" s="108" t="s">
        <v>95</v>
      </c>
      <c r="V10" s="7"/>
      <c r="W10" s="7"/>
    </row>
    <row r="11" spans="1:30" ht="18">
      <c r="A11" s="130" t="s">
        <v>59</v>
      </c>
      <c r="C11" s="115" t="s">
        <v>101</v>
      </c>
      <c r="D11" s="115" t="s">
        <v>101</v>
      </c>
      <c r="V11" s="7"/>
      <c r="W11" s="7"/>
    </row>
    <row r="12" spans="1:30" ht="18">
      <c r="A12" s="130" t="s">
        <v>22</v>
      </c>
      <c r="C12" s="115" t="s">
        <v>56</v>
      </c>
      <c r="D12" s="115" t="s">
        <v>56</v>
      </c>
      <c r="V12" s="7"/>
      <c r="W12" s="7"/>
    </row>
    <row r="13" spans="1:30" ht="18">
      <c r="A13" s="130" t="s">
        <v>23</v>
      </c>
      <c r="C13" s="108" t="s">
        <v>95</v>
      </c>
      <c r="D13" s="108" t="s">
        <v>95</v>
      </c>
      <c r="V13" s="7"/>
      <c r="W13" s="7"/>
    </row>
    <row r="14" spans="1:30" ht="18">
      <c r="A14" s="130" t="s">
        <v>24</v>
      </c>
      <c r="C14" s="108" t="s">
        <v>95</v>
      </c>
      <c r="D14" s="108" t="s">
        <v>95</v>
      </c>
      <c r="V14" s="7"/>
      <c r="W14" s="7"/>
    </row>
    <row r="15" spans="1:30" ht="18">
      <c r="A15" s="130" t="s">
        <v>60</v>
      </c>
      <c r="C15" s="108" t="s">
        <v>95</v>
      </c>
      <c r="D15" s="108" t="s">
        <v>95</v>
      </c>
      <c r="V15" s="7"/>
      <c r="W15" s="7"/>
    </row>
    <row r="16" spans="1:30" ht="18">
      <c r="A16" s="130" t="s">
        <v>61</v>
      </c>
      <c r="C16" s="108" t="s">
        <v>95</v>
      </c>
      <c r="D16" s="108" t="s">
        <v>95</v>
      </c>
      <c r="V16" s="7"/>
      <c r="W16" s="7"/>
    </row>
    <row r="17" spans="1:124" ht="15" customHeight="1">
      <c r="A17" s="130" t="s">
        <v>62</v>
      </c>
      <c r="C17" s="108" t="s">
        <v>95</v>
      </c>
      <c r="D17" s="108" t="s">
        <v>95</v>
      </c>
      <c r="U17" s="8"/>
      <c r="V17" s="7"/>
      <c r="W17" s="7"/>
    </row>
    <row r="18" spans="1:124" ht="18">
      <c r="A18" s="130" t="s">
        <v>25</v>
      </c>
      <c r="C18" s="108" t="s">
        <v>95</v>
      </c>
      <c r="D18" s="108" t="s">
        <v>95</v>
      </c>
      <c r="V18" s="7"/>
      <c r="W18" s="7"/>
    </row>
    <row r="19" spans="1:124" ht="18">
      <c r="A19" s="130" t="s">
        <v>63</v>
      </c>
      <c r="C19" s="115" t="s">
        <v>56</v>
      </c>
      <c r="D19" s="108" t="s">
        <v>95</v>
      </c>
      <c r="V19" s="7"/>
      <c r="W19" s="7"/>
    </row>
    <row r="20" spans="1:124" ht="18">
      <c r="A20" s="130" t="s">
        <v>99</v>
      </c>
      <c r="C20" s="115" t="s">
        <v>56</v>
      </c>
      <c r="D20" s="108" t="s">
        <v>95</v>
      </c>
      <c r="V20" s="7"/>
      <c r="W20" s="7"/>
    </row>
    <row r="21" spans="1:124" ht="18">
      <c r="A21" s="130" t="s">
        <v>26</v>
      </c>
      <c r="C21" s="108" t="s">
        <v>95</v>
      </c>
      <c r="D21" s="108" t="s">
        <v>95</v>
      </c>
      <c r="V21" s="7"/>
      <c r="W21" s="7"/>
    </row>
    <row r="22" spans="1:124" ht="18">
      <c r="A22" s="130" t="s">
        <v>64</v>
      </c>
      <c r="C22" s="108" t="s">
        <v>95</v>
      </c>
      <c r="D22" s="108" t="s">
        <v>95</v>
      </c>
      <c r="V22" s="7"/>
      <c r="W22" s="7"/>
    </row>
    <row r="23" spans="1:124" ht="18">
      <c r="A23" s="130" t="s">
        <v>96</v>
      </c>
      <c r="C23" s="108" t="s">
        <v>95</v>
      </c>
      <c r="D23" s="108" t="s">
        <v>95</v>
      </c>
      <c r="V23" s="7"/>
      <c r="W23" s="7"/>
    </row>
    <row r="24" spans="1:124" ht="18">
      <c r="A24" s="130" t="s">
        <v>52</v>
      </c>
      <c r="C24" s="115" t="s">
        <v>56</v>
      </c>
      <c r="D24" s="115" t="s">
        <v>56</v>
      </c>
      <c r="V24" s="7"/>
      <c r="W24" s="7"/>
    </row>
    <row r="25" spans="1:124" ht="18">
      <c r="A25" s="130" t="s">
        <v>65</v>
      </c>
      <c r="C25" s="108" t="s">
        <v>95</v>
      </c>
      <c r="D25" s="108" t="s">
        <v>95</v>
      </c>
      <c r="V25" s="7"/>
      <c r="W25" s="7"/>
    </row>
    <row r="26" spans="1:124" ht="18">
      <c r="A26" s="130" t="s">
        <v>66</v>
      </c>
      <c r="C26" s="108" t="s">
        <v>95</v>
      </c>
      <c r="D26" s="108" t="s">
        <v>95</v>
      </c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4">
        <f t="shared" ref="C27" si="1">COUNTIF(C6:C26,"sim")</f>
        <v>14</v>
      </c>
      <c r="D27" s="104">
        <f t="shared" si="0"/>
        <v>17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5">
        <f t="shared" ref="C28" si="7">COUNTIF(C6:C26,"não")</f>
        <v>0</v>
      </c>
      <c r="D28" s="105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6</v>
      </c>
      <c r="D29" s="40">
        <f t="shared" si="12"/>
        <v>3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6">
        <f t="shared" ref="C30" si="19">COUNTIF(C6:C26,"abstenção")</f>
        <v>0</v>
      </c>
      <c r="D30" s="106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107</v>
      </c>
      <c r="B2" s="2"/>
    </row>
    <row r="3" spans="1:3" ht="15.75" thickBot="1">
      <c r="A3" s="122" t="s">
        <v>109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54</v>
      </c>
      <c r="C6" s="108"/>
    </row>
    <row r="7" spans="1:3" ht="15.75">
      <c r="A7" s="128" t="s">
        <v>98</v>
      </c>
      <c r="C7" s="108"/>
    </row>
    <row r="8" spans="1:3" ht="15.75">
      <c r="A8" s="128" t="s">
        <v>57</v>
      </c>
      <c r="C8" s="108"/>
    </row>
    <row r="9" spans="1:3" ht="15.75">
      <c r="A9" s="129" t="s">
        <v>58</v>
      </c>
      <c r="C9" s="108"/>
    </row>
    <row r="10" spans="1:3" ht="15.75">
      <c r="A10" s="128" t="s">
        <v>28</v>
      </c>
      <c r="C10" s="108"/>
    </row>
    <row r="11" spans="1:3" ht="15.75">
      <c r="A11" s="128" t="s">
        <v>59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08"/>
    </row>
    <row r="14" spans="1:3" ht="15.75">
      <c r="A14" s="128" t="s">
        <v>24</v>
      </c>
      <c r="C14" s="108"/>
    </row>
    <row r="15" spans="1:3" ht="15.75">
      <c r="A15" s="128" t="s">
        <v>60</v>
      </c>
      <c r="C15" s="108"/>
    </row>
    <row r="16" spans="1:3" ht="15.75">
      <c r="A16" s="128" t="s">
        <v>61</v>
      </c>
      <c r="C16" s="108"/>
    </row>
    <row r="17" spans="1:3" ht="15.75">
      <c r="A17" s="128" t="s">
        <v>62</v>
      </c>
      <c r="C17" s="115"/>
    </row>
    <row r="18" spans="1:3" ht="15.75">
      <c r="A18" s="128" t="s">
        <v>25</v>
      </c>
      <c r="C18" s="108"/>
    </row>
    <row r="19" spans="1:3" ht="15.75">
      <c r="A19" s="128" t="s">
        <v>63</v>
      </c>
      <c r="C19" s="108"/>
    </row>
    <row r="20" spans="1:3" ht="15.75">
      <c r="A20" s="128" t="s">
        <v>99</v>
      </c>
      <c r="C20" s="108"/>
    </row>
    <row r="21" spans="1:3" ht="15.75">
      <c r="A21" s="128" t="s">
        <v>26</v>
      </c>
      <c r="C21" s="108"/>
    </row>
    <row r="22" spans="1:3" ht="15.75">
      <c r="A22" s="128" t="s">
        <v>64</v>
      </c>
      <c r="C22" s="108"/>
    </row>
    <row r="23" spans="1:3" ht="15.75">
      <c r="A23" s="128" t="s">
        <v>96</v>
      </c>
      <c r="C23" s="108"/>
    </row>
    <row r="24" spans="1:3" ht="15.75">
      <c r="A24" s="128" t="s">
        <v>52</v>
      </c>
      <c r="C24" s="108"/>
    </row>
    <row r="25" spans="1:3" ht="15.75">
      <c r="A25" s="128" t="s">
        <v>65</v>
      </c>
      <c r="C25" s="108"/>
    </row>
    <row r="26" spans="1:3" ht="15.75">
      <c r="A26" s="128" t="s">
        <v>66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107</v>
      </c>
      <c r="B2" s="2"/>
      <c r="C2" s="54"/>
      <c r="D2" s="54"/>
      <c r="E2" s="54"/>
    </row>
    <row r="3" spans="1:9" ht="15.75" thickBot="1">
      <c r="A3" s="122" t="s">
        <v>109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98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99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96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107</v>
      </c>
      <c r="B2" s="2"/>
    </row>
    <row r="3" spans="1:25">
      <c r="A3" s="77" t="s">
        <v>109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98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99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96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2025-06-27T15:11:00Z</dcterms:modified>
</cp:coreProperties>
</file>