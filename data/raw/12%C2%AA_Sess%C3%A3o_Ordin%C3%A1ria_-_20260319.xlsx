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F63EEC7D-2C7D-4A74-A68F-C2802942E1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F27" i="2"/>
  <c r="C28" i="10"/>
  <c r="C29" i="10"/>
  <c r="C30" i="10"/>
  <c r="C31" i="10"/>
  <c r="F28" i="2"/>
  <c r="F29" i="2"/>
  <c r="F30" i="2"/>
  <c r="C27" i="3"/>
  <c r="C28" i="3"/>
  <c r="C29" i="3"/>
  <c r="C30" i="3"/>
  <c r="C27" i="2"/>
  <c r="C28" i="2"/>
  <c r="C29" i="2"/>
  <c r="C30" i="2"/>
  <c r="D28" i="10"/>
  <c r="D29" i="10"/>
  <c r="D30" i="10"/>
  <c r="D31" i="10"/>
  <c r="G27" i="2"/>
  <c r="G28" i="2"/>
  <c r="G29" i="2"/>
  <c r="G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<sst xmlns="http://schemas.openxmlformats.org/spreadsheetml/2006/main" count="415" uniqueCount="123">
  <si>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</si>
  <si>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</si>
  <si>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</si>
  <si>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</si>
  <si>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</si>
  <si>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</si>
  <si>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</si>
  <si>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</si>
  <si>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</si>
  <si>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</si>
  <si>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</si>
  <si>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</si>
  <si>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</si>
  <si>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</si>
  <si>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</si>
  <si>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</si>
  <si>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</si>
  <si>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</si>
  <si>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</si>
  <si>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</si>
  <si>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</si>
  <si>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</si>
  <si>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</si>
  <si>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</si>
  <si>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</si>
  <si>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</si>
  <si>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</si>
  <si>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</si>
  <si>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</si>
  <si>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</si>
  <si>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</si>
  <si>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</si>
  <si>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</si>
  <si>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</si>
  <si>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</si>
  <si>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</si>
  <si>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</si>
  <si>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</si>
  <si>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</si>
  <si>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</si>
  <si>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</si>
  <si>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</si>
  <si>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</si>
  <si>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</si>
  <si>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</si>
  <si>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</si>
  <si>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</si>
  <si>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</si>
  <si>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</si>
  <si>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</si>
  <si>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</si>
  <si>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</si>
  <si>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</si>
  <si>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</si>
  <si>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</si>
  <si>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</si>
  <si>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</si>
  <si>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</si>
  <si>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</si>
  <si>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</si>
  <si>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</si>
  <si>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</si>
  <si>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</si>
  <si>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</si>
  <si>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</si>
  <si>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</si>
  <si>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</si>
  <si>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</si>
  <si>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</si>
  <si>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</si>
  <si>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</si>
  <si>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</si>
  <si>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</si>
  <si>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</si>
  <si>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</si>
  <si>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</si>
  <si>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</si>
  <si>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</si>
  <si>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</si>
  <si>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</si>
  <si>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</si>
  <si>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</si>
  <si>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</si>
  <si>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</si>
  <si>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</si>
  <si>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</si>
  <si>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</si>
  <si>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</si>
  <si>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</si>
  <si>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</si>
  <si>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</si>
  <si>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</si>
  <si>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</si>
  <si>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</si>
  <si>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</si>
  <si>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</si>
  <si>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t>pela ausência do autor, será pautada na próxima sessão.</t>
  </si>
  <si>
    <r>
      <t xml:space="preserve">MOÇÃO DE CONGRATULAÇÕES Nº 33/2026 – EMERSON OSASCO – </t>
    </r>
    <r>
      <rPr>
        <sz val="11"/>
        <color theme="1"/>
        <rFont val="Arial"/>
        <family val="2"/>
      </rPr>
      <t>À dona Carmelita Cipriano, pelo aniversário de 100 anos.</t>
    </r>
  </si>
  <si>
    <r>
      <t xml:space="preserve">MOÇÃO DE PESAR Nº 32/2026 – EMERSON OSASCO – </t>
    </r>
    <r>
      <rPr>
        <sz val="11"/>
        <color theme="1"/>
        <rFont val="Arial"/>
        <family val="2"/>
      </rPr>
      <t>Pelo falecimento de Maria Helena dos Santos, ocorrido no dia 26 fevereiro.</t>
    </r>
  </si>
  <si>
    <r>
      <t xml:space="preserve">MOÇÃO DE APLAUSO Nº 37/2026 – DELBIO TERUEL – </t>
    </r>
    <r>
      <rPr>
        <sz val="11"/>
        <color theme="1"/>
        <rFont val="Arial"/>
        <family val="2"/>
      </rPr>
      <t>Ao senhor Leonardo Antônio David, por sua trajetória esportiva e aos relevantes serviços prestados ao município de Osasco no exercício da função pública.</t>
    </r>
  </si>
  <si>
    <r>
      <t>MOÇÃO DE CONGRATULAÇÕES Nº 38/2026 – ALEXANDRE CAPRIOTTI –</t>
    </r>
    <r>
      <rPr>
        <sz val="11"/>
        <color theme="1"/>
        <rFont val="Arial"/>
        <family val="2"/>
      </rPr>
      <t xml:space="preserve"> À Vitória Silvestre, pela nova missão à frente da Secretaria Executiva de Proteção da Fauna e Bem-Estar Animal, área de grande relevância para o município.</t>
    </r>
  </si>
  <si>
    <r>
      <t xml:space="preserve">MOÇÃO DE REPÚDIO Nº 39/2026 – STEPHANE ROSSI – </t>
    </r>
    <r>
      <rPr>
        <sz val="11"/>
        <color theme="1"/>
        <rFont val="Arial"/>
        <family val="2"/>
      </rPr>
      <t>Pela eleição da deputada federal Erika Hilton para a presidência da Comissão de Defesa dos Direitos da Mulher da Câmara dos Deputados.</t>
    </r>
  </si>
  <si>
    <r>
      <t xml:space="preserve">PROJETO DE LEI N.º 203/2025 – ELSA OLIVEIRA – </t>
    </r>
    <r>
      <rPr>
        <sz val="14"/>
        <color theme="1"/>
        <rFont val="Arial"/>
        <family val="2"/>
      </rPr>
      <t>Institui o Dia das Artes Marciais no Município.</t>
    </r>
  </si>
  <si>
    <t>12ª SESSÃO ORDINÁRIA</t>
  </si>
  <si>
    <t>DIA 19 DE MARÇO DE 2026 - QUINTA-FEIRA</t>
  </si>
  <si>
    <r>
      <t>MOÇÃO DE APLAUSO Nº 36/2026 – ALEXANDRE CAPRIOTTI –</t>
    </r>
    <r>
      <rPr>
        <sz val="11"/>
        <color theme="1"/>
        <rFont val="Arial"/>
        <family val="2"/>
      </rPr>
      <t xml:space="preserve"> À Sra. Crorilza Capriotti, em reconhecimento à sua trajetória de vida, dedicação à educação e exemplo de superação.</t>
    </r>
  </si>
  <si>
    <t>esgotado o tempo regimental, será pautada na próxima sessão.</t>
  </si>
  <si>
    <r>
      <t xml:space="preserve">MOÇÃO DE RECONHECIMENTO Nº 40/2026 – GABRIEL SAÚDE – </t>
    </r>
    <r>
      <rPr>
        <sz val="11"/>
        <color theme="1"/>
        <rFont val="Arial"/>
        <family val="2"/>
      </rPr>
      <t>Ao senhor Fábio Salgueiro Christovão, por sua trajetória de vida marcada pelo trabalho, fé e, sobretudo, pela dedicação à causa das Pessoas com Deficiência (PCD).</t>
    </r>
  </si>
  <si>
    <r>
      <t>MOÇÃO DE RECONHECIMENTO Nº 41/2026 – SÉRGIO FONTELLAS –</t>
    </r>
    <r>
      <rPr>
        <sz val="11"/>
        <color theme="1"/>
        <rFont val="Arial"/>
        <family val="2"/>
      </rPr>
      <t xml:space="preserve"> Ao farmacêutico Edmilton Brito da Silva, pelo compromisso ético, profissionalismo e relevantes serviços prestados na área farmacêutica.</t>
    </r>
  </si>
  <si>
    <r>
      <t xml:space="preserve">MOÇÃO DE RECONHECIMENTO Nº 42/2026 – GUILHERME PRADO – </t>
    </r>
    <r>
      <rPr>
        <sz val="11"/>
        <color theme="1"/>
        <rFont val="Arial"/>
        <family val="2"/>
      </rPr>
      <t>Ao Sr. Walker Bruno Nogueira, Diretor do Departamento Municipal de Transportes da Secretaria de Transportes e Mobilidade Urbana de Osasco, pela dedicação e contribuição ao aprimoramento do sistema de transportes do Município.</t>
    </r>
  </si>
  <si>
    <r>
      <t xml:space="preserve">MOÇÃO DE APOIO Nº 43/2026 – RALFI – </t>
    </r>
    <r>
      <rPr>
        <sz val="11"/>
        <color theme="1"/>
        <rFont val="Arial"/>
        <family val="2"/>
      </rPr>
      <t>Ao pedido de federalização do denominado “Caso Orelha”, ocorrido em Florianópolis, como forma de fortalecimento do combate à violência contra os animais no Brasil.</t>
    </r>
  </si>
  <si>
    <r>
      <t xml:space="preserve">MOÇÃO DE RECONHECIMENTO Nº 45/2026 – GUILHERME PRADO – </t>
    </r>
    <r>
      <rPr>
        <sz val="11"/>
        <color theme="1"/>
        <rFont val="Arial"/>
        <family val="2"/>
      </rPr>
      <t>À Sra. Alessandra Durães Barbosa, Diretora do Departamento Municipal de Engenharia de Trânsito e Mobilidade da Secretaria de Transportes e Mobilidade Urbana de Osasco, pela atuação técnica e pelos relevantes serviços prestados ao planejamento da mobilidade urbana no Município.</t>
    </r>
  </si>
  <si>
    <r>
      <t xml:space="preserve">MOÇÃO DE RECONHECIMENTO Nº 46/2026 – GUILHERME PRADO – </t>
    </r>
    <r>
      <rPr>
        <sz val="11"/>
        <color theme="1"/>
        <rFont val="Arial"/>
        <family val="2"/>
      </rPr>
      <t>Ao Sr. Valdir da Silva, Diretor do Departamento Municipal de Trânsito da Secretaria de Transportes e Mobilidade Urbana de Osasco, pelo trabalho desenvolvido em favor da organização e segurança viária da cidade.</t>
    </r>
  </si>
  <si>
    <r>
      <t>MOÇÃO DE APLAUSO Nº 47/2026 – ALEXANDRE CAPRIOTTI –</t>
    </r>
    <r>
      <rPr>
        <sz val="11"/>
        <color theme="1"/>
        <rFont val="Arial"/>
        <family val="2"/>
      </rPr>
      <t xml:space="preserve"> Ao Jeep Clube Comando Oeste, pela nobre ação solidária em apoio às vítimas das fortes chuvas que atingiram as cidades de Juiz de Fora e Ubá, em Minas Gerais.</t>
    </r>
  </si>
  <si>
    <r>
      <t>MOÇÃO DE RECONHECIMENTO Nº 48/2026 – GUILHERME PRADO –</t>
    </r>
    <r>
      <rPr>
        <sz val="11"/>
        <color theme="1"/>
        <rFont val="Arial"/>
        <family val="2"/>
      </rPr>
      <t xml:space="preserve"> Ao Corpo de Bombeiros Voluntários do Estado de São Paulo, pelos relevantes serviços prestados à sociedade, especialmente pela atuação solidária e humanitária no apoio às ações emergenciais no município de Ubá-MG.</t>
    </r>
  </si>
  <si>
    <r>
      <t xml:space="preserve">MOÇÃO DE RECONHECIMENTO Nº 49/2026 – RALFI – </t>
    </r>
    <r>
      <rPr>
        <sz val="11"/>
        <color theme="1"/>
        <rFont val="Arial"/>
        <family val="2"/>
      </rPr>
      <t>À Sra. Monalisa Rocha de Sousa, Diretora Operacional do Pronto Socorro Dr. Osmar Mesquita, pelos relevantes serviços prestados ao longo de sua trajetória profissional.</t>
    </r>
  </si>
  <si>
    <r>
      <t>MOÇÃO DE RECONHECIMENTO Nº 50/2026 – RODRIGO GANSINHO –</t>
    </r>
    <r>
      <rPr>
        <sz val="11"/>
        <color theme="1"/>
        <rFont val="Arial"/>
        <family val="2"/>
      </rPr>
      <t xml:space="preserve"> À Andressa da Silva Alves, por sua trajetória e conquista de títulos para a cidade de Osasco.</t>
    </r>
  </si>
  <si>
    <t>não havendo quorum regimental, será pautado na próxima sessão.</t>
  </si>
  <si>
    <r>
      <t xml:space="preserve">PROJETO DE LEI Nº 37/2026 – PREFEITO DO MUNICÍPIO DE OSASCO – </t>
    </r>
    <r>
      <rPr>
        <sz val="14"/>
        <color theme="1"/>
        <rFont val="Arial"/>
        <family val="2"/>
      </rPr>
      <t>Dispõe sobre a concessão de subsídio financeiro para custeio do sistema de transporte coletivo público de passageiros do Município de Osasco no ano de 2026.</t>
    </r>
  </si>
  <si>
    <r>
      <t xml:space="preserve">PROJETO DE LEI N.º 117/2025 – LÚCIA DA SAÚDE - </t>
    </r>
    <r>
      <rPr>
        <sz val="14"/>
        <color theme="1"/>
        <rFont val="Arial"/>
        <family val="2"/>
      </rPr>
      <t xml:space="preserve">Dispõe sobre a obrigatoriedade de profissional habilitado com curso de primeiros socorros e suporte básico à vida nas academias de ginástica do Município de Osasco. </t>
    </r>
  </si>
  <si>
    <r>
      <t>PROJETO DE LEI Nº 25/2024 – RALFI SILVA -</t>
    </r>
    <r>
      <rPr>
        <sz val="11"/>
        <color theme="1"/>
        <rFont val="Arial"/>
        <family val="2"/>
      </rPr>
      <t xml:space="preserve"> Institui a “Caminhada Azul-OsasTEA”, como forma de conscientização sobre o Autismo.</t>
    </r>
  </si>
  <si>
    <r>
      <t xml:space="preserve">PROJETO DE DECRETO LEGISLATIVO Nº 93/2025 - DÉLBIO TERUEL - </t>
    </r>
    <r>
      <rPr>
        <sz val="11"/>
        <color theme="1"/>
        <rFont val="Arial"/>
        <family val="2"/>
      </rPr>
      <t>Dispõe sobre a concessão do Cartão de Prata ao senhor Fábio Rodrigues da Silva – “Babu”, em reconhecimento aos relevantes serviços prestados ao Município de Osasco.</t>
    </r>
  </si>
  <si>
    <r>
      <t xml:space="preserve">PROJETO DE DECRETO LEGISLATIVO Nº 97/2025 – LAÉRCIO MENDONÇA - </t>
    </r>
    <r>
      <rPr>
        <sz val="11"/>
        <color theme="1"/>
        <rFont val="Arial"/>
        <family val="2"/>
      </rPr>
      <t>Concede o Cartão de Prata ao artista Jota.pê.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</si>
</sst>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6"/>
      <color rgb="FF00B05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1"/>
  <sheetViews>
    <sheetView tabSelected="1" topLeftCell="A11" zoomScale="70" zoomScaleNormal="70" workbookViewId="0">
      <selection activeCell="A49" sqref="A49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7" t="s">
        <v>29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70"/>
      <c r="O1" s="70"/>
      <c r="P1" s="70"/>
      <c r="Q1" s="40">
        <v>1</v>
      </c>
      <c r="R1" s="36" t="s">
        <v>10</v>
      </c>
      <c r="T1" s="151"/>
      <c r="U1" s="151"/>
      <c r="V1" s="151"/>
      <c r="W1" s="151"/>
      <c r="X1" s="151"/>
      <c r="Y1" s="151"/>
      <c r="Z1" s="7" t="s">
        <v>16</v>
      </c>
    </row>
    <row r="2" spans="1:28" ht="19.5" customHeight="1">
      <c r="A2" s="83" t="s">
        <v>103</v>
      </c>
      <c r="B2" s="149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70"/>
      <c r="O2" s="70"/>
      <c r="P2" s="70"/>
      <c r="Q2" s="35">
        <v>2</v>
      </c>
      <c r="R2" s="36" t="s">
        <v>11</v>
      </c>
      <c r="T2" s="151"/>
      <c r="U2" s="151"/>
      <c r="V2" s="151"/>
      <c r="W2" s="151"/>
      <c r="X2" s="151"/>
      <c r="Y2" s="151"/>
      <c r="Z2" s="7" t="s">
        <v>17</v>
      </c>
    </row>
    <row r="3" spans="1:28" ht="19.5" customHeight="1" thickBot="1">
      <c r="A3" s="83" t="s">
        <v>104</v>
      </c>
      <c r="B3" s="149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70"/>
      <c r="O3" s="70"/>
      <c r="P3" s="70"/>
      <c r="Q3" s="41">
        <v>3</v>
      </c>
      <c r="R3" s="37" t="s">
        <v>12</v>
      </c>
      <c r="T3" s="151"/>
      <c r="U3" s="151"/>
      <c r="V3" s="151"/>
      <c r="W3" s="151"/>
      <c r="X3" s="151"/>
      <c r="Y3" s="151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51"/>
      <c r="U4" s="151"/>
      <c r="V4" s="151"/>
      <c r="W4" s="151"/>
      <c r="X4" s="151"/>
      <c r="Y4" s="151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2</v>
      </c>
      <c r="K5" s="102" t="s">
        <v>53</v>
      </c>
      <c r="L5" s="125"/>
      <c r="M5" s="126"/>
      <c r="N5" s="63"/>
      <c r="O5" s="62"/>
      <c r="P5" s="63"/>
      <c r="Q5" s="63"/>
      <c r="R5" s="102"/>
      <c r="S5" s="115"/>
      <c r="T5" s="151"/>
      <c r="U5" s="151"/>
      <c r="V5" s="151"/>
      <c r="W5" s="151"/>
      <c r="X5" s="151"/>
      <c r="Y5" s="151"/>
    </row>
    <row r="6" spans="1:28" ht="18" customHeight="1">
      <c r="A6" s="46" t="s">
        <v>66</v>
      </c>
      <c r="B6" s="88">
        <v>2</v>
      </c>
      <c r="C6" s="102" t="s">
        <v>53</v>
      </c>
      <c r="D6" s="63"/>
      <c r="E6" s="102"/>
      <c r="F6" s="88">
        <v>2</v>
      </c>
      <c r="G6" s="102" t="s">
        <v>53</v>
      </c>
      <c r="H6" s="63"/>
      <c r="I6" s="62"/>
      <c r="J6" s="63">
        <v>2</v>
      </c>
      <c r="K6" s="102" t="s">
        <v>53</v>
      </c>
      <c r="L6" s="67"/>
      <c r="M6" s="65"/>
      <c r="N6" s="63"/>
      <c r="O6" s="62"/>
      <c r="P6" s="63"/>
      <c r="Q6" s="63"/>
      <c r="R6" s="102"/>
      <c r="S6" s="89"/>
      <c r="T6" s="151"/>
      <c r="U6" s="151"/>
      <c r="V6" s="151"/>
      <c r="W6" s="151"/>
      <c r="X6" s="151"/>
      <c r="Y6" s="151"/>
    </row>
    <row r="7" spans="1:28" ht="18" customHeight="1">
      <c r="A7" s="46" t="s">
        <v>54</v>
      </c>
      <c r="B7" s="88">
        <v>2</v>
      </c>
      <c r="C7" s="102" t="s">
        <v>53</v>
      </c>
      <c r="D7" s="63"/>
      <c r="E7" s="62"/>
      <c r="F7" s="88">
        <v>1</v>
      </c>
      <c r="G7" s="62" t="s">
        <v>52</v>
      </c>
      <c r="H7" s="63"/>
      <c r="I7" s="62"/>
      <c r="J7" s="63">
        <v>2</v>
      </c>
      <c r="K7" s="102" t="s">
        <v>53</v>
      </c>
      <c r="L7" s="67"/>
      <c r="M7" s="65"/>
      <c r="N7" s="63"/>
      <c r="O7" s="62"/>
      <c r="P7" s="63"/>
      <c r="Q7" s="63"/>
      <c r="R7" s="102"/>
      <c r="S7" s="89"/>
      <c r="T7" s="151"/>
      <c r="U7" s="151"/>
      <c r="V7" s="151"/>
      <c r="W7" s="151"/>
      <c r="X7" s="151"/>
      <c r="Y7" s="151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51"/>
      <c r="U8" s="151"/>
      <c r="V8" s="151"/>
      <c r="W8" s="151"/>
      <c r="X8" s="151"/>
      <c r="Y8" s="151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2</v>
      </c>
      <c r="K9" s="102" t="s">
        <v>53</v>
      </c>
      <c r="L9" s="67"/>
      <c r="M9" s="65"/>
      <c r="N9" s="63"/>
      <c r="O9" s="62"/>
      <c r="P9" s="63"/>
      <c r="Q9" s="63"/>
      <c r="R9" s="102"/>
      <c r="S9" s="89"/>
      <c r="T9" s="151"/>
      <c r="U9" s="151"/>
      <c r="V9" s="151"/>
      <c r="W9" s="151"/>
      <c r="X9" s="151"/>
      <c r="Y9" s="151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2</v>
      </c>
      <c r="K10" s="102" t="s">
        <v>53</v>
      </c>
      <c r="L10" s="67"/>
      <c r="M10" s="65"/>
      <c r="N10" s="63"/>
      <c r="O10" s="62"/>
      <c r="P10" s="63"/>
      <c r="Q10" s="63"/>
      <c r="R10" s="62"/>
      <c r="S10" s="89"/>
      <c r="T10" s="151"/>
      <c r="U10" s="151"/>
      <c r="V10" s="151"/>
      <c r="W10" s="151"/>
      <c r="X10" s="151"/>
      <c r="Y10" s="151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51"/>
      <c r="U11" s="151"/>
      <c r="V11" s="151"/>
      <c r="W11" s="151"/>
      <c r="X11" s="151"/>
      <c r="Y11" s="151"/>
    </row>
    <row r="12" spans="1:28" ht="18" customHeight="1">
      <c r="A12" s="46" t="s">
        <v>23</v>
      </c>
      <c r="B12" s="88">
        <v>1</v>
      </c>
      <c r="C12" s="62" t="s">
        <v>52</v>
      </c>
      <c r="D12" s="63"/>
      <c r="E12" s="102"/>
      <c r="F12" s="88">
        <v>1</v>
      </c>
      <c r="G12" s="62" t="s">
        <v>52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51"/>
      <c r="U12" s="151"/>
      <c r="V12" s="151"/>
      <c r="W12" s="151"/>
      <c r="X12" s="151"/>
      <c r="Y12" s="151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102"/>
      <c r="F13" s="88">
        <v>1</v>
      </c>
      <c r="G13" s="62" t="s">
        <v>52</v>
      </c>
      <c r="H13" s="63"/>
      <c r="I13" s="62"/>
      <c r="J13" s="63">
        <v>2</v>
      </c>
      <c r="K13" s="102" t="s">
        <v>53</v>
      </c>
      <c r="L13" s="67"/>
      <c r="M13" s="65"/>
      <c r="N13" s="63"/>
      <c r="O13" s="62"/>
      <c r="P13" s="63"/>
      <c r="Q13" s="63"/>
      <c r="R13" s="102"/>
      <c r="S13" s="91"/>
      <c r="T13" s="151"/>
      <c r="U13" s="151"/>
      <c r="V13" s="151"/>
      <c r="W13" s="151"/>
      <c r="X13" s="151"/>
      <c r="Y13" s="151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51"/>
      <c r="U14" s="151"/>
      <c r="V14" s="151"/>
      <c r="W14" s="151"/>
      <c r="X14" s="151"/>
      <c r="Y14" s="151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1</v>
      </c>
      <c r="G15" s="62" t="s">
        <v>52</v>
      </c>
      <c r="H15" s="63"/>
      <c r="I15" s="62"/>
      <c r="J15" s="63">
        <v>2</v>
      </c>
      <c r="K15" s="102" t="s">
        <v>53</v>
      </c>
      <c r="L15" s="67"/>
      <c r="M15" s="65"/>
      <c r="N15" s="63"/>
      <c r="O15" s="62"/>
      <c r="P15" s="63"/>
      <c r="Q15" s="63"/>
      <c r="R15" s="102"/>
      <c r="S15" s="91"/>
      <c r="T15" s="151"/>
      <c r="U15" s="151"/>
      <c r="V15" s="151"/>
      <c r="W15" s="151"/>
      <c r="X15" s="151"/>
      <c r="Y15" s="151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51"/>
      <c r="U16" s="151"/>
      <c r="V16" s="151"/>
      <c r="W16" s="151"/>
      <c r="X16" s="151"/>
      <c r="Y16" s="151"/>
    </row>
    <row r="17" spans="1:28" ht="18.75" customHeight="1">
      <c r="A17" s="46" t="s">
        <v>25</v>
      </c>
      <c r="B17" s="88">
        <v>1</v>
      </c>
      <c r="C17" s="62" t="s">
        <v>52</v>
      </c>
      <c r="D17" s="63"/>
      <c r="E17" s="102"/>
      <c r="F17" s="88">
        <v>1</v>
      </c>
      <c r="G17" s="62" t="s">
        <v>52</v>
      </c>
      <c r="H17" s="63"/>
      <c r="I17" s="68"/>
      <c r="J17" s="63">
        <v>2</v>
      </c>
      <c r="K17" s="102" t="s">
        <v>53</v>
      </c>
      <c r="L17" s="67"/>
      <c r="M17" s="65"/>
      <c r="N17" s="63"/>
      <c r="O17" s="62"/>
      <c r="P17" s="63"/>
      <c r="Q17" s="63"/>
      <c r="R17" s="102"/>
      <c r="S17" s="91"/>
      <c r="T17" s="151"/>
      <c r="U17" s="151"/>
      <c r="V17" s="151"/>
      <c r="W17" s="151"/>
      <c r="X17" s="151"/>
      <c r="Y17" s="151"/>
    </row>
    <row r="18" spans="1:28" ht="17.25" customHeight="1">
      <c r="A18" s="46" t="s">
        <v>60</v>
      </c>
      <c r="B18" s="88">
        <v>1</v>
      </c>
      <c r="C18" s="62" t="s">
        <v>52</v>
      </c>
      <c r="D18" s="63"/>
      <c r="E18" s="62"/>
      <c r="F18" s="88">
        <v>1</v>
      </c>
      <c r="G18" s="62" t="s">
        <v>52</v>
      </c>
      <c r="H18" s="63"/>
      <c r="I18" s="62"/>
      <c r="J18" s="63">
        <v>2</v>
      </c>
      <c r="K18" s="102" t="s">
        <v>53</v>
      </c>
      <c r="L18" s="67"/>
      <c r="M18" s="65"/>
      <c r="N18" s="63"/>
      <c r="O18" s="62"/>
      <c r="P18" s="63"/>
      <c r="Q18" s="63"/>
      <c r="R18" s="102"/>
      <c r="S18" s="91"/>
      <c r="T18" s="151"/>
      <c r="U18" s="151"/>
      <c r="V18" s="151"/>
      <c r="W18" s="151"/>
      <c r="X18" s="151"/>
      <c r="Y18" s="151"/>
    </row>
    <row r="19" spans="1:28" ht="18" customHeight="1">
      <c r="A19" s="46" t="s">
        <v>94</v>
      </c>
      <c r="B19" s="88">
        <v>2</v>
      </c>
      <c r="C19" s="102" t="s">
        <v>53</v>
      </c>
      <c r="D19" s="63"/>
      <c r="E19" s="62"/>
      <c r="F19" s="88">
        <v>2</v>
      </c>
      <c r="G19" s="102" t="s">
        <v>53</v>
      </c>
      <c r="H19" s="63"/>
      <c r="I19" s="62"/>
      <c r="J19" s="63">
        <v>2</v>
      </c>
      <c r="K19" s="102" t="s">
        <v>53</v>
      </c>
      <c r="L19" s="67"/>
      <c r="M19" s="65"/>
      <c r="N19" s="63"/>
      <c r="O19" s="62"/>
      <c r="P19" s="63"/>
      <c r="Q19" s="63"/>
      <c r="R19" s="102"/>
      <c r="S19" s="91"/>
      <c r="T19" s="151"/>
      <c r="U19" s="151"/>
      <c r="V19" s="151"/>
      <c r="W19" s="151"/>
      <c r="X19" s="151"/>
      <c r="Y19" s="151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2</v>
      </c>
      <c r="G20" s="102" t="s">
        <v>53</v>
      </c>
      <c r="H20" s="63"/>
      <c r="I20" s="68"/>
      <c r="J20" s="63">
        <v>2</v>
      </c>
      <c r="K20" s="102" t="s">
        <v>53</v>
      </c>
      <c r="L20" s="67"/>
      <c r="M20" s="65"/>
      <c r="N20" s="63"/>
      <c r="O20" s="62"/>
      <c r="P20" s="63"/>
      <c r="Q20" s="63"/>
      <c r="R20" s="102"/>
      <c r="S20" s="91"/>
      <c r="T20" s="151"/>
      <c r="U20" s="151"/>
      <c r="V20" s="151"/>
      <c r="W20" s="151"/>
      <c r="X20" s="151"/>
      <c r="Y20" s="151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2</v>
      </c>
      <c r="K21" s="102" t="s">
        <v>53</v>
      </c>
      <c r="L21" s="64"/>
      <c r="M21" s="64"/>
      <c r="N21" s="63"/>
      <c r="O21" s="62"/>
      <c r="P21" s="63"/>
      <c r="Q21" s="63"/>
      <c r="R21" s="62"/>
      <c r="S21" s="91"/>
      <c r="T21" s="151"/>
      <c r="U21" s="151"/>
      <c r="V21" s="151"/>
      <c r="W21" s="151"/>
      <c r="X21" s="151"/>
      <c r="Y21" s="151"/>
    </row>
    <row r="22" spans="1:28" ht="18" customHeight="1">
      <c r="A22" s="46" t="s">
        <v>67</v>
      </c>
      <c r="B22" s="88">
        <v>2</v>
      </c>
      <c r="C22" s="102" t="s">
        <v>53</v>
      </c>
      <c r="D22" s="63"/>
      <c r="E22" s="62"/>
      <c r="F22" s="88">
        <v>2</v>
      </c>
      <c r="G22" s="102" t="s">
        <v>53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51"/>
      <c r="U22" s="151"/>
      <c r="V22" s="151"/>
      <c r="W22" s="151"/>
      <c r="X22" s="151"/>
      <c r="Y22" s="151"/>
    </row>
    <row r="23" spans="1:28" ht="18" customHeight="1">
      <c r="A23" s="46" t="s">
        <v>49</v>
      </c>
      <c r="B23" s="88">
        <v>1</v>
      </c>
      <c r="C23" s="62" t="s">
        <v>52</v>
      </c>
      <c r="D23" s="63"/>
      <c r="E23" s="62"/>
      <c r="F23" s="88">
        <v>2</v>
      </c>
      <c r="G23" s="102" t="s">
        <v>53</v>
      </c>
      <c r="H23" s="63"/>
      <c r="I23" s="62"/>
      <c r="J23" s="63">
        <v>2</v>
      </c>
      <c r="K23" s="102" t="s">
        <v>53</v>
      </c>
      <c r="L23" s="67"/>
      <c r="M23" s="65"/>
      <c r="N23" s="63"/>
      <c r="O23" s="62"/>
      <c r="P23" s="63"/>
      <c r="Q23" s="63"/>
      <c r="R23" s="62"/>
      <c r="S23" s="91"/>
      <c r="T23" s="151"/>
      <c r="U23" s="151"/>
      <c r="V23" s="151"/>
      <c r="W23" s="151"/>
      <c r="X23" s="151"/>
      <c r="Y23" s="151"/>
    </row>
    <row r="24" spans="1:28" ht="20.25">
      <c r="A24" s="46" t="s">
        <v>88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2</v>
      </c>
      <c r="K24" s="102" t="s">
        <v>53</v>
      </c>
      <c r="L24" s="67"/>
      <c r="M24" s="65"/>
      <c r="N24" s="63"/>
      <c r="O24" s="62"/>
      <c r="P24" s="63"/>
      <c r="Q24" s="63"/>
      <c r="R24" s="102"/>
      <c r="S24" s="91"/>
      <c r="T24" s="151"/>
      <c r="U24" s="151"/>
      <c r="V24" s="151"/>
      <c r="W24" s="151"/>
      <c r="X24" s="151"/>
      <c r="Y24" s="151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2</v>
      </c>
      <c r="K25" s="102" t="s">
        <v>53</v>
      </c>
      <c r="L25" s="67"/>
      <c r="M25" s="65"/>
      <c r="N25" s="63"/>
      <c r="O25" s="62"/>
      <c r="P25" s="63"/>
      <c r="Q25" s="66"/>
      <c r="R25" s="102"/>
      <c r="S25" s="91"/>
      <c r="T25" s="151"/>
      <c r="U25" s="151"/>
      <c r="V25" s="151"/>
      <c r="W25" s="151"/>
      <c r="X25" s="151"/>
      <c r="Y25" s="151"/>
    </row>
    <row r="26" spans="1:28" ht="16.5" thickBot="1">
      <c r="A26" s="38" t="s">
        <v>13</v>
      </c>
      <c r="B26" s="98">
        <v>13</v>
      </c>
      <c r="C26" s="96" t="s">
        <v>46</v>
      </c>
      <c r="D26" s="98"/>
      <c r="E26" s="96" t="s">
        <v>46</v>
      </c>
      <c r="F26" s="98">
        <v>15</v>
      </c>
      <c r="G26" s="96" t="s">
        <v>46</v>
      </c>
      <c r="H26" s="100"/>
      <c r="I26" s="101"/>
      <c r="J26" s="98">
        <v>4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8</v>
      </c>
      <c r="C27" s="96" t="s">
        <v>47</v>
      </c>
      <c r="D27" s="98"/>
      <c r="E27" s="96" t="s">
        <v>47</v>
      </c>
      <c r="F27" s="98">
        <v>6</v>
      </c>
      <c r="G27" s="96" t="s">
        <v>47</v>
      </c>
      <c r="H27" s="100"/>
      <c r="I27" s="96"/>
      <c r="J27" s="98">
        <v>17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65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54</v>
      </c>
      <c r="V32" s="12"/>
      <c r="W32" s="12"/>
    </row>
    <row r="33" spans="1:23" ht="18">
      <c r="A33" s="34" t="s">
        <v>58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63</v>
      </c>
      <c r="V43" s="12"/>
      <c r="W43" s="12"/>
    </row>
    <row r="44" spans="1:23" ht="18">
      <c r="A44" s="34" t="s">
        <v>94</v>
      </c>
      <c r="V44" s="12"/>
      <c r="W44" s="12"/>
    </row>
    <row r="45" spans="1:23" ht="18">
      <c r="A45" s="34" t="s">
        <v>88</v>
      </c>
      <c r="V45" s="12"/>
      <c r="W45" s="12"/>
    </row>
    <row r="46" spans="1:23" ht="18">
      <c r="A46" s="34" t="s">
        <v>26</v>
      </c>
      <c r="V46" s="12"/>
      <c r="W46" s="12"/>
    </row>
    <row r="47" spans="1:23" ht="18">
      <c r="A47" s="34" t="s">
        <v>67</v>
      </c>
      <c r="V47" s="12"/>
      <c r="W47" s="12"/>
    </row>
    <row r="48" spans="1:23" ht="18">
      <c r="A48" s="34" t="s">
        <v>66</v>
      </c>
      <c r="B48" s="7"/>
      <c r="V48" s="12"/>
      <c r="W48" s="32"/>
    </row>
    <row r="49" spans="1:23" ht="18">
      <c r="A49" s="34" t="s">
        <v>49</v>
      </c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M52"/>
      <c r="W52" s="12"/>
    </row>
    <row r="53" spans="1:23" ht="15.75">
      <c r="A53" s="5" t="s">
        <v>35</v>
      </c>
      <c r="M53"/>
      <c r="W53" s="12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5.75">
      <c r="A72" s="7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</sheetData>
  <mergeCells count="2">
    <mergeCell ref="B1:M3"/>
    <mergeCell ref="T1:Y25"/>
  </mergeCells>
  <dataValidations count="2">
    <dataValidation type="custom" allowBlank="1" showInputMessage="1" showErrorMessage="1" sqref="A73:A81 A63:A71" xr:uid="{201F3B03-C924-4B48-A5BC-AE6429F789F2}">
      <formula1>"a5:a25"</formula1>
    </dataValidation>
    <dataValidation type="list" allowBlank="1" showInputMessage="1" showErrorMessage="1" sqref="A44:A52 A54:A61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V39"/>
  <sheetViews>
    <sheetView workbookViewId="0">
      <pane xSplit="1" topLeftCell="B1" activePane="topRight" state="frozen"/>
      <selection pane="topRight" activeCell="D8" sqref="D8"/>
    </sheetView>
  </sheetViews>
  <sheetFormatPr defaultColWidth="9.140625" defaultRowHeight="12.75"/>
  <cols>
    <col min="1" max="1" width="47.7109375" style="22" customWidth="1"/>
    <col min="2" max="3" width="23.7109375" style="22" customWidth="1"/>
    <col min="4" max="4" width="19" style="22" customWidth="1"/>
    <col min="5" max="5" width="26.28515625" style="22" customWidth="1"/>
    <col min="6" max="6" width="22.140625" style="22" customWidth="1"/>
    <col min="7" max="22" width="22.7109375" style="22" customWidth="1"/>
    <col min="23" max="16384" width="9.140625" style="22"/>
  </cols>
  <sheetData>
    <row r="1" spans="1:22" ht="15">
      <c r="A1" s="76" t="s">
        <v>8</v>
      </c>
      <c r="B1" s="21"/>
      <c r="C1" s="21"/>
      <c r="D1" s="21"/>
      <c r="E1" s="21"/>
    </row>
    <row r="2" spans="1:22" ht="15">
      <c r="A2" s="76" t="s">
        <v>103</v>
      </c>
      <c r="B2" s="21"/>
      <c r="C2" s="21"/>
      <c r="D2" s="21"/>
      <c r="E2" s="21"/>
    </row>
    <row r="3" spans="1:22" ht="17.25" customHeight="1">
      <c r="A3" s="76" t="s">
        <v>104</v>
      </c>
      <c r="B3" s="21"/>
      <c r="C3" s="21"/>
      <c r="D3" s="21"/>
      <c r="E3" s="21"/>
    </row>
    <row r="4" spans="1:22" ht="63" customHeight="1">
      <c r="A4" s="51" t="str">
        <f>'[1]MOÇÃO E REQUERIMENTO'!B7</f>
        <v>EXPEDIENTE</v>
      </c>
      <c r="B4" s="50" t="s">
        <v>45</v>
      </c>
      <c r="C4" s="117"/>
      <c r="D4" s="112" t="s">
        <v>34</v>
      </c>
      <c r="E4" s="124"/>
      <c r="F4" s="50" t="s">
        <v>27</v>
      </c>
      <c r="G4" s="84" t="s">
        <v>98</v>
      </c>
      <c r="H4" s="84" t="s">
        <v>97</v>
      </c>
      <c r="I4" s="84" t="s">
        <v>105</v>
      </c>
      <c r="J4" s="84" t="s">
        <v>99</v>
      </c>
      <c r="K4" s="84" t="s">
        <v>100</v>
      </c>
      <c r="L4" s="84" t="s">
        <v>101</v>
      </c>
      <c r="M4" s="84" t="s">
        <v>107</v>
      </c>
      <c r="N4" s="84" t="s">
        <v>108</v>
      </c>
      <c r="O4" s="84" t="s">
        <v>109</v>
      </c>
      <c r="P4" s="84" t="s">
        <v>110</v>
      </c>
      <c r="Q4" s="84" t="s">
        <v>111</v>
      </c>
      <c r="R4" s="84" t="s">
        <v>112</v>
      </c>
      <c r="S4" s="84" t="s">
        <v>113</v>
      </c>
      <c r="T4" s="84" t="s">
        <v>114</v>
      </c>
      <c r="U4" s="84" t="s">
        <v>115</v>
      </c>
      <c r="V4" s="84" t="s">
        <v>116</v>
      </c>
    </row>
    <row r="5" spans="1:22" s="59" customFormat="1" ht="48" customHeight="1">
      <c r="A5" s="57" t="s">
        <v>42</v>
      </c>
      <c r="B5" s="55"/>
      <c r="C5" s="55"/>
      <c r="D5" s="55"/>
      <c r="E5" s="113"/>
      <c r="G5" s="113" t="s">
        <v>95</v>
      </c>
      <c r="H5" s="113" t="s">
        <v>95</v>
      </c>
      <c r="I5" s="118" t="s">
        <v>96</v>
      </c>
      <c r="J5" s="113" t="s">
        <v>95</v>
      </c>
      <c r="K5" s="118" t="s">
        <v>96</v>
      </c>
      <c r="L5" s="118" t="s">
        <v>106</v>
      </c>
      <c r="M5" s="118" t="s">
        <v>106</v>
      </c>
      <c r="N5" s="113" t="s">
        <v>95</v>
      </c>
      <c r="O5" s="118" t="s">
        <v>106</v>
      </c>
      <c r="P5" s="118" t="s">
        <v>106</v>
      </c>
      <c r="Q5" s="118" t="s">
        <v>106</v>
      </c>
      <c r="R5" s="118" t="s">
        <v>106</v>
      </c>
      <c r="S5" s="113" t="s">
        <v>95</v>
      </c>
      <c r="T5" s="113" t="s">
        <v>95</v>
      </c>
      <c r="U5" s="118" t="s">
        <v>106</v>
      </c>
      <c r="V5" s="113" t="s">
        <v>95</v>
      </c>
    </row>
    <row r="6" spans="1:22" ht="15.75">
      <c r="A6" s="127" t="s">
        <v>51</v>
      </c>
      <c r="F6" s="23"/>
    </row>
    <row r="7" spans="1:22" ht="15.75">
      <c r="A7" s="127" t="s">
        <v>66</v>
      </c>
      <c r="F7" s="23"/>
    </row>
    <row r="8" spans="1:22" ht="15.75">
      <c r="A8" s="127" t="s">
        <v>54</v>
      </c>
      <c r="F8" s="23"/>
    </row>
    <row r="9" spans="1:22" ht="15.75">
      <c r="A9" s="128" t="s">
        <v>55</v>
      </c>
      <c r="F9" s="23"/>
    </row>
    <row r="10" spans="1:22" ht="15.75">
      <c r="A10" s="127" t="s">
        <v>28</v>
      </c>
      <c r="F10" s="23"/>
    </row>
    <row r="11" spans="1:22" ht="15.75">
      <c r="A11" s="127" t="s">
        <v>56</v>
      </c>
      <c r="F11" s="23"/>
    </row>
    <row r="12" spans="1:22" ht="15.75">
      <c r="A12" s="127" t="s">
        <v>22</v>
      </c>
      <c r="F12" s="23"/>
    </row>
    <row r="13" spans="1:22" ht="15.75">
      <c r="A13" s="127" t="s">
        <v>23</v>
      </c>
      <c r="F13" s="23"/>
    </row>
    <row r="14" spans="1:22" ht="15.75">
      <c r="A14" s="127" t="s">
        <v>24</v>
      </c>
      <c r="F14" s="23"/>
    </row>
    <row r="15" spans="1:22" ht="15.75">
      <c r="A15" s="127" t="s">
        <v>57</v>
      </c>
      <c r="F15" s="23"/>
    </row>
    <row r="16" spans="1:22" ht="15.75">
      <c r="A16" s="127" t="s">
        <v>58</v>
      </c>
      <c r="F16" s="23"/>
    </row>
    <row r="17" spans="1:6" ht="15.75">
      <c r="A17" s="127" t="s">
        <v>59</v>
      </c>
      <c r="F17" s="23"/>
    </row>
    <row r="18" spans="1:6" ht="15.75">
      <c r="A18" s="127" t="s">
        <v>25</v>
      </c>
      <c r="F18" s="23"/>
    </row>
    <row r="19" spans="1:6" ht="15.75">
      <c r="A19" s="127" t="s">
        <v>60</v>
      </c>
      <c r="F19" s="23"/>
    </row>
    <row r="20" spans="1:6" ht="15.75">
      <c r="A20" s="127" t="s">
        <v>94</v>
      </c>
      <c r="F20" s="23"/>
    </row>
    <row r="21" spans="1:6" ht="15.75">
      <c r="A21" s="127" t="s">
        <v>26</v>
      </c>
      <c r="F21" s="23"/>
    </row>
    <row r="22" spans="1:6" ht="15.75">
      <c r="A22" s="127" t="s">
        <v>61</v>
      </c>
      <c r="F22" s="23"/>
    </row>
    <row r="23" spans="1:6" ht="15.75">
      <c r="A23" s="127" t="s">
        <v>67</v>
      </c>
      <c r="F23" s="23"/>
    </row>
    <row r="24" spans="1:6" ht="15.75">
      <c r="A24" s="127" t="s">
        <v>49</v>
      </c>
      <c r="F24" s="23"/>
    </row>
    <row r="25" spans="1:6" ht="15.75">
      <c r="A25" s="127" t="s">
        <v>88</v>
      </c>
      <c r="F25" s="23"/>
    </row>
    <row r="26" spans="1:6" ht="15.75">
      <c r="A26" s="127" t="s">
        <v>62</v>
      </c>
      <c r="F26" s="23"/>
    </row>
    <row r="27" spans="1:6" s="25" customFormat="1">
      <c r="A27" s="24" t="s">
        <v>18</v>
      </c>
    </row>
    <row r="28" spans="1:6" s="27" customFormat="1">
      <c r="A28" s="26" t="s">
        <v>19</v>
      </c>
    </row>
    <row r="29" spans="1:6">
      <c r="A29" s="28" t="s">
        <v>11</v>
      </c>
    </row>
    <row r="30" spans="1:6" s="30" customFormat="1">
      <c r="A30" s="29" t="s">
        <v>20</v>
      </c>
    </row>
    <row r="32" spans="1:6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B37"/>
  <sheetViews>
    <sheetView zoomScale="80" zoomScaleNormal="80" workbookViewId="0">
      <pane xSplit="1" topLeftCell="B1" activePane="topRight" state="frozen"/>
      <selection activeCell="A4" sqref="A4"/>
      <selection pane="topRight" activeCell="F5" sqref="F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7" width="36.7109375" customWidth="1"/>
  </cols>
  <sheetData>
    <row r="1" spans="1:47" ht="18" customHeight="1">
      <c r="A1" s="76" t="s">
        <v>8</v>
      </c>
      <c r="B1" s="49"/>
      <c r="C1" s="74"/>
    </row>
    <row r="2" spans="1:47" ht="18" customHeight="1">
      <c r="A2" s="76" t="s">
        <v>103</v>
      </c>
      <c r="B2" s="49"/>
      <c r="C2" s="74"/>
    </row>
    <row r="3" spans="1:47" ht="17.25" customHeight="1">
      <c r="A3" s="76" t="s">
        <v>104</v>
      </c>
      <c r="B3" s="49"/>
      <c r="C3" s="74"/>
      <c r="E3" s="116"/>
      <c r="F3" s="116"/>
      <c r="G3" s="116"/>
    </row>
    <row r="4" spans="1:47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118</v>
      </c>
      <c r="F4" s="140" t="s">
        <v>102</v>
      </c>
      <c r="G4" s="140" t="s">
        <v>119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3"/>
      <c r="AU4" s="3"/>
    </row>
    <row r="5" spans="1:47" s="81" customFormat="1" ht="48" customHeight="1">
      <c r="A5" s="99" t="s">
        <v>37</v>
      </c>
      <c r="B5" s="78"/>
      <c r="C5" s="144"/>
      <c r="D5" s="79"/>
      <c r="E5" s="146" t="s">
        <v>117</v>
      </c>
      <c r="F5" s="146" t="s">
        <v>117</v>
      </c>
      <c r="G5" s="146" t="s">
        <v>117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</row>
    <row r="6" spans="1:47" ht="20.25">
      <c r="A6" s="46" t="s">
        <v>51</v>
      </c>
      <c r="C6" s="107"/>
      <c r="E6" s="107"/>
      <c r="F6" s="107"/>
      <c r="G6" s="114"/>
      <c r="H6" s="143"/>
    </row>
    <row r="7" spans="1:47" ht="20.25">
      <c r="A7" s="46" t="s">
        <v>66</v>
      </c>
      <c r="C7" s="107"/>
      <c r="E7" s="107"/>
      <c r="F7" s="107"/>
      <c r="G7" s="114"/>
    </row>
    <row r="8" spans="1:47" ht="20.25">
      <c r="A8" s="46" t="s">
        <v>54</v>
      </c>
      <c r="C8" s="107"/>
      <c r="E8" s="107"/>
      <c r="F8" s="107"/>
      <c r="G8" s="107"/>
    </row>
    <row r="9" spans="1:47" ht="20.25">
      <c r="A9" s="82" t="s">
        <v>55</v>
      </c>
      <c r="C9" s="114"/>
      <c r="E9" s="114"/>
      <c r="F9" s="114"/>
      <c r="G9" s="114"/>
    </row>
    <row r="10" spans="1:47" ht="20.25">
      <c r="A10" s="46" t="s">
        <v>28</v>
      </c>
      <c r="C10" s="114"/>
      <c r="E10" s="107"/>
      <c r="F10" s="107"/>
      <c r="G10" s="107"/>
    </row>
    <row r="11" spans="1:47" ht="20.25">
      <c r="A11" s="46" t="s">
        <v>56</v>
      </c>
      <c r="C11" s="114"/>
      <c r="E11" s="107"/>
      <c r="F11" s="107"/>
      <c r="G11" s="107"/>
    </row>
    <row r="12" spans="1:47" ht="20.25">
      <c r="A12" s="46" t="s">
        <v>22</v>
      </c>
      <c r="C12" s="107"/>
      <c r="E12" s="107"/>
      <c r="F12" s="107"/>
      <c r="G12" s="107"/>
    </row>
    <row r="13" spans="1:47" ht="20.25">
      <c r="A13" s="46" t="s">
        <v>23</v>
      </c>
      <c r="C13" s="114"/>
      <c r="E13" s="114"/>
      <c r="F13" s="114"/>
      <c r="G13" s="114"/>
    </row>
    <row r="14" spans="1:47" ht="20.25">
      <c r="A14" s="46" t="s">
        <v>24</v>
      </c>
      <c r="C14" s="107"/>
      <c r="E14" s="107"/>
      <c r="F14" s="107"/>
      <c r="G14" s="107"/>
    </row>
    <row r="15" spans="1:47" ht="20.25">
      <c r="A15" s="46" t="s">
        <v>57</v>
      </c>
      <c r="C15" s="114"/>
      <c r="E15" s="107"/>
      <c r="F15" s="107"/>
      <c r="G15" s="107"/>
    </row>
    <row r="16" spans="1:47" ht="20.25">
      <c r="A16" s="46" t="s">
        <v>58</v>
      </c>
      <c r="C16" s="107"/>
      <c r="E16" s="107"/>
      <c r="F16" s="107"/>
      <c r="G16" s="107"/>
    </row>
    <row r="17" spans="1:132" ht="20.25">
      <c r="A17" s="46" t="s">
        <v>59</v>
      </c>
      <c r="C17" s="145"/>
      <c r="E17" s="107"/>
      <c r="F17" s="107"/>
      <c r="G17" s="107"/>
    </row>
    <row r="18" spans="1:132" ht="20.25">
      <c r="A18" s="46" t="s">
        <v>25</v>
      </c>
      <c r="C18" s="107"/>
      <c r="E18" s="107"/>
      <c r="F18" s="107"/>
      <c r="G18" s="107"/>
    </row>
    <row r="19" spans="1:132" ht="20.25">
      <c r="A19" s="46" t="s">
        <v>60</v>
      </c>
      <c r="C19" s="107"/>
      <c r="E19" s="107"/>
      <c r="F19" s="107"/>
      <c r="G19" s="107"/>
    </row>
    <row r="20" spans="1:132" ht="20.25">
      <c r="A20" s="46" t="s">
        <v>94</v>
      </c>
      <c r="C20" s="107"/>
      <c r="E20" s="107"/>
      <c r="F20" s="107"/>
      <c r="G20" s="107"/>
    </row>
    <row r="21" spans="1:132" ht="20.25">
      <c r="A21" s="46" t="s">
        <v>26</v>
      </c>
      <c r="C21" s="107"/>
      <c r="E21" s="107"/>
      <c r="F21" s="107"/>
      <c r="G21" s="107"/>
    </row>
    <row r="22" spans="1:132" ht="20.25">
      <c r="A22" s="46" t="s">
        <v>61</v>
      </c>
      <c r="C22" s="107"/>
      <c r="E22" s="107"/>
      <c r="F22" s="107"/>
      <c r="G22" s="107"/>
    </row>
    <row r="23" spans="1:132" ht="20.25">
      <c r="A23" s="46" t="s">
        <v>67</v>
      </c>
      <c r="C23" s="114"/>
      <c r="E23" s="107"/>
      <c r="F23" s="107"/>
      <c r="G23" s="107"/>
    </row>
    <row r="24" spans="1:132" ht="20.25">
      <c r="A24" s="46" t="s">
        <v>49</v>
      </c>
      <c r="C24" s="107"/>
      <c r="E24" s="107"/>
      <c r="F24" s="107"/>
      <c r="G24" s="107"/>
    </row>
    <row r="25" spans="1:132" ht="20.25">
      <c r="A25" s="46" t="s">
        <v>88</v>
      </c>
      <c r="C25" s="107"/>
      <c r="E25" s="107"/>
      <c r="F25" s="107"/>
      <c r="G25" s="107"/>
    </row>
    <row r="26" spans="1:132" ht="20.25">
      <c r="A26" s="46" t="s">
        <v>62</v>
      </c>
      <c r="C26" s="107"/>
      <c r="E26" s="107"/>
      <c r="F26" s="107"/>
      <c r="G26" s="107"/>
    </row>
    <row r="27" spans="1:132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>COUNTIF(E6:E26,"sim")</f>
        <v>0</v>
      </c>
      <c r="F27" s="103">
        <f>COUNTIF(F6:F26,"sim")</f>
        <v>0</v>
      </c>
      <c r="G27" s="103">
        <f t="shared" ref="F27:G27" si="1">COUNTIF(G6:G26,"sim")</f>
        <v>0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</row>
    <row r="28" spans="1:132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 s="104">
        <f t="shared" ref="F28:G28" si="4">COUNTIF(F6:F26,"não")</f>
        <v>0</v>
      </c>
      <c r="G28" s="104">
        <f t="shared" si="4"/>
        <v>0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</row>
    <row r="29" spans="1:132" ht="15.75">
      <c r="A29" s="14" t="s">
        <v>11</v>
      </c>
      <c r="C29" s="40">
        <f t="shared" ref="C29" si="5">COUNTIF(C6:C26,"ausente")</f>
        <v>0</v>
      </c>
      <c r="E29" s="40">
        <f t="shared" ref="E29" si="6">COUNTIF(E6:E26,"ausente")</f>
        <v>0</v>
      </c>
      <c r="F29" s="40">
        <f t="shared" ref="F29:G29" si="7">COUNTIF(F6:F26,"ausente")</f>
        <v>0</v>
      </c>
      <c r="G29" s="40">
        <f t="shared" si="7"/>
        <v>0</v>
      </c>
    </row>
    <row r="30" spans="1:132" s="20" customFormat="1" ht="15.75">
      <c r="A30" s="19" t="s">
        <v>20</v>
      </c>
      <c r="B30"/>
      <c r="C30" s="105">
        <f t="shared" ref="C30" si="8">COUNTIF(C6:C26,"abstenção")</f>
        <v>0</v>
      </c>
      <c r="D30"/>
      <c r="E30" s="105">
        <f t="shared" ref="E30" si="9">COUNTIF(E6:E26,"abstenção")</f>
        <v>0</v>
      </c>
      <c r="F30" s="105">
        <f t="shared" ref="F30:G30" si="10">COUNTIF(F6:F26,"abstenção")</f>
        <v>0</v>
      </c>
      <c r="G30" s="105">
        <f t="shared" si="10"/>
        <v>0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</row>
    <row r="31" spans="1:132" s="20" customFormat="1" ht="15.75">
      <c r="A31" s="19"/>
      <c r="B31"/>
      <c r="C31" s="105"/>
      <c r="D31"/>
      <c r="E31" s="105"/>
      <c r="F31" s="105"/>
      <c r="G31" s="105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5" sqref="C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 t="s">
        <v>120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46" t="s">
        <v>117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51</v>
      </c>
      <c r="C6" s="107"/>
      <c r="U6" s="7"/>
      <c r="V6" s="7"/>
    </row>
    <row r="7" spans="1:29" ht="18">
      <c r="A7" s="129" t="s">
        <v>66</v>
      </c>
      <c r="C7" s="107"/>
      <c r="U7" s="7"/>
      <c r="V7" s="7"/>
    </row>
    <row r="8" spans="1:29" ht="18">
      <c r="A8" s="129" t="s">
        <v>54</v>
      </c>
      <c r="C8" s="107"/>
      <c r="U8" s="7"/>
      <c r="V8" s="7"/>
    </row>
    <row r="9" spans="1:29" ht="18">
      <c r="A9" s="130" t="s">
        <v>55</v>
      </c>
      <c r="C9" s="114"/>
      <c r="U9" s="7"/>
      <c r="V9" s="7"/>
    </row>
    <row r="10" spans="1:29" ht="18">
      <c r="A10" s="129" t="s">
        <v>28</v>
      </c>
      <c r="C10" s="107"/>
      <c r="U10" s="7"/>
      <c r="V10" s="7"/>
    </row>
    <row r="11" spans="1:29" ht="18">
      <c r="A11" s="129" t="s">
        <v>56</v>
      </c>
      <c r="C11" s="107"/>
      <c r="U11" s="7"/>
      <c r="V11" s="7"/>
    </row>
    <row r="12" spans="1:29" ht="18">
      <c r="A12" s="129" t="s">
        <v>22</v>
      </c>
      <c r="C12" s="107"/>
      <c r="U12" s="7"/>
      <c r="V12" s="7"/>
    </row>
    <row r="13" spans="1:29" ht="18">
      <c r="A13" s="129" t="s">
        <v>23</v>
      </c>
      <c r="C13" s="114"/>
      <c r="U13" s="7"/>
      <c r="V13" s="7"/>
    </row>
    <row r="14" spans="1:29" ht="18">
      <c r="A14" s="129" t="s">
        <v>24</v>
      </c>
      <c r="C14" s="107"/>
      <c r="U14" s="7"/>
      <c r="V14" s="7"/>
    </row>
    <row r="15" spans="1:29" ht="18">
      <c r="A15" s="129" t="s">
        <v>57</v>
      </c>
      <c r="C15" s="107"/>
      <c r="U15" s="7"/>
      <c r="V15" s="7"/>
    </row>
    <row r="16" spans="1:29" ht="18">
      <c r="A16" s="129" t="s">
        <v>58</v>
      </c>
      <c r="C16" s="114"/>
      <c r="U16" s="7"/>
      <c r="V16" s="7"/>
    </row>
    <row r="17" spans="1:123" ht="15" customHeight="1">
      <c r="A17" s="129" t="s">
        <v>59</v>
      </c>
      <c r="C17" s="145"/>
      <c r="T17" s="8"/>
      <c r="U17" s="7"/>
      <c r="V17" s="7"/>
    </row>
    <row r="18" spans="1:123" ht="18">
      <c r="A18" s="129" t="s">
        <v>25</v>
      </c>
      <c r="C18" s="107"/>
      <c r="U18" s="7"/>
      <c r="V18" s="7"/>
    </row>
    <row r="19" spans="1:123" ht="18">
      <c r="A19" s="129" t="s">
        <v>60</v>
      </c>
      <c r="C19" s="107"/>
      <c r="U19" s="7"/>
      <c r="V19" s="7"/>
    </row>
    <row r="20" spans="1:123" ht="18">
      <c r="A20" s="129" t="s">
        <v>94</v>
      </c>
      <c r="C20" s="107"/>
      <c r="U20" s="7"/>
      <c r="V20" s="7"/>
    </row>
    <row r="21" spans="1:123" ht="18">
      <c r="A21" s="129" t="s">
        <v>26</v>
      </c>
      <c r="C21" s="107"/>
      <c r="U21" s="7"/>
      <c r="V21" s="7"/>
    </row>
    <row r="22" spans="1:123" ht="18">
      <c r="A22" s="129" t="s">
        <v>61</v>
      </c>
      <c r="C22" s="107"/>
      <c r="U22" s="7"/>
      <c r="V22" s="7"/>
    </row>
    <row r="23" spans="1:123" ht="18">
      <c r="A23" s="129" t="s">
        <v>67</v>
      </c>
      <c r="C23" s="107"/>
      <c r="U23" s="7"/>
      <c r="V23" s="7"/>
    </row>
    <row r="24" spans="1:123" ht="18">
      <c r="A24" s="129" t="s">
        <v>49</v>
      </c>
      <c r="C24" s="107"/>
      <c r="U24" s="7"/>
      <c r="V24" s="7"/>
    </row>
    <row r="25" spans="1:123" ht="18">
      <c r="A25" s="129" t="s">
        <v>88</v>
      </c>
      <c r="C25" s="107"/>
      <c r="U25" s="7"/>
      <c r="V25" s="7"/>
    </row>
    <row r="26" spans="1:123" ht="18">
      <c r="A26" s="129" t="s">
        <v>62</v>
      </c>
      <c r="C26" s="107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3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4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5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workbookViewId="0">
      <pane xSplit="1" topLeftCell="B1" activePane="topRight" state="frozen"/>
      <selection pane="topRight" activeCell="I5" sqref="I5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103</v>
      </c>
      <c r="B2" s="2"/>
    </row>
    <row r="3" spans="1:4" ht="15.75" thickBot="1">
      <c r="A3" s="121" t="s">
        <v>104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121</v>
      </c>
      <c r="D4" s="139" t="s">
        <v>122</v>
      </c>
    </row>
    <row r="5" spans="1:4" s="6" customFormat="1" ht="60.75" customHeight="1">
      <c r="A5" s="122"/>
      <c r="B5" s="111"/>
      <c r="C5" s="146" t="s">
        <v>117</v>
      </c>
      <c r="D5" s="146" t="s">
        <v>117</v>
      </c>
    </row>
    <row r="6" spans="1:4" ht="15.75">
      <c r="A6" s="127" t="s">
        <v>51</v>
      </c>
      <c r="C6" s="107"/>
      <c r="D6" s="107"/>
    </row>
    <row r="7" spans="1:4" ht="15.75">
      <c r="A7" s="127" t="s">
        <v>66</v>
      </c>
      <c r="C7" s="107"/>
      <c r="D7" s="107"/>
    </row>
    <row r="8" spans="1:4" ht="15.75">
      <c r="A8" s="127" t="s">
        <v>54</v>
      </c>
      <c r="C8" s="107"/>
      <c r="D8" s="107"/>
    </row>
    <row r="9" spans="1:4" ht="15.75">
      <c r="A9" s="128" t="s">
        <v>55</v>
      </c>
      <c r="C9" s="107"/>
      <c r="D9" s="107"/>
    </row>
    <row r="10" spans="1:4" ht="15.75">
      <c r="A10" s="127" t="s">
        <v>28</v>
      </c>
      <c r="C10" s="107"/>
      <c r="D10" s="107"/>
    </row>
    <row r="11" spans="1:4" ht="15.75">
      <c r="A11" s="127" t="s">
        <v>56</v>
      </c>
      <c r="C11" s="114"/>
      <c r="D11" s="114"/>
    </row>
    <row r="12" spans="1:4" ht="15.75">
      <c r="A12" s="127" t="s">
        <v>22</v>
      </c>
      <c r="C12" s="107"/>
      <c r="D12" s="107"/>
    </row>
    <row r="13" spans="1:4" ht="15.75">
      <c r="A13" s="127" t="s">
        <v>23</v>
      </c>
      <c r="B13" s="138"/>
      <c r="C13" s="114"/>
      <c r="D13" s="114"/>
    </row>
    <row r="14" spans="1:4" ht="15.75">
      <c r="A14" s="127" t="s">
        <v>24</v>
      </c>
      <c r="C14" s="107"/>
      <c r="D14" s="107"/>
    </row>
    <row r="15" spans="1:4" ht="15.75">
      <c r="A15" s="127" t="s">
        <v>57</v>
      </c>
      <c r="C15" s="107"/>
      <c r="D15" s="107"/>
    </row>
    <row r="16" spans="1:4" ht="15.75">
      <c r="A16" s="127" t="s">
        <v>58</v>
      </c>
      <c r="C16" s="114"/>
      <c r="D16" s="114"/>
    </row>
    <row r="17" spans="1:4" ht="15.75">
      <c r="A17" s="127" t="s">
        <v>59</v>
      </c>
      <c r="C17" s="107"/>
      <c r="D17" s="107"/>
    </row>
    <row r="18" spans="1:4" ht="15.75">
      <c r="A18" s="127" t="s">
        <v>25</v>
      </c>
      <c r="C18" s="107"/>
      <c r="D18" s="107"/>
    </row>
    <row r="19" spans="1:4" ht="15.75">
      <c r="A19" s="127" t="s">
        <v>60</v>
      </c>
      <c r="C19" s="107"/>
      <c r="D19" s="107"/>
    </row>
    <row r="20" spans="1:4" ht="15.75">
      <c r="A20" s="127" t="s">
        <v>94</v>
      </c>
      <c r="C20" s="107"/>
      <c r="D20" s="107"/>
    </row>
    <row r="21" spans="1:4" ht="15.75">
      <c r="A21" s="127" t="s">
        <v>26</v>
      </c>
      <c r="C21" s="114"/>
      <c r="D21" s="114"/>
    </row>
    <row r="22" spans="1:4" ht="15.75">
      <c r="A22" s="127" t="s">
        <v>61</v>
      </c>
      <c r="C22" s="107"/>
      <c r="D22" s="107"/>
    </row>
    <row r="23" spans="1:4" ht="15.75">
      <c r="A23" s="127" t="s">
        <v>67</v>
      </c>
      <c r="C23" s="107"/>
      <c r="D23" s="107"/>
    </row>
    <row r="24" spans="1:4" ht="15.75">
      <c r="A24" s="127" t="s">
        <v>49</v>
      </c>
      <c r="C24" s="107"/>
      <c r="D24" s="107"/>
    </row>
    <row r="25" spans="1:4" ht="15.75">
      <c r="A25" s="127" t="s">
        <v>88</v>
      </c>
      <c r="C25" s="107"/>
      <c r="D25" s="107"/>
    </row>
    <row r="26" spans="1:4" ht="15.75">
      <c r="A26" s="127" t="s">
        <v>62</v>
      </c>
      <c r="C26" s="107"/>
      <c r="D26" s="107"/>
    </row>
    <row r="27" spans="1:4">
      <c r="C27" s="107"/>
      <c r="D27" s="107"/>
    </row>
    <row r="28" spans="1:4" ht="15.75">
      <c r="A28" s="15" t="s">
        <v>18</v>
      </c>
      <c r="B28" s="16">
        <f>COUNTIF(B6:B26,"sim")</f>
        <v>0</v>
      </c>
      <c r="C28" s="103">
        <f t="shared" ref="C28:D28" si="0">COUNTIF(C6:C26,"sim")</f>
        <v>0</v>
      </c>
      <c r="D28" s="103">
        <f t="shared" si="0"/>
        <v>0</v>
      </c>
    </row>
    <row r="29" spans="1:4" ht="15.75">
      <c r="A29" s="17" t="s">
        <v>19</v>
      </c>
      <c r="B29" s="18">
        <f>COUNTIF(B6:B26,"não")</f>
        <v>0</v>
      </c>
      <c r="C29" s="104">
        <f t="shared" ref="C29:D29" si="1">COUNTIF(C6:C26,"não")</f>
        <v>0</v>
      </c>
      <c r="D29" s="104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0</v>
      </c>
      <c r="D30" s="40">
        <f t="shared" si="2"/>
        <v>0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:D31" si="3">COUNTIF(C6:C26,"abstenção")</f>
        <v>0</v>
      </c>
      <c r="D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103</v>
      </c>
      <c r="B2" s="2"/>
      <c r="C2" s="54"/>
      <c r="D2" s="54"/>
      <c r="E2" s="54"/>
    </row>
    <row r="3" spans="1:10" ht="15.75" thickBot="1">
      <c r="A3" s="121" t="s">
        <v>104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2" t="s">
        <v>89</v>
      </c>
      <c r="G4" s="142" t="s">
        <v>90</v>
      </c>
      <c r="H4" s="142" t="s">
        <v>91</v>
      </c>
      <c r="I4" s="142" t="s">
        <v>92</v>
      </c>
      <c r="J4" s="142" t="s">
        <v>93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66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94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67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88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103</v>
      </c>
      <c r="B2" s="2"/>
    </row>
    <row r="3" spans="1:23">
      <c r="A3" s="76" t="s">
        <v>104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68</v>
      </c>
      <c r="E4" s="106" t="s">
        <v>69</v>
      </c>
      <c r="F4" s="106" t="s">
        <v>70</v>
      </c>
      <c r="G4" s="106" t="s">
        <v>71</v>
      </c>
      <c r="H4" s="106" t="s">
        <v>72</v>
      </c>
      <c r="I4" s="106" t="s">
        <v>73</v>
      </c>
      <c r="J4" s="106" t="s">
        <v>74</v>
      </c>
      <c r="K4" s="106" t="s">
        <v>75</v>
      </c>
      <c r="L4" s="106" t="s">
        <v>76</v>
      </c>
      <c r="M4" s="106" t="s">
        <v>77</v>
      </c>
      <c r="N4" s="106" t="s">
        <v>78</v>
      </c>
      <c r="O4" s="106" t="s">
        <v>79</v>
      </c>
      <c r="P4" s="106" t="s">
        <v>80</v>
      </c>
      <c r="Q4" s="106" t="s">
        <v>81</v>
      </c>
      <c r="R4" s="106" t="s">
        <v>82</v>
      </c>
      <c r="S4" s="106" t="s">
        <v>83</v>
      </c>
      <c r="T4" s="106" t="s">
        <v>84</v>
      </c>
      <c r="U4" s="106" t="s">
        <v>85</v>
      </c>
      <c r="V4" s="106" t="s">
        <v>86</v>
      </c>
      <c r="W4" s="106" t="s">
        <v>87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66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94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67</v>
      </c>
    </row>
    <row r="24" spans="1:23" ht="15.75">
      <c r="A24" s="127" t="s">
        <v>49</v>
      </c>
    </row>
    <row r="25" spans="1:23" ht="15.75">
      <c r="A25" s="127" t="s">
        <v>88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2026-03-20T18:09:26Z</dcterms:modified>
</cp:coreProperties>
</file>