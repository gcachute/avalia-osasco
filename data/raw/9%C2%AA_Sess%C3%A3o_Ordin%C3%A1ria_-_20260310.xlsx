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D9B02144-0286-4C41-AFEB-9966FFE562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2" l="1"/>
  <c r="C28" i="2"/>
  <c r="C29" i="2"/>
  <c r="C30" i="2"/>
  <c r="C28" i="10"/>
  <c r="C29" i="10"/>
  <c r="C30" i="10"/>
  <c r="C31" i="10"/>
  <c r="E27" i="2"/>
  <c r="E28" i="2"/>
  <c r="E29" i="2"/>
  <c r="E30" i="2"/>
  <c r="D28" i="10"/>
  <c r="D29" i="10"/>
  <c r="D30" i="10"/>
  <c r="D31" i="10"/>
  <c r="C27" i="3"/>
  <c r="C28" i="3"/>
  <c r="C29" i="3"/>
  <c r="C30" i="3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<sst xmlns="http://schemas.openxmlformats.org/spreadsheetml/2006/main" count="477" uniqueCount="125">
  <si>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</si>
  <si>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</si>
  <si>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</si>
  <si>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</si>
  <si>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</si>
  <si>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</si>
  <si>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</si>
  <si>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</si>
  <si>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</si>
  <si>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</si>
  <si>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</si>
  <si>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</si>
  <si>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</si>
  <si>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</si>
  <si>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</si>
  <si>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</si>
  <si>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</si>
  <si>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</si>
  <si>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</si>
  <si>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</si>
  <si>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</si>
  <si>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</si>
  <si>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</si>
  <si>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</si>
  <si>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</si>
  <si>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</si>
  <si>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</si>
  <si>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</si>
  <si>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</si>
  <si>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</si>
  <si>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</si>
  <si>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</si>
  <si>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</si>
  <si>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</si>
  <si>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</si>
  <si>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</si>
  <si>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</si>
  <si>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</si>
  <si>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</si>
  <si>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</si>
  <si>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</si>
  <si>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</si>
  <si>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</si>
  <si>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</si>
  <si>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</si>
  <si>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</si>
  <si>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</si>
  <si>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</si>
  <si>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</si>
  <si>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</si>
  <si>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</si>
  <si>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</si>
  <si>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</si>
  <si>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</si>
  <si>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</si>
  <si>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</si>
  <si>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</si>
  <si>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</si>
  <si>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</si>
  <si>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</si>
  <si>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</si>
  <si>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</si>
  <si>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</si>
  <si>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</si>
  <si>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</si>
  <si>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</si>
  <si>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</si>
  <si>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</si>
  <si>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</si>
  <si>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</si>
  <si>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</si>
  <si>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</si>
  <si>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</si>
  <si>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</si>
  <si>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</si>
  <si>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</si>
  <si>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</si>
  <si>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</si>
  <si>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</si>
  <si>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</si>
  <si>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</si>
  <si>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</si>
  <si>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</si>
  <si>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</si>
  <si>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</si>
  <si>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</si>
  <si>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</si>
  <si>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</si>
  <si>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</si>
  <si>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</si>
  <si>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</si>
  <si>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</si>
  <si>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</si>
  <si>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</si>
  <si>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</si>
  <si>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</si>
  <si>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t>APROVADO</t>
  </si>
  <si>
    <t>sim</t>
  </si>
  <si>
    <t>na presidência</t>
  </si>
  <si>
    <r>
      <t xml:space="preserve">MOÇÃO DE APLAUSO Nº 17/2026 – PAULO JÚNIOR – </t>
    </r>
    <r>
      <rPr>
        <sz val="11"/>
        <color theme="1"/>
        <rFont val="Arial"/>
        <family val="2"/>
      </rPr>
      <t>Pelos 15 anos da Igreja Batista Águas Cristalinas.</t>
    </r>
  </si>
  <si>
    <t>9ª SESSÃO ORDINÁRIA</t>
  </si>
  <si>
    <t>DIA 10 DE MARÇO DE 2026 - TERÇA-FEIRA</t>
  </si>
  <si>
    <t>Justificativa de ausência do Vereador Alexandre Capriotti.</t>
  </si>
  <si>
    <t>Ofício Prolegis nº 202603048757 – Prefeito do Município de Osasco – Informa a sanção de Lei nº 5.458, de 5 de março de 2026, que dispõe sobre a denominação do Parque Nordestino de Osasco, de autoria do vereador Carmônio Bastos.</t>
  </si>
  <si>
    <t>Decretos nº 15.024 ao 15.026, o decreto nº 15.034 e o nº 15.036, de março de 2026 - Prefeito do Município de Osasco – Dispõe sobre abertura de crédito adicional especial ao orçamento vigente e dá outras providências.</t>
  </si>
  <si>
    <t>Decretos nº 15.027 ao 15.033, o decreto nº 15.035 e o nº 15.037, de março de 2026 - Prefeito do Município de Osasco – Dispõe sobre abertura de crédito adicional suplementar ao orçamento vigente e dá outras providências.</t>
  </si>
  <si>
    <t>Projeto de Lei nº 22/2026 – Gabriel Saúde – Institui a Meia Maratona de Osasco – 21K no Calendário Oficial de Eventos do Município de Osasco, a ser realizada anualmente no último domingo do mês de fevereiro, e dá outras providências.</t>
  </si>
  <si>
    <t>Projeto de Lei nº 43/2026 – Emerson Osasco – Institui o Programa Municipal “Osasco Comunicação Acessível” no Município de Osasco e dá outras providências.</t>
  </si>
  <si>
    <t>Projeto de Decreto Legislativo nº 13/2026 – Guilherme Prado – Dispõe sobre a concessão de Título de Cidadão Osasquense ao Sr. Josué Silveira Ramos.</t>
  </si>
  <si>
    <t>Projeto de Decreto Legislativo nº 14/2026 – Stephane Rossi – Dispõe sobre a concessão de Diploma Líder Comunitário ao senhor Anderson Roberty Andrade da Silva.</t>
  </si>
  <si>
    <r>
      <t xml:space="preserve">MOÇÃO DE CONGRATULAÇÕES Nº 20/2026 – CARMÔNIO BASTOS – </t>
    </r>
    <r>
      <rPr>
        <sz val="11"/>
        <color theme="1"/>
        <rFont val="Arial"/>
        <family val="2"/>
      </rPr>
      <t xml:space="preserve">Ao Vôlei Osasco pela conquista do título da Copa Brasil Feminina de Vôlei 2026, em Londrina - PR. </t>
    </r>
  </si>
  <si>
    <r>
      <t>MOÇÃO DE CONGRATULAÇÕES Nº 21/2026 – DELBIO TERUEL –</t>
    </r>
    <r>
      <rPr>
        <sz val="11"/>
        <color theme="1"/>
        <rFont val="Arial"/>
        <family val="2"/>
      </rPr>
      <t xml:space="preserve"> Ao Sr. Alexandre Domênico Pereira, presidente da tradicional Escola de Samba Gaviões da Fiel, pela expressiva conquista do Vice-Campeonato do Carnaval de São Paulo 2026. </t>
    </r>
  </si>
  <si>
    <r>
      <t xml:space="preserve">MOÇÃO DE CONGRATULAÇÕES Nº 22/2026 – DELBIO TERUEL – </t>
    </r>
    <r>
      <rPr>
        <sz val="11"/>
        <color theme="1"/>
        <rFont val="Arial"/>
        <family val="2"/>
      </rPr>
      <t xml:space="preserve">Ao Colégio Padre Anchieta, pela celebração de seus 59 anos de história. </t>
    </r>
  </si>
  <si>
    <r>
      <t xml:space="preserve">MOÇÃO DE RECONHECIMENTO Nº 26/2026 – GABRIEL SAÚDE – </t>
    </r>
    <r>
      <rPr>
        <sz val="11"/>
        <color theme="1"/>
        <rFont val="Arial"/>
        <family val="2"/>
      </rPr>
      <t>Ao Sr. Richard Lopes dos Santos, em reconhecimento à sua exemplar trajetória pessoal e profissional, marcada por elevado espírito público, disciplina, dedicação e notáveis serviços prestados à sociedade.</t>
    </r>
  </si>
  <si>
    <t>esgotado o tempo regimental, será pautada na próxima sessão.</t>
  </si>
  <si>
    <r>
      <t xml:space="preserve">MOÇÃO DE APLAUSO Nº 27/2026 – STEPHANE ROSSI – </t>
    </r>
    <r>
      <rPr>
        <sz val="11"/>
        <color theme="1"/>
        <rFont val="Arial"/>
        <family val="2"/>
      </rPr>
      <t>Aos 56 Guardas Civis Municipais (GCMs) que completam 20 anos de instituição.</t>
    </r>
  </si>
  <si>
    <r>
      <t xml:space="preserve">MOÇÃO DE RECONHECIMENTO Nº 28/2026 – LAÉRCIO MENDONÇA – </t>
    </r>
    <r>
      <rPr>
        <sz val="11"/>
        <color theme="1"/>
        <rFont val="Arial"/>
        <family val="2"/>
      </rPr>
      <t>Ao Grupo Arsis, por sua trajetória artística e contribuição à cultura urbana e à dança, desde sua fundação em 1998, sob a liderança de sua fundadora, Cíntia, que transformou uma reunião de amigos em uma referência cultural e artística na cidade.</t>
    </r>
  </si>
  <si>
    <r>
      <t xml:space="preserve">MOÇÃO DE REPÚDIO Nº 29/2026 – ELÂNIA SILVA – </t>
    </r>
    <r>
      <rPr>
        <sz val="11"/>
        <color theme="1"/>
        <rFont val="Arial"/>
        <family val="2"/>
      </rPr>
      <t>Ao grave episódio ocorrido no dia 24 de fevereiro, no Hospital São Luiz de Osasco, quando pertences pessoais de trabalhadores e trabalhadoras da limpeza foram retirados de seus armários nos vestiários e colocados em sacos de lixo dentro de contêineres de resíduo hospitalar.</t>
    </r>
  </si>
  <si>
    <r>
      <t xml:space="preserve">MOÇÃO DE RECONHECIMENTO Nº 30/2026 – LAÉRCIO MENDONÇA – </t>
    </r>
    <r>
      <rPr>
        <sz val="11"/>
        <color theme="1"/>
        <rFont val="Arial"/>
        <family val="2"/>
      </rPr>
      <t>Ao Dia Internacional da Mulher, celebrado em 08 de março.</t>
    </r>
  </si>
  <si>
    <r>
      <t>MOÇÃO DE APLAUSO Nº 14/2026 – LÚCIA DA SAÚDE –</t>
    </r>
    <r>
      <rPr>
        <sz val="11"/>
        <color theme="1"/>
        <rFont val="Arial"/>
        <family val="2"/>
      </rPr>
      <t xml:space="preserve"> Ao Complexo Neurossensorial Casa do Autista de Balneário Camboriú, pela dedicação, empatia, compromisso e respeito às pessoas com autismo e suas famílias. </t>
    </r>
  </si>
  <si>
    <r>
      <t>PROJETO DE LEI N.º 115/2025 – LÚCIA DA SAÚDE -</t>
    </r>
    <r>
      <rPr>
        <sz val="14"/>
        <color theme="1"/>
        <rFont val="Arial"/>
        <family val="2"/>
      </rPr>
      <t xml:space="preserve"> Dispõe sobre o uso do cordão de fita de identificação para pessoas diagnosticadas com algum tipo de doença rara.</t>
    </r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</si>
  <si>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</si>
  <si>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r>
      <t xml:space="preserve">PROJETO DE LEI N.º 218/2025 – DÉLBIO TERUEL - </t>
    </r>
    <r>
      <rPr>
        <sz val="11"/>
        <color theme="1"/>
        <rFont val="Arial"/>
        <family val="2"/>
      </rPr>
      <t>Institui o “Dia Municipal do Vôlei Adaptado à Melhor Idade”, no âmbito do Município de Osasco, e dá outras providências.</t>
    </r>
  </si>
  <si>
    <r>
      <t>PROJETO DE DECRETO LEGISLATIVO Nº 103/2025 – STEPHANE ROSSI -</t>
    </r>
    <r>
      <rPr>
        <sz val="11"/>
        <color theme="1"/>
        <rFont val="Arial"/>
        <family val="2"/>
      </rPr>
      <t xml:space="preserve"> Dispõe sobre a concessão da Medalha Antônio Raposo Tavares e Diploma Cidade de Osasco ao senhor Jorge Kamalakian.</t>
    </r>
  </si>
  <si>
    <r>
      <t xml:space="preserve">PROJETO DE DECRETO LEGISLATIVO Nº 115/2025 – FÁBIO CHIRINHAN - </t>
    </r>
    <r>
      <rPr>
        <sz val="11"/>
        <color theme="1"/>
        <rFont val="Arial"/>
        <family val="2"/>
      </rPr>
      <t>Dispõe sobre a concessão de Título de Cidadão Osasquense ao Sr. Paulo Rangel Nogueira Paiva.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</si>
</sst>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6"/>
      <color rgb="FF00B050"/>
      <name val="Arial"/>
      <family val="2"/>
    </font>
    <font>
      <b/>
      <sz val="11"/>
      <color rgb="FFFF0000"/>
      <name val="Calibri"/>
      <family val="2"/>
      <scheme val="minor"/>
    </font>
    <font>
      <b/>
      <sz val="18"/>
      <color rgb="FF00B050"/>
      <name val="Arial"/>
      <family val="2"/>
    </font>
    <font>
      <b/>
      <sz val="11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1"/>
  <sheetViews>
    <sheetView tabSelected="1" zoomScale="70" zoomScaleNormal="70" workbookViewId="0">
      <selection activeCell="A57" sqref="A57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29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100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101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51</v>
      </c>
      <c r="B5" s="88">
        <v>2</v>
      </c>
      <c r="C5" s="102" t="s">
        <v>53</v>
      </c>
      <c r="D5" s="63"/>
      <c r="E5" s="62"/>
      <c r="F5" s="88">
        <v>2</v>
      </c>
      <c r="G5" s="102" t="s">
        <v>53</v>
      </c>
      <c r="H5" s="63"/>
      <c r="I5" s="62"/>
      <c r="J5" s="63">
        <v>2</v>
      </c>
      <c r="K5" s="102" t="s">
        <v>53</v>
      </c>
      <c r="L5" s="125"/>
      <c r="M5" s="126"/>
      <c r="N5" s="63"/>
      <c r="O5" s="62"/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66</v>
      </c>
      <c r="B6" s="88">
        <v>2</v>
      </c>
      <c r="C6" s="102" t="s">
        <v>53</v>
      </c>
      <c r="D6" s="63"/>
      <c r="E6" s="102"/>
      <c r="F6" s="88">
        <v>2</v>
      </c>
      <c r="G6" s="102" t="s">
        <v>53</v>
      </c>
      <c r="H6" s="63"/>
      <c r="I6" s="62"/>
      <c r="J6" s="63">
        <v>2</v>
      </c>
      <c r="K6" s="102" t="s">
        <v>53</v>
      </c>
      <c r="L6" s="67"/>
      <c r="M6" s="65"/>
      <c r="N6" s="63"/>
      <c r="O6" s="62"/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28</v>
      </c>
      <c r="B9" s="88">
        <v>2</v>
      </c>
      <c r="C9" s="102" t="s">
        <v>53</v>
      </c>
      <c r="D9" s="63"/>
      <c r="E9" s="102"/>
      <c r="F9" s="88">
        <v>2</v>
      </c>
      <c r="G9" s="102" t="s">
        <v>53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62"/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2</v>
      </c>
      <c r="C11" s="102" t="s">
        <v>53</v>
      </c>
      <c r="D11" s="63"/>
      <c r="E11" s="62"/>
      <c r="F11" s="88">
        <v>1</v>
      </c>
      <c r="G11" s="62" t="s">
        <v>52</v>
      </c>
      <c r="H11" s="63"/>
      <c r="I11" s="62"/>
      <c r="J11" s="63">
        <v>2</v>
      </c>
      <c r="K11" s="102" t="s">
        <v>53</v>
      </c>
      <c r="L11" s="67"/>
      <c r="M11" s="65"/>
      <c r="N11" s="63"/>
      <c r="O11" s="62"/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102"/>
      <c r="F13" s="88">
        <v>2</v>
      </c>
      <c r="G13" s="102" t="s">
        <v>53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57</v>
      </c>
      <c r="B14" s="88">
        <v>2</v>
      </c>
      <c r="C14" s="102" t="s">
        <v>53</v>
      </c>
      <c r="D14" s="63"/>
      <c r="E14" s="10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2</v>
      </c>
      <c r="K15" s="102" t="s">
        <v>53</v>
      </c>
      <c r="L15" s="67"/>
      <c r="M15" s="65"/>
      <c r="N15" s="63"/>
      <c r="O15" s="62"/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102"/>
      <c r="F17" s="88">
        <v>2</v>
      </c>
      <c r="G17" s="102" t="s">
        <v>53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94</v>
      </c>
      <c r="B19" s="88">
        <v>1</v>
      </c>
      <c r="C19" s="62" t="s">
        <v>52</v>
      </c>
      <c r="D19" s="63"/>
      <c r="E19" s="62"/>
      <c r="F19" s="88">
        <v>1</v>
      </c>
      <c r="G19" s="62" t="s">
        <v>52</v>
      </c>
      <c r="H19" s="63"/>
      <c r="I19" s="62"/>
      <c r="J19" s="63">
        <v>1</v>
      </c>
      <c r="K19" s="62" t="s">
        <v>52</v>
      </c>
      <c r="L19" s="67"/>
      <c r="M19" s="65"/>
      <c r="N19" s="63"/>
      <c r="O19" s="62"/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1</v>
      </c>
      <c r="G20" s="62" t="s">
        <v>52</v>
      </c>
      <c r="H20" s="63"/>
      <c r="I20" s="68"/>
      <c r="J20" s="63">
        <v>2</v>
      </c>
      <c r="K20" s="102" t="s">
        <v>53</v>
      </c>
      <c r="L20" s="67"/>
      <c r="M20" s="65"/>
      <c r="N20" s="63"/>
      <c r="O20" s="62"/>
      <c r="P20" s="63"/>
      <c r="Q20" s="63"/>
      <c r="R20" s="102"/>
      <c r="S20" s="91"/>
      <c r="T20" s="150"/>
      <c r="U20" s="150"/>
      <c r="V20" s="150"/>
      <c r="W20" s="150"/>
      <c r="X20" s="150"/>
      <c r="Y20" s="150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50"/>
      <c r="U21" s="150"/>
      <c r="V21" s="150"/>
      <c r="W21" s="150"/>
      <c r="X21" s="150"/>
      <c r="Y21" s="150"/>
    </row>
    <row r="22" spans="1:28" ht="18" customHeight="1">
      <c r="A22" s="46" t="s">
        <v>67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50"/>
      <c r="U22" s="150"/>
      <c r="V22" s="150"/>
      <c r="W22" s="150"/>
      <c r="X22" s="150"/>
      <c r="Y22" s="150"/>
    </row>
    <row r="23" spans="1:28" ht="18" customHeight="1">
      <c r="A23" s="46" t="s">
        <v>49</v>
      </c>
      <c r="B23" s="88">
        <v>1</v>
      </c>
      <c r="C23" s="62" t="s">
        <v>52</v>
      </c>
      <c r="D23" s="63"/>
      <c r="E23" s="62"/>
      <c r="F23" s="88">
        <v>1</v>
      </c>
      <c r="G23" s="62" t="s">
        <v>52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50"/>
      <c r="U23" s="150"/>
      <c r="V23" s="150"/>
      <c r="W23" s="150"/>
      <c r="X23" s="150"/>
      <c r="Y23" s="150"/>
    </row>
    <row r="24" spans="1:28" ht="20.25">
      <c r="A24" s="46" t="s">
        <v>88</v>
      </c>
      <c r="B24" s="88">
        <v>1</v>
      </c>
      <c r="C24" s="62" t="s">
        <v>52</v>
      </c>
      <c r="D24" s="63"/>
      <c r="E24" s="62"/>
      <c r="F24" s="88">
        <v>1</v>
      </c>
      <c r="G24" s="62" t="s">
        <v>52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50"/>
      <c r="U24" s="150"/>
      <c r="V24" s="150"/>
      <c r="W24" s="150"/>
      <c r="X24" s="150"/>
      <c r="Y24" s="150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2</v>
      </c>
      <c r="G25" s="102" t="s">
        <v>53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50"/>
      <c r="U25" s="150"/>
      <c r="V25" s="150"/>
      <c r="W25" s="150"/>
      <c r="X25" s="150"/>
      <c r="Y25" s="150"/>
    </row>
    <row r="26" spans="1:28" ht="16.5" thickBot="1">
      <c r="A26" s="38" t="s">
        <v>13</v>
      </c>
      <c r="B26" s="98">
        <v>8</v>
      </c>
      <c r="C26" s="96" t="s">
        <v>46</v>
      </c>
      <c r="D26" s="98"/>
      <c r="E26" s="96" t="s">
        <v>46</v>
      </c>
      <c r="F26" s="98">
        <v>12</v>
      </c>
      <c r="G26" s="96" t="s">
        <v>46</v>
      </c>
      <c r="H26" s="100"/>
      <c r="I26" s="101"/>
      <c r="J26" s="98">
        <v>14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13</v>
      </c>
      <c r="C27" s="96" t="s">
        <v>47</v>
      </c>
      <c r="D27" s="98"/>
      <c r="E27" s="96" t="s">
        <v>47</v>
      </c>
      <c r="F27" s="98">
        <v>9</v>
      </c>
      <c r="G27" s="96" t="s">
        <v>47</v>
      </c>
      <c r="H27" s="100"/>
      <c r="I27" s="96"/>
      <c r="J27" s="98">
        <v>7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65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22</v>
      </c>
      <c r="V32" s="12"/>
      <c r="W32" s="12"/>
    </row>
    <row r="33" spans="1:23" ht="18">
      <c r="A33" s="34" t="s">
        <v>56</v>
      </c>
      <c r="V33" s="12"/>
      <c r="W33" s="12"/>
    </row>
    <row r="34" spans="1:23" ht="18">
      <c r="A34" s="34" t="s">
        <v>57</v>
      </c>
      <c r="V34" s="12"/>
      <c r="W34" s="12"/>
    </row>
    <row r="35" spans="1:23" ht="18">
      <c r="A35" s="34" t="s">
        <v>60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63</v>
      </c>
      <c r="V43" s="12"/>
      <c r="W43" s="12"/>
    </row>
    <row r="44" spans="1:23" ht="18">
      <c r="A44" s="34" t="s">
        <v>24</v>
      </c>
      <c r="V44" s="12"/>
      <c r="W44" s="12"/>
    </row>
    <row r="45" spans="1:23" ht="18">
      <c r="A45" s="34" t="s">
        <v>23</v>
      </c>
      <c r="V45" s="12"/>
      <c r="W45" s="12"/>
    </row>
    <row r="46" spans="1:23" ht="18">
      <c r="A46" s="34" t="s">
        <v>28</v>
      </c>
      <c r="V46" s="12"/>
      <c r="W46" s="12"/>
    </row>
    <row r="47" spans="1:23" ht="18">
      <c r="A47" s="34" t="s">
        <v>66</v>
      </c>
      <c r="V47" s="12"/>
      <c r="W47" s="12"/>
    </row>
    <row r="48" spans="1:23" ht="18">
      <c r="A48" s="34" t="s">
        <v>58</v>
      </c>
      <c r="B48" s="7"/>
      <c r="V48" s="12"/>
      <c r="W48" s="32"/>
    </row>
    <row r="49" spans="1:23" ht="18">
      <c r="A49" s="34" t="s">
        <v>62</v>
      </c>
      <c r="W49" s="12"/>
    </row>
    <row r="50" spans="1:23" ht="18">
      <c r="A50" s="34" t="s">
        <v>25</v>
      </c>
      <c r="W50" s="12"/>
    </row>
    <row r="51" spans="1:23" ht="18">
      <c r="A51" s="34"/>
      <c r="W51" s="12"/>
    </row>
    <row r="52" spans="1:23" ht="18">
      <c r="A52" s="34"/>
      <c r="M52"/>
      <c r="W52" s="12"/>
    </row>
    <row r="53" spans="1:23" ht="15.75">
      <c r="A53" s="5" t="s">
        <v>35</v>
      </c>
      <c r="M53"/>
      <c r="W53" s="12"/>
    </row>
    <row r="54" spans="1:23" ht="18">
      <c r="A54" s="34" t="s">
        <v>22</v>
      </c>
    </row>
    <row r="55" spans="1:23" ht="18">
      <c r="A55" s="34" t="s">
        <v>58</v>
      </c>
    </row>
    <row r="56" spans="1:23" ht="18">
      <c r="A56" s="34" t="s">
        <v>26</v>
      </c>
    </row>
    <row r="57" spans="1:23" ht="18">
      <c r="A57" s="34" t="s">
        <v>67</v>
      </c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5.75">
      <c r="A72" s="7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</sheetData>
  <mergeCells count="2">
    <mergeCell ref="B1:M3"/>
    <mergeCell ref="T1:Y25"/>
  </mergeCells>
  <dataValidations count="2">
    <dataValidation type="custom" allowBlank="1" showInputMessage="1" showErrorMessage="1" sqref="A73:A81 A63:A71" xr:uid="{201F3B03-C924-4B48-A5BC-AE6429F789F2}">
      <formula1>"a5:a25"</formula1>
    </dataValidation>
    <dataValidation type="list" allowBlank="1" showInputMessage="1" showErrorMessage="1" sqref="A44:A52 A54:A61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W39"/>
  <sheetViews>
    <sheetView workbookViewId="0">
      <pane xSplit="1" topLeftCell="B1" activePane="topRight" state="frozen"/>
      <selection pane="topRight" activeCell="W9" sqref="W9"/>
    </sheetView>
  </sheetViews>
  <sheetFormatPr defaultColWidth="9.140625" defaultRowHeight="12.75"/>
  <cols>
    <col min="1" max="1" width="47.7109375" style="22" customWidth="1"/>
    <col min="2" max="10" width="23.7109375" style="22" customWidth="1"/>
    <col min="11" max="11" width="19" style="22" customWidth="1"/>
    <col min="12" max="12" width="26.28515625" style="22" customWidth="1"/>
    <col min="13" max="13" width="22.140625" style="22" customWidth="1"/>
    <col min="14" max="23" width="22.7109375" style="22" customWidth="1"/>
    <col min="24" max="16384" width="9.140625" style="22"/>
  </cols>
  <sheetData>
    <row r="1" spans="1:23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23" ht="15">
      <c r="A2" s="76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23" ht="17.25" customHeight="1">
      <c r="A3" s="76" t="s">
        <v>101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23" ht="63" customHeight="1">
      <c r="A4" s="51" t="str">
        <f>'[1]MOÇÃO E REQUERIMENTO'!B7</f>
        <v>EXPEDIENTE</v>
      </c>
      <c r="B4" s="50" t="s">
        <v>45</v>
      </c>
      <c r="C4" s="117" t="s">
        <v>102</v>
      </c>
      <c r="D4" s="117" t="s">
        <v>103</v>
      </c>
      <c r="E4" s="117" t="s">
        <v>104</v>
      </c>
      <c r="F4" s="117" t="s">
        <v>105</v>
      </c>
      <c r="G4" s="117" t="s">
        <v>106</v>
      </c>
      <c r="H4" s="117" t="s">
        <v>107</v>
      </c>
      <c r="I4" s="117" t="s">
        <v>108</v>
      </c>
      <c r="J4" s="117" t="s">
        <v>109</v>
      </c>
      <c r="K4" s="112" t="s">
        <v>34</v>
      </c>
      <c r="L4" s="124"/>
      <c r="M4" s="50" t="s">
        <v>27</v>
      </c>
      <c r="N4" s="84" t="s">
        <v>99</v>
      </c>
      <c r="O4" s="84" t="s">
        <v>110</v>
      </c>
      <c r="P4" s="84" t="s">
        <v>111</v>
      </c>
      <c r="Q4" s="84" t="s">
        <v>112</v>
      </c>
      <c r="R4" s="84" t="s">
        <v>113</v>
      </c>
      <c r="S4" s="84" t="s">
        <v>115</v>
      </c>
      <c r="T4" s="84" t="s">
        <v>116</v>
      </c>
      <c r="U4" s="84" t="s">
        <v>117</v>
      </c>
      <c r="V4" s="84" t="s">
        <v>118</v>
      </c>
      <c r="W4" s="84" t="s">
        <v>119</v>
      </c>
    </row>
    <row r="5" spans="1:23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113"/>
      <c r="N5" s="113" t="s">
        <v>95</v>
      </c>
      <c r="O5" s="113" t="s">
        <v>95</v>
      </c>
      <c r="P5" s="113" t="s">
        <v>95</v>
      </c>
      <c r="Q5" s="113" t="s">
        <v>95</v>
      </c>
      <c r="R5" s="118" t="s">
        <v>114</v>
      </c>
      <c r="S5" s="118" t="s">
        <v>114</v>
      </c>
      <c r="T5" s="118" t="s">
        <v>114</v>
      </c>
      <c r="U5" s="113" t="s">
        <v>95</v>
      </c>
      <c r="V5" s="118" t="s">
        <v>114</v>
      </c>
      <c r="W5" s="113" t="s">
        <v>95</v>
      </c>
    </row>
    <row r="6" spans="1:23" ht="15.75">
      <c r="A6" s="127" t="s">
        <v>51</v>
      </c>
      <c r="M6" s="23"/>
    </row>
    <row r="7" spans="1:23" ht="15.75">
      <c r="A7" s="127" t="s">
        <v>66</v>
      </c>
      <c r="M7" s="23"/>
    </row>
    <row r="8" spans="1:23" ht="15.75">
      <c r="A8" s="127" t="s">
        <v>54</v>
      </c>
      <c r="M8" s="23"/>
    </row>
    <row r="9" spans="1:23" ht="15.75">
      <c r="A9" s="128" t="s">
        <v>55</v>
      </c>
      <c r="M9" s="23"/>
    </row>
    <row r="10" spans="1:23" ht="15.75">
      <c r="A10" s="127" t="s">
        <v>28</v>
      </c>
      <c r="M10" s="23"/>
    </row>
    <row r="11" spans="1:23" ht="15.75">
      <c r="A11" s="127" t="s">
        <v>56</v>
      </c>
      <c r="M11" s="23"/>
    </row>
    <row r="12" spans="1:23" ht="15.75">
      <c r="A12" s="127" t="s">
        <v>22</v>
      </c>
      <c r="M12" s="23"/>
    </row>
    <row r="13" spans="1:23" ht="15.75">
      <c r="A13" s="127" t="s">
        <v>23</v>
      </c>
      <c r="M13" s="23"/>
    </row>
    <row r="14" spans="1:23" ht="15.75">
      <c r="A14" s="127" t="s">
        <v>24</v>
      </c>
      <c r="M14" s="23"/>
    </row>
    <row r="15" spans="1:23" ht="15.75">
      <c r="A15" s="127" t="s">
        <v>57</v>
      </c>
      <c r="M15" s="23"/>
    </row>
    <row r="16" spans="1:23" ht="15.75">
      <c r="A16" s="127" t="s">
        <v>58</v>
      </c>
      <c r="M16" s="23"/>
    </row>
    <row r="17" spans="1:13" ht="15.75">
      <c r="A17" s="127" t="s">
        <v>59</v>
      </c>
      <c r="M17" s="23"/>
    </row>
    <row r="18" spans="1:13" ht="15.75">
      <c r="A18" s="127" t="s">
        <v>25</v>
      </c>
      <c r="M18" s="23"/>
    </row>
    <row r="19" spans="1:13" ht="15.75">
      <c r="A19" s="127" t="s">
        <v>60</v>
      </c>
      <c r="M19" s="23"/>
    </row>
    <row r="20" spans="1:13" ht="15.75">
      <c r="A20" s="127" t="s">
        <v>94</v>
      </c>
      <c r="M20" s="23"/>
    </row>
    <row r="21" spans="1:13" ht="15.75">
      <c r="A21" s="127" t="s">
        <v>26</v>
      </c>
      <c r="M21" s="23"/>
    </row>
    <row r="22" spans="1:13" ht="15.75">
      <c r="A22" s="127" t="s">
        <v>61</v>
      </c>
      <c r="M22" s="23"/>
    </row>
    <row r="23" spans="1:13" ht="15.75">
      <c r="A23" s="127" t="s">
        <v>67</v>
      </c>
      <c r="M23" s="23"/>
    </row>
    <row r="24" spans="1:13" ht="15.75">
      <c r="A24" s="127" t="s">
        <v>49</v>
      </c>
      <c r="M24" s="23"/>
    </row>
    <row r="25" spans="1:13" ht="15.75">
      <c r="A25" s="127" t="s">
        <v>88</v>
      </c>
      <c r="M25" s="23"/>
    </row>
    <row r="26" spans="1:13" ht="15.75">
      <c r="A26" s="127" t="s">
        <v>62</v>
      </c>
      <c r="M26" s="23"/>
    </row>
    <row r="27" spans="1:13" s="25" customFormat="1">
      <c r="A27" s="24" t="s">
        <v>18</v>
      </c>
    </row>
    <row r="28" spans="1:13" s="27" customFormat="1">
      <c r="A28" s="26" t="s">
        <v>19</v>
      </c>
    </row>
    <row r="29" spans="1:13">
      <c r="A29" s="28" t="s">
        <v>11</v>
      </c>
    </row>
    <row r="30" spans="1:13" s="30" customFormat="1">
      <c r="A30" s="29" t="s">
        <v>20</v>
      </c>
    </row>
    <row r="32" spans="1:13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G17" sqref="G17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100</v>
      </c>
      <c r="B2" s="49"/>
      <c r="C2" s="74"/>
    </row>
    <row r="3" spans="1:45" ht="17.25" customHeight="1">
      <c r="A3" s="76" t="s">
        <v>101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120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44"/>
      <c r="D5" s="79"/>
      <c r="E5" s="151" t="s">
        <v>96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14" t="s">
        <v>53</v>
      </c>
      <c r="F6" s="143"/>
    </row>
    <row r="7" spans="1:45" ht="20.25">
      <c r="A7" s="46" t="s">
        <v>66</v>
      </c>
      <c r="C7" s="107"/>
      <c r="E7" s="114" t="s">
        <v>53</v>
      </c>
    </row>
    <row r="8" spans="1:45" ht="20.25">
      <c r="A8" s="46" t="s">
        <v>54</v>
      </c>
      <c r="C8" s="107"/>
      <c r="E8" s="107" t="s">
        <v>97</v>
      </c>
    </row>
    <row r="9" spans="1:45" ht="20.25">
      <c r="A9" s="82" t="s">
        <v>55</v>
      </c>
      <c r="C9" s="114"/>
      <c r="E9" s="114" t="s">
        <v>98</v>
      </c>
    </row>
    <row r="10" spans="1:45" ht="20.25">
      <c r="A10" s="46" t="s">
        <v>28</v>
      </c>
      <c r="C10" s="114"/>
      <c r="E10" s="107" t="s">
        <v>97</v>
      </c>
    </row>
    <row r="11" spans="1:45" ht="20.25">
      <c r="A11" s="46" t="s">
        <v>56</v>
      </c>
      <c r="C11" s="114"/>
      <c r="E11" s="107" t="s">
        <v>97</v>
      </c>
    </row>
    <row r="12" spans="1:45" ht="20.25">
      <c r="A12" s="46" t="s">
        <v>22</v>
      </c>
      <c r="C12" s="107"/>
      <c r="E12" s="107" t="s">
        <v>97</v>
      </c>
    </row>
    <row r="13" spans="1:45" ht="20.25">
      <c r="A13" s="46" t="s">
        <v>23</v>
      </c>
      <c r="C13" s="114"/>
      <c r="E13" s="114" t="s">
        <v>53</v>
      </c>
    </row>
    <row r="14" spans="1:45" ht="20.25">
      <c r="A14" s="46" t="s">
        <v>24</v>
      </c>
      <c r="C14" s="107"/>
      <c r="E14" s="107" t="s">
        <v>97</v>
      </c>
    </row>
    <row r="15" spans="1:45" ht="20.25">
      <c r="A15" s="46" t="s">
        <v>57</v>
      </c>
      <c r="C15" s="114"/>
      <c r="E15" s="107" t="s">
        <v>97</v>
      </c>
    </row>
    <row r="16" spans="1:45" ht="20.25">
      <c r="A16" s="46" t="s">
        <v>58</v>
      </c>
      <c r="C16" s="107"/>
      <c r="E16" s="107" t="s">
        <v>97</v>
      </c>
    </row>
    <row r="17" spans="1:130" ht="20.25">
      <c r="A17" s="46" t="s">
        <v>59</v>
      </c>
      <c r="C17" s="145"/>
      <c r="E17" s="107" t="s">
        <v>97</v>
      </c>
    </row>
    <row r="18" spans="1:130" ht="20.25">
      <c r="A18" s="46" t="s">
        <v>25</v>
      </c>
      <c r="C18" s="107"/>
      <c r="E18" s="107" t="s">
        <v>97</v>
      </c>
    </row>
    <row r="19" spans="1:130" ht="20.25">
      <c r="A19" s="46" t="s">
        <v>60</v>
      </c>
      <c r="C19" s="107"/>
      <c r="E19" s="107" t="s">
        <v>97</v>
      </c>
    </row>
    <row r="20" spans="1:130" ht="20.25">
      <c r="A20" s="46" t="s">
        <v>94</v>
      </c>
      <c r="C20" s="107"/>
      <c r="E20" s="107" t="s">
        <v>97</v>
      </c>
    </row>
    <row r="21" spans="1:130" ht="20.25">
      <c r="A21" s="46" t="s">
        <v>26</v>
      </c>
      <c r="C21" s="107"/>
      <c r="E21" s="107" t="s">
        <v>97</v>
      </c>
    </row>
    <row r="22" spans="1:130" ht="20.25">
      <c r="A22" s="46" t="s">
        <v>61</v>
      </c>
      <c r="C22" s="107"/>
      <c r="E22" s="107" t="s">
        <v>97</v>
      </c>
    </row>
    <row r="23" spans="1:130" ht="20.25">
      <c r="A23" s="46" t="s">
        <v>67</v>
      </c>
      <c r="C23" s="114"/>
      <c r="E23" s="107" t="s">
        <v>97</v>
      </c>
    </row>
    <row r="24" spans="1:130" ht="20.25">
      <c r="A24" s="46" t="s">
        <v>49</v>
      </c>
      <c r="C24" s="107"/>
      <c r="E24" s="107" t="s">
        <v>97</v>
      </c>
    </row>
    <row r="25" spans="1:130" ht="20.25">
      <c r="A25" s="46" t="s">
        <v>88</v>
      </c>
      <c r="C25" s="107"/>
      <c r="E25" s="107" t="s">
        <v>97</v>
      </c>
    </row>
    <row r="26" spans="1:130" ht="20.25">
      <c r="A26" s="46" t="s">
        <v>62</v>
      </c>
      <c r="C26" s="107"/>
      <c r="E26" s="107" t="s">
        <v>97</v>
      </c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17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0</v>
      </c>
      <c r="E29" s="40">
        <f t="shared" ref="E29" si="5">COUNTIF(E6:E26,"ausente")</f>
        <v>3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F5" sqref="F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 t="s">
        <v>122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44" t="s">
        <v>121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51</v>
      </c>
      <c r="C6" s="107"/>
      <c r="U6" s="7"/>
      <c r="V6" s="7"/>
    </row>
    <row r="7" spans="1:29" ht="18">
      <c r="A7" s="129" t="s">
        <v>66</v>
      </c>
      <c r="C7" s="107"/>
      <c r="U7" s="7"/>
      <c r="V7" s="7"/>
    </row>
    <row r="8" spans="1:29" ht="18">
      <c r="A8" s="129" t="s">
        <v>54</v>
      </c>
      <c r="C8" s="107"/>
      <c r="U8" s="7"/>
      <c r="V8" s="7"/>
    </row>
    <row r="9" spans="1:29" ht="18">
      <c r="A9" s="130" t="s">
        <v>55</v>
      </c>
      <c r="C9" s="114"/>
      <c r="U9" s="7"/>
      <c r="V9" s="7"/>
    </row>
    <row r="10" spans="1:29" ht="18">
      <c r="A10" s="129" t="s">
        <v>28</v>
      </c>
      <c r="C10" s="114"/>
      <c r="U10" s="7"/>
      <c r="V10" s="7"/>
    </row>
    <row r="11" spans="1:29" ht="18">
      <c r="A11" s="129" t="s">
        <v>56</v>
      </c>
      <c r="C11" s="114"/>
      <c r="U11" s="7"/>
      <c r="V11" s="7"/>
    </row>
    <row r="12" spans="1:29" ht="18">
      <c r="A12" s="129" t="s">
        <v>22</v>
      </c>
      <c r="C12" s="107"/>
      <c r="U12" s="7"/>
      <c r="V12" s="7"/>
    </row>
    <row r="13" spans="1:29" ht="18">
      <c r="A13" s="129" t="s">
        <v>23</v>
      </c>
      <c r="C13" s="114"/>
      <c r="U13" s="7"/>
      <c r="V13" s="7"/>
    </row>
    <row r="14" spans="1:29" ht="18">
      <c r="A14" s="129" t="s">
        <v>24</v>
      </c>
      <c r="C14" s="107"/>
      <c r="U14" s="7"/>
      <c r="V14" s="7"/>
    </row>
    <row r="15" spans="1:29" ht="18">
      <c r="A15" s="129" t="s">
        <v>57</v>
      </c>
      <c r="C15" s="114"/>
      <c r="U15" s="7"/>
      <c r="V15" s="7"/>
    </row>
    <row r="16" spans="1:29" ht="18">
      <c r="A16" s="129" t="s">
        <v>58</v>
      </c>
      <c r="C16" s="107"/>
      <c r="U16" s="7"/>
      <c r="V16" s="7"/>
    </row>
    <row r="17" spans="1:123" ht="15" customHeight="1">
      <c r="A17" s="129" t="s">
        <v>59</v>
      </c>
      <c r="C17" s="107"/>
      <c r="T17" s="8"/>
      <c r="U17" s="7"/>
      <c r="V17" s="7"/>
    </row>
    <row r="18" spans="1:123" ht="18">
      <c r="A18" s="129" t="s">
        <v>25</v>
      </c>
      <c r="C18" s="107"/>
      <c r="U18" s="7"/>
      <c r="V18" s="7"/>
    </row>
    <row r="19" spans="1:123" ht="18">
      <c r="A19" s="129" t="s">
        <v>60</v>
      </c>
      <c r="C19" s="107"/>
      <c r="U19" s="7"/>
      <c r="V19" s="7"/>
    </row>
    <row r="20" spans="1:123" ht="18">
      <c r="A20" s="129" t="s">
        <v>94</v>
      </c>
      <c r="C20" s="107"/>
      <c r="U20" s="7"/>
      <c r="V20" s="7"/>
    </row>
    <row r="21" spans="1:123" ht="18">
      <c r="A21" s="129" t="s">
        <v>26</v>
      </c>
      <c r="C21" s="107"/>
      <c r="U21" s="7"/>
      <c r="V21" s="7"/>
    </row>
    <row r="22" spans="1:123" ht="18">
      <c r="A22" s="129" t="s">
        <v>61</v>
      </c>
      <c r="C22" s="107"/>
      <c r="U22" s="7"/>
      <c r="V22" s="7"/>
    </row>
    <row r="23" spans="1:123" ht="18">
      <c r="A23" s="129" t="s">
        <v>67</v>
      </c>
      <c r="C23" s="114"/>
      <c r="U23" s="7"/>
      <c r="V23" s="7"/>
    </row>
    <row r="24" spans="1:123" ht="18">
      <c r="A24" s="129" t="s">
        <v>49</v>
      </c>
      <c r="C24" s="107"/>
      <c r="U24" s="7"/>
      <c r="V24" s="7"/>
    </row>
    <row r="25" spans="1:123" ht="18">
      <c r="A25" s="129" t="s">
        <v>88</v>
      </c>
      <c r="C25" s="107"/>
      <c r="U25" s="7"/>
      <c r="V25" s="7"/>
    </row>
    <row r="26" spans="1:123" ht="18">
      <c r="A26" s="129" t="s">
        <v>62</v>
      </c>
      <c r="C26" s="107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3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4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5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workbookViewId="0">
      <pane xSplit="1" topLeftCell="B1" activePane="topRight" state="frozen"/>
      <selection pane="topRight" activeCell="I10" sqref="I10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100</v>
      </c>
      <c r="B2" s="2"/>
    </row>
    <row r="3" spans="1:4" ht="15.75" thickBot="1">
      <c r="A3" s="121" t="s">
        <v>101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123</v>
      </c>
      <c r="D4" s="139" t="s">
        <v>124</v>
      </c>
    </row>
    <row r="5" spans="1:4" s="6" customFormat="1" ht="60.75" customHeight="1">
      <c r="A5" s="122"/>
      <c r="B5" s="111"/>
      <c r="C5" s="144" t="s">
        <v>96</v>
      </c>
      <c r="D5" s="144" t="s">
        <v>96</v>
      </c>
    </row>
    <row r="6" spans="1:4" ht="15.75">
      <c r="A6" s="127" t="s">
        <v>51</v>
      </c>
      <c r="C6" s="114" t="s">
        <v>53</v>
      </c>
      <c r="D6" s="114" t="s">
        <v>53</v>
      </c>
    </row>
    <row r="7" spans="1:4" ht="15.75">
      <c r="A7" s="127" t="s">
        <v>66</v>
      </c>
      <c r="C7" s="114" t="s">
        <v>53</v>
      </c>
      <c r="D7" s="114" t="s">
        <v>53</v>
      </c>
    </row>
    <row r="8" spans="1:4" ht="15.75">
      <c r="A8" s="127" t="s">
        <v>54</v>
      </c>
      <c r="C8" s="107" t="s">
        <v>97</v>
      </c>
      <c r="D8" s="107" t="s">
        <v>97</v>
      </c>
    </row>
    <row r="9" spans="1:4" ht="15.75">
      <c r="A9" s="128" t="s">
        <v>55</v>
      </c>
      <c r="C9" s="107" t="s">
        <v>97</v>
      </c>
      <c r="D9" s="107" t="s">
        <v>97</v>
      </c>
    </row>
    <row r="10" spans="1:4" ht="15.75">
      <c r="A10" s="127" t="s">
        <v>28</v>
      </c>
      <c r="C10" s="107" t="s">
        <v>97</v>
      </c>
      <c r="D10" s="107" t="s">
        <v>97</v>
      </c>
    </row>
    <row r="11" spans="1:4" ht="15.75">
      <c r="A11" s="127" t="s">
        <v>56</v>
      </c>
      <c r="C11" s="107" t="s">
        <v>97</v>
      </c>
      <c r="D11" s="107" t="s">
        <v>97</v>
      </c>
    </row>
    <row r="12" spans="1:4" ht="15.75">
      <c r="A12" s="127" t="s">
        <v>22</v>
      </c>
      <c r="C12" s="107" t="s">
        <v>97</v>
      </c>
      <c r="D12" s="107" t="s">
        <v>97</v>
      </c>
    </row>
    <row r="13" spans="1:4" ht="15.75">
      <c r="A13" s="127" t="s">
        <v>23</v>
      </c>
      <c r="B13" s="138"/>
      <c r="C13" s="114" t="s">
        <v>53</v>
      </c>
      <c r="D13" s="114" t="s">
        <v>53</v>
      </c>
    </row>
    <row r="14" spans="1:4" ht="15.75">
      <c r="A14" s="127" t="s">
        <v>24</v>
      </c>
      <c r="C14" s="107" t="s">
        <v>97</v>
      </c>
      <c r="D14" s="107" t="s">
        <v>97</v>
      </c>
    </row>
    <row r="15" spans="1:4" ht="15.75">
      <c r="A15" s="127" t="s">
        <v>57</v>
      </c>
      <c r="C15" s="107" t="s">
        <v>97</v>
      </c>
      <c r="D15" s="107" t="s">
        <v>97</v>
      </c>
    </row>
    <row r="16" spans="1:4" ht="15.75">
      <c r="A16" s="127" t="s">
        <v>58</v>
      </c>
      <c r="C16" s="107" t="s">
        <v>97</v>
      </c>
      <c r="D16" s="107" t="s">
        <v>97</v>
      </c>
    </row>
    <row r="17" spans="1:4" ht="15.75">
      <c r="A17" s="127" t="s">
        <v>59</v>
      </c>
      <c r="C17" s="107" t="s">
        <v>97</v>
      </c>
      <c r="D17" s="107" t="s">
        <v>97</v>
      </c>
    </row>
    <row r="18" spans="1:4" ht="15.75">
      <c r="A18" s="127" t="s">
        <v>25</v>
      </c>
      <c r="C18" s="107" t="s">
        <v>97</v>
      </c>
      <c r="D18" s="107" t="s">
        <v>97</v>
      </c>
    </row>
    <row r="19" spans="1:4" ht="15.75">
      <c r="A19" s="127" t="s">
        <v>60</v>
      </c>
      <c r="C19" s="107" t="s">
        <v>97</v>
      </c>
      <c r="D19" s="107" t="s">
        <v>97</v>
      </c>
    </row>
    <row r="20" spans="1:4" ht="15.75">
      <c r="A20" s="127" t="s">
        <v>94</v>
      </c>
      <c r="C20" s="107" t="s">
        <v>97</v>
      </c>
      <c r="D20" s="107" t="s">
        <v>97</v>
      </c>
    </row>
    <row r="21" spans="1:4" ht="15.75">
      <c r="A21" s="127" t="s">
        <v>26</v>
      </c>
      <c r="C21" s="107" t="s">
        <v>97</v>
      </c>
      <c r="D21" s="107" t="s">
        <v>97</v>
      </c>
    </row>
    <row r="22" spans="1:4" ht="15.75">
      <c r="A22" s="127" t="s">
        <v>61</v>
      </c>
      <c r="C22" s="107" t="s">
        <v>97</v>
      </c>
      <c r="D22" s="107" t="s">
        <v>97</v>
      </c>
    </row>
    <row r="23" spans="1:4" ht="15.75">
      <c r="A23" s="127" t="s">
        <v>67</v>
      </c>
      <c r="C23" s="107" t="s">
        <v>97</v>
      </c>
      <c r="D23" s="107" t="s">
        <v>97</v>
      </c>
    </row>
    <row r="24" spans="1:4" ht="15.75">
      <c r="A24" s="127" t="s">
        <v>49</v>
      </c>
      <c r="C24" s="107" t="s">
        <v>97</v>
      </c>
      <c r="D24" s="107" t="s">
        <v>97</v>
      </c>
    </row>
    <row r="25" spans="1:4" ht="15.75">
      <c r="A25" s="127" t="s">
        <v>88</v>
      </c>
      <c r="C25" s="107" t="s">
        <v>97</v>
      </c>
      <c r="D25" s="107" t="s">
        <v>97</v>
      </c>
    </row>
    <row r="26" spans="1:4" ht="15.75">
      <c r="A26" s="127" t="s">
        <v>62</v>
      </c>
      <c r="C26" s="107" t="s">
        <v>97</v>
      </c>
      <c r="D26" s="107" t="s">
        <v>97</v>
      </c>
    </row>
    <row r="27" spans="1:4">
      <c r="C27" s="107"/>
      <c r="D27" s="107"/>
    </row>
    <row r="28" spans="1:4" ht="15.75">
      <c r="A28" s="15" t="s">
        <v>18</v>
      </c>
      <c r="B28" s="16">
        <f>COUNTIF(B6:B26,"sim")</f>
        <v>0</v>
      </c>
      <c r="C28" s="103">
        <f t="shared" ref="C28:D28" si="0">COUNTIF(C6:C26,"sim")</f>
        <v>18</v>
      </c>
      <c r="D28" s="103">
        <f t="shared" si="0"/>
        <v>18</v>
      </c>
    </row>
    <row r="29" spans="1:4" ht="15.75">
      <c r="A29" s="17" t="s">
        <v>19</v>
      </c>
      <c r="B29" s="18">
        <f>COUNTIF(B6:B26,"não")</f>
        <v>0</v>
      </c>
      <c r="C29" s="104">
        <f t="shared" ref="C29:D29" si="1">COUNTIF(C6:C26,"não")</f>
        <v>0</v>
      </c>
      <c r="D29" s="104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3</v>
      </c>
      <c r="D30" s="40">
        <f t="shared" si="2"/>
        <v>3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:D31" si="3">COUNTIF(C6:C26,"abstenção")</f>
        <v>0</v>
      </c>
      <c r="D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100</v>
      </c>
      <c r="B2" s="2"/>
      <c r="C2" s="54"/>
      <c r="D2" s="54"/>
      <c r="E2" s="54"/>
    </row>
    <row r="3" spans="1:10" ht="15.75" thickBot="1">
      <c r="A3" s="121" t="s">
        <v>101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2" t="s">
        <v>89</v>
      </c>
      <c r="G4" s="142" t="s">
        <v>90</v>
      </c>
      <c r="H4" s="142" t="s">
        <v>91</v>
      </c>
      <c r="I4" s="142" t="s">
        <v>92</v>
      </c>
      <c r="J4" s="142" t="s">
        <v>93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66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94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67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88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100</v>
      </c>
      <c r="B2" s="2"/>
    </row>
    <row r="3" spans="1:23">
      <c r="A3" s="76" t="s">
        <v>101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68</v>
      </c>
      <c r="E4" s="106" t="s">
        <v>69</v>
      </c>
      <c r="F4" s="106" t="s">
        <v>70</v>
      </c>
      <c r="G4" s="106" t="s">
        <v>71</v>
      </c>
      <c r="H4" s="106" t="s">
        <v>72</v>
      </c>
      <c r="I4" s="106" t="s">
        <v>73</v>
      </c>
      <c r="J4" s="106" t="s">
        <v>74</v>
      </c>
      <c r="K4" s="106" t="s">
        <v>75</v>
      </c>
      <c r="L4" s="106" t="s">
        <v>76</v>
      </c>
      <c r="M4" s="106" t="s">
        <v>77</v>
      </c>
      <c r="N4" s="106" t="s">
        <v>78</v>
      </c>
      <c r="O4" s="106" t="s">
        <v>79</v>
      </c>
      <c r="P4" s="106" t="s">
        <v>80</v>
      </c>
      <c r="Q4" s="106" t="s">
        <v>81</v>
      </c>
      <c r="R4" s="106" t="s">
        <v>82</v>
      </c>
      <c r="S4" s="106" t="s">
        <v>83</v>
      </c>
      <c r="T4" s="106" t="s">
        <v>84</v>
      </c>
      <c r="U4" s="106" t="s">
        <v>85</v>
      </c>
      <c r="V4" s="106" t="s">
        <v>86</v>
      </c>
      <c r="W4" s="106" t="s">
        <v>87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66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94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67</v>
      </c>
    </row>
    <row r="24" spans="1:23" ht="15.75">
      <c r="A24" s="127" t="s">
        <v>49</v>
      </c>
    </row>
    <row r="25" spans="1:23" ht="15.75">
      <c r="A25" s="127" t="s">
        <v>88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2026-03-13T14:51:52Z</dcterms:modified>
</cp:coreProperties>
</file>