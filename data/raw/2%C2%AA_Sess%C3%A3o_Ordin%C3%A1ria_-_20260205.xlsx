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9F8DE230-4B58-4A59-AE77-2DDAD59E6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C27" i="3"/>
  <c r="C28" i="3"/>
  <c r="C29" i="3"/>
  <c r="C30" i="3"/>
  <c r="E28" i="10" l="1"/>
  <c r="E29" i="10"/>
  <c r="E30" i="10"/>
  <c r="E31" i="10"/>
  <c r="E27" i="2"/>
  <c r="E28" i="2"/>
  <c r="E29" i="2"/>
  <c r="E30" i="2"/>
  <c r="F28" i="10"/>
  <c r="F29" i="10"/>
  <c r="F30" i="10"/>
  <c r="F31" i="10"/>
  <c r="D27" i="3"/>
  <c r="D28" i="3"/>
  <c r="D29" i="3"/>
  <c r="D30" i="3"/>
  <c r="A4" i="14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<sst xmlns="http://schemas.openxmlformats.org/spreadsheetml/2006/main" count="485" uniqueCount="117">
  <si>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</si>
  <si>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</si>
  <si>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</si>
  <si>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</si>
  <si>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</si>
  <si>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</si>
  <si>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</si>
  <si>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</si>
  <si>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</si>
  <si>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</si>
  <si>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</si>
  <si>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</si>
  <si>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</si>
  <si>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</si>
  <si>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</si>
  <si>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</si>
  <si>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</si>
  <si>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</si>
  <si>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</si>
  <si>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</si>
  <si>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</si>
  <si>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</si>
  <si>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</si>
  <si>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</si>
  <si>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</si>
  <si>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</si>
  <si>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</si>
  <si>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</si>
  <si>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</si>
  <si>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</si>
  <si>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</si>
  <si>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</si>
  <si>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</si>
  <si>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</si>
  <si>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</si>
  <si>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</si>
  <si>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</si>
  <si>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</si>
  <si>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</si>
  <si>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</si>
  <si>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</si>
  <si>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</si>
  <si>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</si>
  <si>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</si>
  <si>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</si>
  <si>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</si>
  <si>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</si>
  <si>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</si>
  <si>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</si>
  <si>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</si>
  <si>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</si>
  <si>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</si>
  <si>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</si>
  <si>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</si>
  <si>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</si>
  <si>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</si>
  <si>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</si>
  <si>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</si>
  <si>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</si>
  <si>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</si>
  <si>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</si>
  <si>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</si>
  <si>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</si>
  <si>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</si>
  <si>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</si>
  <si>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sim</t>
  </si>
  <si>
    <t xml:space="preserve"> </t>
  </si>
  <si>
    <t>Batista Comunidade</t>
  </si>
  <si>
    <t>Ralfi Silva</t>
  </si>
  <si>
    <t>APROVADO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</si>
  <si>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</si>
  <si>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</si>
  <si>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</si>
  <si>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</si>
  <si>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</si>
  <si>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</si>
  <si>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</si>
  <si>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</si>
  <si>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</si>
  <si>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</si>
  <si>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</si>
  <si>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</si>
  <si>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</si>
  <si>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</si>
  <si>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</si>
  <si>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</si>
  <si>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</si>
  <si>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</si>
  <si>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</si>
  <si>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</si>
  <si>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</si>
  <si>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</si>
  <si>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</si>
  <si>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</si>
  <si>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</si>
  <si>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na presidência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</si>
  <si>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</si>
  <si>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pela ausência do autor, será pautada na próxima sessão.</t>
  </si>
  <si>
    <r>
      <t xml:space="preserve">MOÇÃO DE RECONHECIMENTO Nº 621/2025 – ALEXANDRE CAPRIOTTI - </t>
    </r>
    <r>
      <rPr>
        <sz val="11"/>
        <color theme="1"/>
        <rFont val="Arial"/>
        <family val="2"/>
      </rPr>
      <t>À Defesa Civil, à Secretaria de Serviços e Obras e à Secretaria de Meio Ambiente e Recursos Hídricos, pelo comprometimento dessas equipes com a proteção da comunidade em momentos de adversidade.</t>
    </r>
  </si>
  <si>
    <t>Lúcia da Saúde</t>
  </si>
  <si>
    <r>
      <t>MOÇÃO DE APLAUSO Nº 625/2025 – SÉRGIO FONTELLAS -</t>
    </r>
    <r>
      <rPr>
        <sz val="11"/>
        <color theme="1"/>
        <rFont val="Arial"/>
        <family val="2"/>
      </rPr>
      <t xml:space="preserve"> Moção de Aplausos, à Liga de Karatê de Osasco – LKO, pelos relevantes serviços prestados ao esporte e à modalidade Karatê no município.</t>
    </r>
  </si>
  <si>
    <r>
      <t xml:space="preserve">MOÇÃO DE APLAUSO Nº 2/2026 – STEPHANE ROSSI – </t>
    </r>
    <r>
      <rPr>
        <sz val="11"/>
        <color theme="1"/>
        <rFont val="Arial"/>
        <family val="2"/>
      </rPr>
      <t>À GCM, na pessoa dos agentes Sr. Alef Raí Vieira Fernandes e Sr. Elton Andrade Nascimento pelo brilhante, corajoso e exemplar trabalho realizado na ocorrência de violência doméstica registrada no dia 27 de dezembro de 2025, no bairro Bonança.</t>
    </r>
  </si>
  <si>
    <t>2ª SESSÃO ORDINÁRIA</t>
  </si>
  <si>
    <t>DIA 5 DE FEVEREIRO DE 2026 - QUINTA-FEIRA</t>
  </si>
  <si>
    <t>Ofício Prolegis nº 202603022090 – Prefeitura do Município de Osasco – Informa a sanção de Lei nº 5.445, de 19 de dezembro de 2025, que institui a Campanha Outubro Rosa, de autoria do vereador Sérgio Fontellas.</t>
  </si>
  <si>
    <t>Ofício Prolegis nº 202603022105 – Prefeitura do Município de Osasco – Informa a sanção de Lei nº 5.446, de 19 de dezembro de 2025, que institui o dia municipal da acessibilidade digital, de autoria da vereadora Stephane Rossi.</t>
  </si>
  <si>
    <t>Projeto de Decreto Legislativo nº 8/2026 – Heber do Juntoz – Dispõe sobre a concessão de Título de cidadão osasquense ao deputado estadual Maurici.</t>
  </si>
  <si>
    <t>Projeto de Lei nº 8/2026 – Pedrinho Cantagessi – Autoriza a Guarda Civil Municipal de Osasco a utilizar Armas Eletroeletrônicas de Incapacitação Neuromuscular (AINM – “taser”), conformidade com a legislação e normas federais aplicáveis, e dá outras providências.</t>
  </si>
  <si>
    <r>
      <t xml:space="preserve">MOÇÃO DE APLAUSO Nº 4/2026 – DELBIO TERUEL – </t>
    </r>
    <r>
      <rPr>
        <sz val="11"/>
        <color theme="1"/>
        <rFont val="Arial"/>
        <family val="2"/>
      </rPr>
      <t>À Lara Madeira pela conquista de títulos inéditos para Osasco, de Melhor Cantora Mirim, Destaque Miss Internacional, Fashion Model Brasil e Fashion Star Brasil, no evento Fashion Star Brasil 2026, realizado na cidade de São Paulo.</t>
    </r>
  </si>
  <si>
    <t>APROVADA</t>
  </si>
  <si>
    <r>
      <t xml:space="preserve">PROJETO DE LEI Nº 106/2025 – LÚCIA DA SAÚDE – </t>
    </r>
    <r>
      <rPr>
        <sz val="11"/>
        <color theme="1"/>
        <rFont val="Arial"/>
        <family val="2"/>
      </rPr>
      <t>Institui o Dia das Unidades Básicas de Saúde - UBS de Osasco.</t>
    </r>
  </si>
  <si>
    <r>
      <t xml:space="preserve">PROJETO DE LEI 210/2025 – ALEXANDRE CAPRIOTTI - </t>
    </r>
    <r>
      <rPr>
        <sz val="11"/>
        <color theme="1"/>
        <rFont val="Arial"/>
        <family val="2"/>
      </rPr>
      <t>Institui no Calendário Oficial do Município de Osasco o “Dia Municipal de Empatia com Pet”, e dá outras providências.</t>
    </r>
  </si>
  <si>
    <r>
      <t xml:space="preserve">APROVADO
</t>
    </r>
    <r>
      <rPr>
        <b/>
        <sz val="10"/>
        <color rgb="FF00B050"/>
        <rFont val="Arial"/>
        <family val="2"/>
      </rPr>
      <t>VOTAÇÃO SIMBÓLICA</t>
    </r>
  </si>
  <si>
    <r>
      <t xml:space="preserve">PROJETO DE LEI Nº 6/2026 – CARMÔNIO BASTOS – </t>
    </r>
    <r>
      <rPr>
        <sz val="11"/>
        <color theme="1"/>
        <rFont val="Arial"/>
        <family val="2"/>
      </rPr>
      <t>Dispõe sobre a denominação do Parque Nordestino de Osasco.</t>
    </r>
  </si>
  <si>
    <r>
      <t xml:space="preserve">PROJETO DE DECRETO LEGISLATIVO Nº 122/2025 – JOSIAS DA JUCO– </t>
    </r>
    <r>
      <rPr>
        <sz val="11"/>
        <color theme="1"/>
        <rFont val="Arial"/>
        <family val="2"/>
      </rPr>
      <t xml:space="preserve">Dispõe sobre a concessão de Placa Comemorativa em razão do Convênio de Irmandade entre o Município de Osasco Brasil e a Cidade di Itália, reconhecidas historicamente como cidades irmãs gêmeas. </t>
    </r>
  </si>
  <si>
    <r>
      <t xml:space="preserve">PROJETO DE DECRETO LEGISLATIVO Nº 1/2026 – CARMÔNIO BASTOS – </t>
    </r>
    <r>
      <rPr>
        <sz val="11"/>
        <color theme="1"/>
        <rFont val="Arial"/>
        <family val="2"/>
      </rPr>
      <t xml:space="preserve">Dispõe sobre a concessão de Título de cidadão osasquense ao senhor Guido Geuna, arquiteto e ex-prefeito (SINDACO) da cidade de Osasco, Itália. </t>
    </r>
  </si>
  <si>
    <r>
      <t xml:space="preserve">PROJETO DE DECRETO LEGISLATIVO Nº 2/2026 – JOSIAS DA JUCO – </t>
    </r>
    <r>
      <rPr>
        <sz val="11"/>
        <color theme="1"/>
        <rFont val="Arial"/>
        <family val="2"/>
      </rPr>
      <t xml:space="preserve">Dispõe sobre a concessão de Título de cidadão osasquense ao senhor Adriano Giovanni Miglio, prefeito (SINDACO) da cidade de Osasco, Itália.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</si>
</sst>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zoomScale="70" zoomScaleNormal="70" workbookViewId="0">
      <selection activeCell="O40" sqref="O4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102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103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67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2</v>
      </c>
      <c r="C7" s="102" t="s">
        <v>53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2</v>
      </c>
      <c r="G16" s="102" t="s">
        <v>53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99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68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90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11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21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0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66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61</v>
      </c>
      <c r="V32" s="12"/>
      <c r="W32" s="12"/>
    </row>
    <row r="33" spans="1:23" ht="18">
      <c r="A33" s="34" t="s">
        <v>54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67</v>
      </c>
      <c r="V44" s="12"/>
      <c r="W44" s="12"/>
    </row>
    <row r="45" spans="1:23" ht="18">
      <c r="A45" s="34" t="s">
        <v>56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 t="s">
        <v>58</v>
      </c>
      <c r="V47" s="12"/>
      <c r="W47" s="12"/>
    </row>
    <row r="48" spans="1:23" ht="18">
      <c r="A48" s="34" t="s">
        <v>59</v>
      </c>
      <c r="B48" s="7"/>
      <c r="V48" s="12"/>
      <c r="W48" s="32"/>
    </row>
    <row r="49" spans="1:23" ht="18">
      <c r="A49" s="34" t="s">
        <v>26</v>
      </c>
      <c r="W49" s="12"/>
    </row>
    <row r="50" spans="1:23" ht="18">
      <c r="A50" s="34" t="s">
        <v>68</v>
      </c>
      <c r="W50" s="12"/>
    </row>
    <row r="51" spans="1:23" ht="18">
      <c r="A51" s="34" t="s">
        <v>49</v>
      </c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M39"/>
  <sheetViews>
    <sheetView workbookViewId="0">
      <pane xSplit="1" topLeftCell="B1" activePane="topRight" state="frozen"/>
      <selection pane="topRight" activeCell="J14" sqref="J14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3" width="22.7109375" style="22" customWidth="1"/>
    <col min="14" max="16384" width="9.140625" style="22"/>
  </cols>
  <sheetData>
    <row r="1" spans="1:13" ht="15">
      <c r="A1" s="76" t="s">
        <v>8</v>
      </c>
      <c r="B1" s="21"/>
      <c r="C1" s="21"/>
      <c r="D1" s="21"/>
      <c r="E1" s="21"/>
      <c r="F1" s="21"/>
      <c r="G1" s="21"/>
      <c r="H1" s="21"/>
    </row>
    <row r="2" spans="1:13" ht="15">
      <c r="A2" s="76" t="s">
        <v>102</v>
      </c>
      <c r="B2" s="21"/>
      <c r="C2" s="21"/>
      <c r="D2" s="21"/>
      <c r="E2" s="21"/>
      <c r="F2" s="21"/>
      <c r="G2" s="21"/>
      <c r="H2" s="21"/>
    </row>
    <row r="3" spans="1:13" ht="17.25" customHeight="1">
      <c r="A3" s="76" t="s">
        <v>103</v>
      </c>
      <c r="B3" s="21"/>
      <c r="C3" s="21"/>
      <c r="D3" s="21"/>
      <c r="E3" s="21"/>
      <c r="F3" s="21"/>
      <c r="G3" s="21"/>
      <c r="H3" s="21"/>
    </row>
    <row r="4" spans="1:13" ht="63" customHeight="1">
      <c r="A4" s="51" t="str">
        <f>'[1]MOÇÃO E REQUERIMENTO'!B7</f>
        <v>EXPEDIENTE</v>
      </c>
      <c r="B4" s="50" t="s">
        <v>45</v>
      </c>
      <c r="C4" s="117" t="s">
        <v>104</v>
      </c>
      <c r="D4" s="117" t="s">
        <v>105</v>
      </c>
      <c r="E4" s="117" t="s">
        <v>106</v>
      </c>
      <c r="F4" s="117" t="s">
        <v>107</v>
      </c>
      <c r="G4" s="112" t="s">
        <v>34</v>
      </c>
      <c r="H4" s="124"/>
      <c r="I4" s="50" t="s">
        <v>27</v>
      </c>
      <c r="J4" s="84" t="s">
        <v>98</v>
      </c>
      <c r="K4" s="84" t="s">
        <v>100</v>
      </c>
      <c r="L4" s="84" t="s">
        <v>101</v>
      </c>
      <c r="M4" s="84" t="s">
        <v>108</v>
      </c>
    </row>
    <row r="5" spans="1:13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113"/>
      <c r="J5" s="113" t="s">
        <v>109</v>
      </c>
      <c r="K5" s="118" t="s">
        <v>97</v>
      </c>
      <c r="L5" s="113" t="s">
        <v>109</v>
      </c>
      <c r="M5" s="113" t="s">
        <v>109</v>
      </c>
    </row>
    <row r="6" spans="1:13" ht="15.75">
      <c r="A6" s="127" t="s">
        <v>51</v>
      </c>
      <c r="I6" s="23"/>
    </row>
    <row r="7" spans="1:13" ht="15.75">
      <c r="A7" s="127" t="s">
        <v>67</v>
      </c>
      <c r="I7" s="23"/>
    </row>
    <row r="8" spans="1:13" ht="15.75">
      <c r="A8" s="127" t="s">
        <v>54</v>
      </c>
      <c r="I8" s="23"/>
    </row>
    <row r="9" spans="1:13" ht="15.75">
      <c r="A9" s="128" t="s">
        <v>55</v>
      </c>
      <c r="I9" s="23"/>
    </row>
    <row r="10" spans="1:13" ht="15.75">
      <c r="A10" s="127" t="s">
        <v>28</v>
      </c>
      <c r="I10" s="23"/>
    </row>
    <row r="11" spans="1:13" ht="15.75">
      <c r="A11" s="127" t="s">
        <v>56</v>
      </c>
      <c r="I11" s="23"/>
    </row>
    <row r="12" spans="1:13" ht="15.75">
      <c r="A12" s="127" t="s">
        <v>22</v>
      </c>
      <c r="I12" s="23"/>
    </row>
    <row r="13" spans="1:13" ht="15.75">
      <c r="A13" s="127" t="s">
        <v>23</v>
      </c>
      <c r="I13" s="23"/>
    </row>
    <row r="14" spans="1:13" ht="15.75">
      <c r="A14" s="127" t="s">
        <v>24</v>
      </c>
      <c r="I14" s="23"/>
    </row>
    <row r="15" spans="1:13" ht="15.75">
      <c r="A15" s="127" t="s">
        <v>57</v>
      </c>
      <c r="I15" s="23"/>
    </row>
    <row r="16" spans="1:13" ht="15.75">
      <c r="A16" s="127" t="s">
        <v>58</v>
      </c>
      <c r="I16" s="23"/>
    </row>
    <row r="17" spans="1:9" ht="15.75">
      <c r="A17" s="127" t="s">
        <v>59</v>
      </c>
      <c r="I17" s="23"/>
    </row>
    <row r="18" spans="1:9" ht="15.75">
      <c r="A18" s="127" t="s">
        <v>25</v>
      </c>
      <c r="I18" s="23"/>
    </row>
    <row r="19" spans="1:9" ht="15.75">
      <c r="A19" s="127" t="s">
        <v>60</v>
      </c>
      <c r="I19" s="23"/>
    </row>
    <row r="20" spans="1:9" ht="15.75">
      <c r="A20" s="127" t="s">
        <v>99</v>
      </c>
      <c r="I20" s="23"/>
    </row>
    <row r="21" spans="1:9" ht="15.75">
      <c r="A21" s="127" t="s">
        <v>26</v>
      </c>
      <c r="I21" s="23"/>
    </row>
    <row r="22" spans="1:9" ht="15.75">
      <c r="A22" s="127" t="s">
        <v>61</v>
      </c>
      <c r="I22" s="23"/>
    </row>
    <row r="23" spans="1:9" ht="15.75">
      <c r="A23" s="127" t="s">
        <v>68</v>
      </c>
      <c r="I23" s="23"/>
    </row>
    <row r="24" spans="1:9" ht="15.75">
      <c r="A24" s="127" t="s">
        <v>49</v>
      </c>
      <c r="I24" s="23"/>
    </row>
    <row r="25" spans="1:9" ht="15.75">
      <c r="A25" s="127" t="s">
        <v>90</v>
      </c>
      <c r="I25" s="23"/>
    </row>
    <row r="26" spans="1:9" ht="15.75">
      <c r="A26" s="127" t="s">
        <v>62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9" sqref="G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44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67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14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07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99</v>
      </c>
      <c r="C20" s="107"/>
      <c r="E20" s="114"/>
    </row>
    <row r="21" spans="1:130" ht="20.25">
      <c r="A21" s="46" t="s">
        <v>26</v>
      </c>
      <c r="C21" s="107"/>
      <c r="E21" s="107"/>
    </row>
    <row r="22" spans="1:130" ht="20.25">
      <c r="A22" s="46" t="s">
        <v>61</v>
      </c>
      <c r="C22" s="114"/>
      <c r="E22" s="107"/>
    </row>
    <row r="23" spans="1:130" ht="20.25">
      <c r="A23" s="46" t="s">
        <v>68</v>
      </c>
      <c r="C23" s="114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90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6" sqref="G6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110</v>
      </c>
      <c r="D4" s="139" t="s">
        <v>111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112</v>
      </c>
      <c r="D5" s="144" t="s">
        <v>112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/>
      <c r="V6" s="7"/>
      <c r="W6" s="7"/>
    </row>
    <row r="7" spans="1:30" ht="18">
      <c r="A7" s="129" t="s">
        <v>67</v>
      </c>
      <c r="C7" s="107"/>
      <c r="D7" s="107"/>
      <c r="V7" s="7"/>
      <c r="W7" s="7"/>
    </row>
    <row r="8" spans="1:30" ht="18">
      <c r="A8" s="129" t="s">
        <v>54</v>
      </c>
      <c r="C8" s="107"/>
      <c r="D8" s="107"/>
      <c r="V8" s="7"/>
      <c r="W8" s="7"/>
    </row>
    <row r="9" spans="1:30" ht="18">
      <c r="A9" s="130" t="s">
        <v>55</v>
      </c>
      <c r="C9" s="114"/>
      <c r="D9" s="114"/>
      <c r="V9" s="7"/>
      <c r="W9" s="7"/>
    </row>
    <row r="10" spans="1:30" ht="18">
      <c r="A10" s="129" t="s">
        <v>28</v>
      </c>
      <c r="C10" s="107"/>
      <c r="D10" s="107"/>
      <c r="V10" s="7"/>
      <c r="W10" s="7"/>
    </row>
    <row r="11" spans="1:30" ht="18">
      <c r="A11" s="129" t="s">
        <v>56</v>
      </c>
      <c r="C11" s="107"/>
      <c r="D11" s="107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14"/>
      <c r="D13" s="114"/>
      <c r="V13" s="7"/>
      <c r="W13" s="7"/>
    </row>
    <row r="14" spans="1:30" ht="18">
      <c r="A14" s="129" t="s">
        <v>24</v>
      </c>
      <c r="C14" s="107"/>
      <c r="D14" s="107"/>
      <c r="V14" s="7"/>
      <c r="W14" s="7"/>
    </row>
    <row r="15" spans="1:30" ht="18">
      <c r="A15" s="129" t="s">
        <v>57</v>
      </c>
      <c r="C15" s="107"/>
      <c r="D15" s="107"/>
      <c r="V15" s="7"/>
      <c r="W15" s="7"/>
    </row>
    <row r="16" spans="1:30" ht="18">
      <c r="A16" s="129" t="s">
        <v>58</v>
      </c>
      <c r="C16" s="107"/>
      <c r="D16" s="107"/>
      <c r="V16" s="7"/>
      <c r="W16" s="7"/>
    </row>
    <row r="17" spans="1:124" ht="15" customHeight="1">
      <c r="A17" s="129" t="s">
        <v>59</v>
      </c>
      <c r="C17" s="114"/>
      <c r="D17" s="114"/>
      <c r="U17" s="8"/>
      <c r="V17" s="7"/>
      <c r="W17" s="7"/>
    </row>
    <row r="18" spans="1:124" ht="18">
      <c r="A18" s="129" t="s">
        <v>25</v>
      </c>
      <c r="C18" s="107"/>
      <c r="D18" s="107"/>
      <c r="V18" s="7"/>
      <c r="W18" s="7"/>
    </row>
    <row r="19" spans="1:124" ht="18">
      <c r="A19" s="129" t="s">
        <v>60</v>
      </c>
      <c r="C19" s="107"/>
      <c r="D19" s="107"/>
      <c r="V19" s="7"/>
      <c r="W19" s="7"/>
    </row>
    <row r="20" spans="1:124" ht="18">
      <c r="A20" s="129" t="s">
        <v>99</v>
      </c>
      <c r="C20" s="107"/>
      <c r="D20" s="107"/>
      <c r="V20" s="7"/>
      <c r="W20" s="7"/>
    </row>
    <row r="21" spans="1:124" ht="18">
      <c r="A21" s="129" t="s">
        <v>26</v>
      </c>
      <c r="C21" s="107"/>
      <c r="D21" s="107"/>
      <c r="V21" s="7"/>
      <c r="W21" s="7"/>
    </row>
    <row r="22" spans="1:124" ht="18">
      <c r="A22" s="129" t="s">
        <v>61</v>
      </c>
      <c r="C22" s="107"/>
      <c r="D22" s="107"/>
      <c r="V22" s="7"/>
      <c r="W22" s="7"/>
    </row>
    <row r="23" spans="1:124" ht="18">
      <c r="A23" s="129" t="s">
        <v>68</v>
      </c>
      <c r="C23" s="107"/>
      <c r="D23" s="107"/>
      <c r="V23" s="7"/>
      <c r="W23" s="7"/>
    </row>
    <row r="24" spans="1:124" ht="18">
      <c r="A24" s="129" t="s">
        <v>49</v>
      </c>
      <c r="C24" s="107"/>
      <c r="D24" s="107"/>
      <c r="V24" s="7"/>
      <c r="W24" s="7"/>
    </row>
    <row r="25" spans="1:124" ht="18">
      <c r="A25" s="129" t="s">
        <v>90</v>
      </c>
      <c r="C25" s="107"/>
      <c r="D25" s="107"/>
      <c r="V25" s="7"/>
      <c r="W25" s="7"/>
    </row>
    <row r="26" spans="1:124" ht="18">
      <c r="A26" s="129" t="s">
        <v>62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:D27" si="1">COUNTIF(C6:C26,"sim")</f>
        <v>0</v>
      </c>
      <c r="D27" s="103">
        <f t="shared" si="1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 t="shared" ref="C28:D28" si="7">COUNTIF(C6:C26,"não")</f>
        <v>0</v>
      </c>
      <c r="D28" s="104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0</v>
      </c>
      <c r="D29" s="40">
        <f t="shared" si="13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:D30" si="19">COUNTIF(C6:C26,"abstenção")</f>
        <v>0</v>
      </c>
      <c r="D30" s="105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K17" sqref="K17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102</v>
      </c>
      <c r="B2" s="2"/>
    </row>
    <row r="3" spans="1:6" ht="15.75" thickBot="1">
      <c r="A3" s="121" t="s">
        <v>103</v>
      </c>
      <c r="B3" s="2"/>
    </row>
    <row r="4" spans="1:6" ht="78.75" customHeight="1" thickBot="1">
      <c r="A4" s="120" t="s">
        <v>5</v>
      </c>
      <c r="B4" s="111" t="s">
        <v>21</v>
      </c>
      <c r="C4" s="139" t="s">
        <v>113</v>
      </c>
      <c r="D4" s="139" t="s">
        <v>114</v>
      </c>
      <c r="E4" s="139" t="s">
        <v>115</v>
      </c>
      <c r="F4" s="139" t="s">
        <v>116</v>
      </c>
    </row>
    <row r="5" spans="1:6" s="6" customFormat="1" ht="60.75" customHeight="1">
      <c r="A5" s="122"/>
      <c r="B5" s="111"/>
      <c r="C5" s="144" t="s">
        <v>69</v>
      </c>
      <c r="D5" s="144" t="s">
        <v>69</v>
      </c>
      <c r="E5" s="144" t="s">
        <v>69</v>
      </c>
      <c r="F5" s="144" t="s">
        <v>69</v>
      </c>
    </row>
    <row r="6" spans="1:6" ht="15.75">
      <c r="A6" s="127" t="s">
        <v>51</v>
      </c>
      <c r="C6" s="107" t="s">
        <v>65</v>
      </c>
      <c r="D6" s="107" t="s">
        <v>65</v>
      </c>
      <c r="E6" s="107" t="s">
        <v>65</v>
      </c>
      <c r="F6" s="107" t="s">
        <v>65</v>
      </c>
    </row>
    <row r="7" spans="1:6" ht="15.75">
      <c r="A7" s="127" t="s">
        <v>67</v>
      </c>
      <c r="C7" s="107" t="s">
        <v>65</v>
      </c>
      <c r="D7" s="107" t="s">
        <v>65</v>
      </c>
      <c r="E7" s="107" t="s">
        <v>65</v>
      </c>
      <c r="F7" s="107" t="s">
        <v>65</v>
      </c>
    </row>
    <row r="8" spans="1:6" ht="15.75">
      <c r="A8" s="127" t="s">
        <v>54</v>
      </c>
      <c r="C8" s="107" t="s">
        <v>65</v>
      </c>
      <c r="D8" s="107" t="s">
        <v>65</v>
      </c>
      <c r="E8" s="107" t="s">
        <v>65</v>
      </c>
      <c r="F8" s="107" t="s">
        <v>65</v>
      </c>
    </row>
    <row r="9" spans="1:6" ht="15.75">
      <c r="A9" s="128" t="s">
        <v>55</v>
      </c>
      <c r="C9" s="107" t="s">
        <v>65</v>
      </c>
      <c r="D9" s="114" t="s">
        <v>53</v>
      </c>
      <c r="E9" s="114" t="s">
        <v>53</v>
      </c>
      <c r="F9" s="114" t="s">
        <v>53</v>
      </c>
    </row>
    <row r="10" spans="1:6" ht="15.75">
      <c r="A10" s="127" t="s">
        <v>28</v>
      </c>
      <c r="C10" s="107" t="s">
        <v>65</v>
      </c>
      <c r="D10" s="107" t="s">
        <v>65</v>
      </c>
      <c r="E10" s="107" t="s">
        <v>65</v>
      </c>
      <c r="F10" s="107" t="s">
        <v>65</v>
      </c>
    </row>
    <row r="11" spans="1:6" ht="15.75">
      <c r="A11" s="127" t="s">
        <v>56</v>
      </c>
      <c r="C11" s="114" t="s">
        <v>95</v>
      </c>
      <c r="D11" s="107" t="s">
        <v>65</v>
      </c>
      <c r="E11" s="107" t="s">
        <v>65</v>
      </c>
      <c r="F11" s="107" t="s">
        <v>65</v>
      </c>
    </row>
    <row r="12" spans="1:6" ht="15.75">
      <c r="A12" s="127" t="s">
        <v>22</v>
      </c>
      <c r="C12" s="107" t="s">
        <v>65</v>
      </c>
      <c r="D12" s="107" t="s">
        <v>65</v>
      </c>
      <c r="E12" s="107" t="s">
        <v>65</v>
      </c>
      <c r="F12" s="107" t="s">
        <v>65</v>
      </c>
    </row>
    <row r="13" spans="1:6" ht="15.75">
      <c r="A13" s="127" t="s">
        <v>23</v>
      </c>
      <c r="B13" s="138"/>
      <c r="C13" s="107" t="s">
        <v>65</v>
      </c>
      <c r="D13" s="114" t="s">
        <v>53</v>
      </c>
      <c r="E13" s="114" t="s">
        <v>53</v>
      </c>
      <c r="F13" s="114" t="s">
        <v>53</v>
      </c>
    </row>
    <row r="14" spans="1:6" ht="15.75">
      <c r="A14" s="127" t="s">
        <v>24</v>
      </c>
      <c r="C14" s="107" t="s">
        <v>65</v>
      </c>
      <c r="D14" s="107" t="s">
        <v>65</v>
      </c>
      <c r="E14" s="107" t="s">
        <v>65</v>
      </c>
      <c r="F14" s="107" t="s">
        <v>65</v>
      </c>
    </row>
    <row r="15" spans="1:6" ht="15.75">
      <c r="A15" s="127" t="s">
        <v>57</v>
      </c>
      <c r="C15" s="107" t="s">
        <v>65</v>
      </c>
      <c r="D15" s="107" t="s">
        <v>65</v>
      </c>
      <c r="E15" s="107" t="s">
        <v>65</v>
      </c>
      <c r="F15" s="107" t="s">
        <v>65</v>
      </c>
    </row>
    <row r="16" spans="1:6" ht="15.75">
      <c r="A16" s="127" t="s">
        <v>58</v>
      </c>
      <c r="C16" s="107" t="s">
        <v>65</v>
      </c>
      <c r="D16" s="107" t="s">
        <v>65</v>
      </c>
      <c r="E16" s="107" t="s">
        <v>65</v>
      </c>
      <c r="F16" s="107" t="s">
        <v>65</v>
      </c>
    </row>
    <row r="17" spans="1:6" ht="15.75">
      <c r="A17" s="127" t="s">
        <v>59</v>
      </c>
      <c r="C17" s="107" t="s">
        <v>65</v>
      </c>
      <c r="D17" s="107" t="s">
        <v>65</v>
      </c>
      <c r="E17" s="107" t="s">
        <v>65</v>
      </c>
      <c r="F17" s="107" t="s">
        <v>65</v>
      </c>
    </row>
    <row r="18" spans="1:6" ht="15.75">
      <c r="A18" s="127" t="s">
        <v>25</v>
      </c>
      <c r="C18" s="107" t="s">
        <v>65</v>
      </c>
      <c r="D18" s="107" t="s">
        <v>65</v>
      </c>
      <c r="E18" s="107" t="s">
        <v>65</v>
      </c>
      <c r="F18" s="107" t="s">
        <v>65</v>
      </c>
    </row>
    <row r="19" spans="1:6" ht="15.75">
      <c r="A19" s="127" t="s">
        <v>60</v>
      </c>
      <c r="C19" s="107" t="s">
        <v>65</v>
      </c>
      <c r="D19" s="107" t="s">
        <v>65</v>
      </c>
      <c r="E19" s="107" t="s">
        <v>65</v>
      </c>
      <c r="F19" s="107" t="s">
        <v>65</v>
      </c>
    </row>
    <row r="20" spans="1:6" ht="15.75">
      <c r="A20" s="127" t="s">
        <v>99</v>
      </c>
      <c r="C20" s="114" t="s">
        <v>53</v>
      </c>
      <c r="D20" s="114" t="s">
        <v>53</v>
      </c>
      <c r="E20" s="114" t="s">
        <v>53</v>
      </c>
      <c r="F20" s="114" t="s">
        <v>53</v>
      </c>
    </row>
    <row r="21" spans="1:6" ht="15.75">
      <c r="A21" s="127" t="s">
        <v>26</v>
      </c>
      <c r="C21" s="107" t="s">
        <v>65</v>
      </c>
      <c r="D21" s="107" t="s">
        <v>65</v>
      </c>
      <c r="E21" s="107" t="s">
        <v>65</v>
      </c>
      <c r="F21" s="107" t="s">
        <v>65</v>
      </c>
    </row>
    <row r="22" spans="1:6" ht="15.75">
      <c r="A22" s="127" t="s">
        <v>61</v>
      </c>
      <c r="C22" s="107" t="s">
        <v>65</v>
      </c>
      <c r="D22" s="107" t="s">
        <v>65</v>
      </c>
      <c r="E22" s="107" t="s">
        <v>65</v>
      </c>
      <c r="F22" s="107" t="s">
        <v>65</v>
      </c>
    </row>
    <row r="23" spans="1:6" ht="15.75">
      <c r="A23" s="127" t="s">
        <v>68</v>
      </c>
      <c r="C23" s="114" t="s">
        <v>53</v>
      </c>
      <c r="D23" s="114" t="s">
        <v>53</v>
      </c>
      <c r="E23" s="114" t="s">
        <v>53</v>
      </c>
      <c r="F23" s="114" t="s">
        <v>53</v>
      </c>
    </row>
    <row r="24" spans="1:6" ht="15.75">
      <c r="A24" s="127" t="s">
        <v>49</v>
      </c>
      <c r="C24" s="107" t="s">
        <v>65</v>
      </c>
      <c r="D24" s="107" t="s">
        <v>65</v>
      </c>
      <c r="E24" s="107" t="s">
        <v>65</v>
      </c>
      <c r="F24" s="107" t="s">
        <v>65</v>
      </c>
    </row>
    <row r="25" spans="1:6" ht="15.75">
      <c r="A25" s="127" t="s">
        <v>90</v>
      </c>
      <c r="C25" s="107" t="s">
        <v>65</v>
      </c>
      <c r="D25" s="107" t="s">
        <v>65</v>
      </c>
      <c r="E25" s="107" t="s">
        <v>65</v>
      </c>
      <c r="F25" s="107" t="s">
        <v>65</v>
      </c>
    </row>
    <row r="26" spans="1:6" ht="15.75">
      <c r="A26" s="127" t="s">
        <v>62</v>
      </c>
      <c r="C26" s="107" t="s">
        <v>65</v>
      </c>
      <c r="D26" s="107" t="s">
        <v>65</v>
      </c>
      <c r="E26" s="107" t="s">
        <v>65</v>
      </c>
      <c r="F26" s="107" t="s">
        <v>65</v>
      </c>
    </row>
    <row r="27" spans="1:6">
      <c r="C27" s="107" t="s">
        <v>65</v>
      </c>
      <c r="D27" s="107" t="s">
        <v>65</v>
      </c>
      <c r="E27" s="107" t="s">
        <v>65</v>
      </c>
      <c r="F27" s="107" t="s">
        <v>65</v>
      </c>
    </row>
    <row r="28" spans="1:6" ht="15.75">
      <c r="A28" s="15" t="s">
        <v>18</v>
      </c>
      <c r="B28" s="16">
        <f>COUNTIF(B6:B26,"sim")</f>
        <v>0</v>
      </c>
      <c r="C28" s="103">
        <f t="shared" ref="C28:D28" si="0">COUNTIF(C6:C26,"sim")</f>
        <v>18</v>
      </c>
      <c r="D28" s="103">
        <f t="shared" si="0"/>
        <v>17</v>
      </c>
      <c r="E28" s="103">
        <f t="shared" ref="E28:F28" si="1">COUNTIF(E6:E26,"sim")</f>
        <v>17</v>
      </c>
      <c r="F28" s="103">
        <f t="shared" si="1"/>
        <v>17</v>
      </c>
    </row>
    <row r="29" spans="1:6" ht="15.75">
      <c r="A29" s="17" t="s">
        <v>19</v>
      </c>
      <c r="B29" s="18">
        <f>COUNTIF(B6:B26,"não")</f>
        <v>0</v>
      </c>
      <c r="C29" s="104">
        <f t="shared" ref="C29:D29" si="2">COUNTIF(C6:C26,"não")</f>
        <v>0</v>
      </c>
      <c r="D29" s="104">
        <f t="shared" si="2"/>
        <v>0</v>
      </c>
      <c r="E29" s="104">
        <f t="shared" ref="E29:F29" si="3">COUNTIF(E6:E26,"não")</f>
        <v>0</v>
      </c>
      <c r="F29" s="104">
        <f t="shared" si="3"/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:D30" si="4">COUNTIF(C6:C26,"ausente")</f>
        <v>2</v>
      </c>
      <c r="D30" s="40">
        <f t="shared" si="4"/>
        <v>4</v>
      </c>
      <c r="E30" s="40">
        <f t="shared" ref="E30:F30" si="5">COUNTIF(E6:E26,"ausente")</f>
        <v>4</v>
      </c>
      <c r="F30" s="40">
        <f t="shared" si="5"/>
        <v>4</v>
      </c>
    </row>
    <row r="31" spans="1:6" ht="15.75">
      <c r="A31" s="19" t="s">
        <v>20</v>
      </c>
      <c r="B31" s="20">
        <f>COUNTIF(B6:B26,"abstenção")</f>
        <v>0</v>
      </c>
      <c r="C31" s="105">
        <f t="shared" ref="C31:D31" si="6">COUNTIF(C6:C26,"abstenção")</f>
        <v>0</v>
      </c>
      <c r="D31" s="105">
        <f t="shared" si="6"/>
        <v>0</v>
      </c>
      <c r="E31" s="105">
        <f t="shared" ref="E31:F31" si="7">COUNTIF(E6:E26,"abstenção")</f>
        <v>0</v>
      </c>
      <c r="F31" s="105">
        <f t="shared" si="7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102</v>
      </c>
      <c r="B2" s="2"/>
      <c r="C2" s="54"/>
      <c r="D2" s="54"/>
      <c r="E2" s="54"/>
    </row>
    <row r="3" spans="1:10" ht="15.75" thickBot="1">
      <c r="A3" s="121" t="s">
        <v>103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91</v>
      </c>
      <c r="G4" s="143" t="s">
        <v>92</v>
      </c>
      <c r="H4" s="143" t="s">
        <v>93</v>
      </c>
      <c r="I4" s="143" t="s">
        <v>94</v>
      </c>
      <c r="J4" s="143" t="s">
        <v>96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67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99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68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90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70</v>
      </c>
      <c r="E4" s="106" t="s">
        <v>71</v>
      </c>
      <c r="F4" s="106" t="s">
        <v>72</v>
      </c>
      <c r="G4" s="106" t="s">
        <v>73</v>
      </c>
      <c r="H4" s="106" t="s">
        <v>74</v>
      </c>
      <c r="I4" s="106" t="s">
        <v>75</v>
      </c>
      <c r="J4" s="106" t="s">
        <v>76</v>
      </c>
      <c r="K4" s="106" t="s">
        <v>77</v>
      </c>
      <c r="L4" s="106" t="s">
        <v>78</v>
      </c>
      <c r="M4" s="106" t="s">
        <v>79</v>
      </c>
      <c r="N4" s="106" t="s">
        <v>80</v>
      </c>
      <c r="O4" s="106" t="s">
        <v>81</v>
      </c>
      <c r="P4" s="106" t="s">
        <v>82</v>
      </c>
      <c r="Q4" s="106" t="s">
        <v>83</v>
      </c>
      <c r="R4" s="106" t="s">
        <v>84</v>
      </c>
      <c r="S4" s="106" t="s">
        <v>85</v>
      </c>
      <c r="T4" s="106" t="s">
        <v>86</v>
      </c>
      <c r="U4" s="106" t="s">
        <v>87</v>
      </c>
      <c r="V4" s="106" t="s">
        <v>88</v>
      </c>
      <c r="W4" s="106" t="s">
        <v>89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67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68</v>
      </c>
    </row>
    <row r="24" spans="1:23" ht="15.75">
      <c r="A24" s="127" t="s">
        <v>49</v>
      </c>
    </row>
    <row r="25" spans="1:23" ht="15.75">
      <c r="A25" s="127" t="s">
        <v>90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2026-03-02T19:09:32Z</dcterms:modified>
</cp:coreProperties>
</file>