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A2A4ECDC-EB18-449A-950E-8CBBAB0B6C90}" xr6:coauthVersionLast="47" xr6:coauthVersionMax="47" xr10:uidLastSave="{00000000-0000-0000-0000-000000000000}"/>
  <bookViews>
    <workbookView xWindow="-120" yWindow="-120" windowWidth="29040" windowHeight="15720" tabRatio="849" activeTab="4"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7" i="3" l="1"/>
  <c r="E28" i="3"/>
  <c r="E29" i="3"/>
  <c r="E30" i="3"/>
  <c r="E27" i="2"/>
  <c r="E28" i="2"/>
  <c r="E29" i="2"/>
  <c r="E30" i="2"/>
  <c r="D27" i="3"/>
  <c r="D28" i="3"/>
  <c r="D29" i="3"/>
  <c r="D30" i="3"/>
  <c r="C27" i="3" l="1"/>
  <c r="C28" i="3"/>
  <c r="C29" i="3"/>
  <c r="C30" i="3"/>
  <c r="C28" i="10" l="1"/>
  <c r="C29" i="10"/>
  <c r="C30" i="10"/>
  <c r="C31" i="10"/>
  <c r="F27" i="3"/>
  <c r="F28" i="3"/>
  <c r="F29" i="3"/>
  <c r="F30" i="3"/>
  <c r="C27" i="2" l="1"/>
  <c r="C28" i="2"/>
  <c r="C29" i="2"/>
  <c r="C30" i="2"/>
  <c r="F27" i="2"/>
  <c r="F28" i="2"/>
  <c r="F29" i="2"/>
  <c r="F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V27" i="3" l="1"/>
  <c r="DV28" i="3" s="1"/>
  <c r="DV29" i="3" s="1"/>
  <c r="DV30" i="3" s="1"/>
  <c r="DU27" i="3"/>
  <c r="DU28" i="3" s="1"/>
  <c r="DU29" i="3" s="1"/>
  <c r="DU30" i="3" s="1"/>
  <c r="DT27" i="3"/>
  <c r="DT28" i="3" s="1"/>
  <c r="DS27" i="3"/>
  <c r="DR27" i="3"/>
  <c r="DR28" i="3" s="1"/>
  <c r="DR29" i="3" s="1"/>
  <c r="DR30" i="3" s="1"/>
  <c r="DQ27" i="3"/>
  <c r="DQ28" i="3" s="1"/>
  <c r="DQ29" i="3" s="1"/>
  <c r="DQ30" i="3" s="1"/>
  <c r="DP27" i="3"/>
  <c r="DP28" i="3" s="1"/>
  <c r="DP29" i="3" s="1"/>
  <c r="DP30" i="3" s="1"/>
  <c r="DO27" i="3"/>
  <c r="DN27" i="3"/>
  <c r="DN28" i="3" s="1"/>
  <c r="DM27" i="3"/>
  <c r="DM28" i="3" s="1"/>
  <c r="DL27" i="3"/>
  <c r="DL28" i="3" s="1"/>
  <c r="DK27" i="3"/>
  <c r="DK28" i="3" s="1"/>
  <c r="DJ27" i="3"/>
  <c r="DJ28" i="3" s="1"/>
  <c r="DJ29" i="3" s="1"/>
  <c r="DI27" i="3"/>
  <c r="DI28" i="3" s="1"/>
  <c r="DI29" i="3" s="1"/>
  <c r="DI30" i="3" s="1"/>
  <c r="DH27" i="3"/>
  <c r="DH28" i="3" s="1"/>
  <c r="DG27" i="3"/>
  <c r="DG28" i="3" s="1"/>
  <c r="DF27" i="3"/>
  <c r="DF28" i="3" s="1"/>
  <c r="DF29" i="3" s="1"/>
  <c r="DE27" i="3"/>
  <c r="DE28" i="3" s="1"/>
  <c r="DD27" i="3"/>
  <c r="DD28" i="3" s="1"/>
  <c r="DD29" i="3" s="1"/>
  <c r="DC27" i="3"/>
  <c r="DC28" i="3" s="1"/>
  <c r="DC29" i="3" s="1"/>
  <c r="DC30" i="3" s="1"/>
  <c r="DB27" i="3"/>
  <c r="DB28" i="3" s="1"/>
  <c r="DA27" i="3"/>
  <c r="DA28" i="3" s="1"/>
  <c r="DA29" i="3" s="1"/>
  <c r="DA30" i="3" s="1"/>
  <c r="CZ27" i="3"/>
  <c r="CZ28" i="3" s="1"/>
  <c r="CY27" i="3"/>
  <c r="CX27" i="3"/>
  <c r="CX28" i="3" s="1"/>
  <c r="CX29" i="3" s="1"/>
  <c r="CW27" i="3"/>
  <c r="CW28" i="3" s="1"/>
  <c r="CV27" i="3"/>
  <c r="CV28" i="3" s="1"/>
  <c r="CV29" i="3" s="1"/>
  <c r="CV30" i="3" s="1"/>
  <c r="CU27" i="3"/>
  <c r="CU28" i="3" s="1"/>
  <c r="CU29" i="3" s="1"/>
  <c r="CU30" i="3" s="1"/>
  <c r="CT27" i="3"/>
  <c r="CT28" i="3" s="1"/>
  <c r="CS27" i="3"/>
  <c r="CS28" i="3" s="1"/>
  <c r="CS29" i="3" s="1"/>
  <c r="CS30" i="3" s="1"/>
  <c r="CR27" i="3"/>
  <c r="CR28" i="3" s="1"/>
  <c r="CQ27" i="3"/>
  <c r="CQ28" i="3" s="1"/>
  <c r="CP27" i="3"/>
  <c r="CP28" i="3" s="1"/>
  <c r="CP29" i="3" s="1"/>
  <c r="CP30" i="3" s="1"/>
  <c r="CO27" i="3"/>
  <c r="CO28" i="3" s="1"/>
  <c r="CN27" i="3"/>
  <c r="CN28" i="3" s="1"/>
  <c r="CN29" i="3" s="1"/>
  <c r="CM27" i="3"/>
  <c r="CM28" i="3" s="1"/>
  <c r="CL27" i="3"/>
  <c r="CL28" i="3" s="1"/>
  <c r="CK27" i="3"/>
  <c r="CK28" i="3" s="1"/>
  <c r="CK29" i="3" s="1"/>
  <c r="CK30" i="3" s="1"/>
  <c r="CJ27" i="3"/>
  <c r="CJ28" i="3" s="1"/>
  <c r="CI27" i="3"/>
  <c r="CI28" i="3" s="1"/>
  <c r="CH27" i="3"/>
  <c r="CG27" i="3"/>
  <c r="CG28" i="3" s="1"/>
  <c r="CF27" i="3"/>
  <c r="CF28" i="3" s="1"/>
  <c r="CF29" i="3" s="1"/>
  <c r="CF30" i="3" s="1"/>
  <c r="CE27" i="3"/>
  <c r="CD27" i="3"/>
  <c r="CD28" i="3" s="1"/>
  <c r="CC27" i="3"/>
  <c r="CC28" i="3" s="1"/>
  <c r="CC29" i="3" s="1"/>
  <c r="CC30" i="3" s="1"/>
  <c r="CB27" i="3"/>
  <c r="CB28" i="3" s="1"/>
  <c r="CA27" i="3"/>
  <c r="CA28" i="3" s="1"/>
  <c r="CA29" i="3" s="1"/>
  <c r="BZ27" i="3"/>
  <c r="BZ28" i="3" s="1"/>
  <c r="BZ29" i="3" s="1"/>
  <c r="BY27" i="3"/>
  <c r="BY28" i="3" s="1"/>
  <c r="BX27" i="3"/>
  <c r="BX28" i="3" s="1"/>
  <c r="BW27" i="3"/>
  <c r="BW28" i="3" s="1"/>
  <c r="BV27" i="3"/>
  <c r="BV28" i="3" s="1"/>
  <c r="BU27" i="3"/>
  <c r="BU28" i="3" s="1"/>
  <c r="BU29" i="3" s="1"/>
  <c r="BU30" i="3" s="1"/>
  <c r="BT27" i="3"/>
  <c r="BT28" i="3" s="1"/>
  <c r="BS27" i="3"/>
  <c r="BS28" i="3" s="1"/>
  <c r="BR27" i="3"/>
  <c r="BR28" i="3" s="1"/>
  <c r="BQ27" i="3"/>
  <c r="BQ28" i="3" s="1"/>
  <c r="BP27" i="3"/>
  <c r="BP28" i="3" s="1"/>
  <c r="BP29" i="3" s="1"/>
  <c r="BO27" i="3"/>
  <c r="BN27" i="3"/>
  <c r="BN28" i="3" s="1"/>
  <c r="BN29" i="3" s="1"/>
  <c r="BM27" i="3"/>
  <c r="BM28" i="3" s="1"/>
  <c r="BM29" i="3" s="1"/>
  <c r="BM30" i="3" s="1"/>
  <c r="BL27" i="3"/>
  <c r="BL28" i="3" s="1"/>
  <c r="BK27" i="3"/>
  <c r="BK28" i="3" s="1"/>
  <c r="BJ27" i="3"/>
  <c r="BJ28" i="3" s="1"/>
  <c r="BJ29" i="3" s="1"/>
  <c r="BJ30" i="3" s="1"/>
  <c r="BI27" i="3"/>
  <c r="BI28" i="3" s="1"/>
  <c r="BH27" i="3"/>
  <c r="BH28" i="3" s="1"/>
  <c r="BH29" i="3" s="1"/>
  <c r="BH30" i="3" s="1"/>
  <c r="BG27" i="3"/>
  <c r="BG28" i="3" s="1"/>
  <c r="BG29" i="3" s="1"/>
  <c r="BG30" i="3" s="1"/>
  <c r="BF27" i="3"/>
  <c r="BF28" i="3" s="1"/>
  <c r="BF29" i="3" s="1"/>
  <c r="BF30" i="3" s="1"/>
  <c r="BE27" i="3"/>
  <c r="BE28" i="3" s="1"/>
  <c r="BD27" i="3"/>
  <c r="BD28" i="3" s="1"/>
  <c r="BC27" i="3"/>
  <c r="BC28" i="3" s="1"/>
  <c r="BC29" i="3" s="1"/>
  <c r="BB27" i="3"/>
  <c r="BB28" i="3" s="1"/>
  <c r="BB29" i="3" s="1"/>
  <c r="BA27" i="3"/>
  <c r="BA28" i="3" s="1"/>
  <c r="BA29" i="3" s="1"/>
  <c r="BA30" i="3" s="1"/>
  <c r="AZ27" i="3"/>
  <c r="AZ28" i="3" s="1"/>
  <c r="AY27" i="3"/>
  <c r="AY28" i="3" s="1"/>
  <c r="AY29" i="3" s="1"/>
  <c r="AY30" i="3" s="1"/>
  <c r="AX27" i="3"/>
  <c r="AX28" i="3" s="1"/>
  <c r="AW27" i="3"/>
  <c r="AW28" i="3" s="1"/>
  <c r="AW29" i="3" s="1"/>
  <c r="AW30" i="3" s="1"/>
  <c r="AV27" i="3"/>
  <c r="AV28" i="3" s="1"/>
  <c r="AU27" i="3"/>
  <c r="AU28" i="3" s="1"/>
  <c r="AT27" i="3"/>
  <c r="AT28" i="3" s="1"/>
  <c r="AS27" i="3"/>
  <c r="AS28" i="3" s="1"/>
  <c r="AR27" i="3"/>
  <c r="AR28" i="3" s="1"/>
  <c r="AR29" i="3" s="1"/>
  <c r="AR30" i="3" s="1"/>
  <c r="AQ27" i="3"/>
  <c r="AQ28" i="3" s="1"/>
  <c r="AQ29" i="3" s="1"/>
  <c r="AP27" i="3"/>
  <c r="AP28" i="3" s="1"/>
  <c r="AP29" i="3" s="1"/>
  <c r="AP30" i="3" s="1"/>
  <c r="AO27" i="3"/>
  <c r="AO28" i="3" s="1"/>
  <c r="AN27" i="3"/>
  <c r="AN28" i="3" s="1"/>
  <c r="AM27" i="3"/>
  <c r="AM28" i="3" s="1"/>
  <c r="AL27" i="3"/>
  <c r="AL28" i="3" s="1"/>
  <c r="AL29" i="3" s="1"/>
  <c r="AK27" i="3"/>
  <c r="AK28" i="3" s="1"/>
  <c r="AK29" i="3" s="1"/>
  <c r="AJ27" i="3"/>
  <c r="AJ28" i="3" s="1"/>
  <c r="AJ29" i="3" s="1"/>
  <c r="AI27" i="3"/>
  <c r="AH27" i="3"/>
  <c r="AH28" i="3" s="1"/>
  <c r="AH29" i="3" s="1"/>
  <c r="AH30" i="3" s="1"/>
  <c r="AG27" i="3"/>
  <c r="AG28" i="3" s="1"/>
  <c r="AF27" i="3"/>
  <c r="AF28" i="3" s="1"/>
  <c r="AF29" i="3" s="1"/>
  <c r="AF30" i="3" s="1"/>
  <c r="AE27" i="3"/>
  <c r="AE28" i="3" s="1"/>
  <c r="AE29" i="3" s="1"/>
  <c r="AD27" i="3"/>
  <c r="AD28" i="3" s="1"/>
  <c r="AC27" i="3"/>
  <c r="AC28" i="3" s="1"/>
  <c r="AB27" i="3"/>
  <c r="AB28" i="3" s="1"/>
  <c r="AA27" i="3"/>
  <c r="AA28" i="3" s="1"/>
  <c r="AA29" i="3" s="1"/>
  <c r="AA30" i="3" s="1"/>
  <c r="Z27" i="3"/>
  <c r="Z28" i="3" s="1"/>
  <c r="Z29" i="3" s="1"/>
  <c r="Z30" i="3" s="1"/>
  <c r="Y27" i="3"/>
  <c r="Y28" i="3" s="1"/>
  <c r="X27" i="3"/>
  <c r="W27" i="3"/>
  <c r="V27" i="3"/>
  <c r="V28" i="3" s="1"/>
  <c r="V29" i="3" s="1"/>
  <c r="U27" i="3"/>
  <c r="U28" i="3" s="1"/>
  <c r="T27" i="3"/>
  <c r="T28" i="3" s="1"/>
  <c r="T29" i="3" s="1"/>
  <c r="T30" i="3" s="1"/>
  <c r="S27" i="3"/>
  <c r="S28" i="3" s="1"/>
  <c r="R27" i="3"/>
  <c r="R28" i="3" s="1"/>
  <c r="R29" i="3" s="1"/>
  <c r="R30" i="3" s="1"/>
  <c r="Q27" i="3"/>
  <c r="Q28" i="3" s="1"/>
  <c r="P27" i="3"/>
  <c r="P28" i="3" s="1"/>
  <c r="P29" i="3" s="1"/>
  <c r="P30" i="3" s="1"/>
  <c r="O27" i="3"/>
  <c r="O28" i="3" s="1"/>
  <c r="N27" i="3"/>
  <c r="N28" i="3" s="1"/>
  <c r="N29" i="3" s="1"/>
  <c r="N30" i="3" s="1"/>
  <c r="M27" i="3"/>
  <c r="M28" i="3" s="1"/>
  <c r="DE29" i="3" l="1"/>
  <c r="DE30" i="3" s="1"/>
  <c r="BY29" i="3"/>
  <c r="BY30" i="3" s="1"/>
  <c r="CO29" i="3"/>
  <c r="CO30" i="3" s="1"/>
  <c r="AS29" i="3"/>
  <c r="AS30" i="3" s="1"/>
  <c r="CZ29" i="3"/>
  <c r="CZ30" i="3" s="1"/>
  <c r="BQ29" i="3"/>
  <c r="BQ30" i="3" s="1"/>
  <c r="BT29" i="3"/>
  <c r="BT30" i="3" s="1"/>
  <c r="BI29" i="3"/>
  <c r="BI30" i="3" s="1"/>
  <c r="CB29" i="3"/>
  <c r="CB30" i="3" s="1"/>
  <c r="U29" i="3"/>
  <c r="U30" i="3" s="1"/>
  <c r="AD29" i="3"/>
  <c r="AD30" i="3" s="1"/>
  <c r="BV29" i="3"/>
  <c r="BV30" i="3" s="1"/>
  <c r="AT29" i="3"/>
  <c r="AT30" i="3" s="1"/>
  <c r="CR29" i="3"/>
  <c r="CR30" i="3" s="1"/>
  <c r="CY28" i="3"/>
  <c r="CY29" i="3" s="1"/>
  <c r="CY30" i="3" s="1"/>
  <c r="DS28" i="3"/>
  <c r="DS29" i="3" s="1"/>
  <c r="DS30" i="3" s="1"/>
  <c r="CJ29" i="3"/>
  <c r="CJ30" i="3" s="1"/>
  <c r="AI28" i="3"/>
  <c r="AI29" i="3" s="1"/>
  <c r="AI30" i="3" s="1"/>
  <c r="CE28" i="3"/>
  <c r="CE29" i="3" s="1"/>
  <c r="CE30" i="3" s="1"/>
  <c r="CI29" i="3"/>
  <c r="CI30" i="3" s="1"/>
  <c r="AB29" i="3"/>
  <c r="AB30" i="3" s="1"/>
  <c r="AM29" i="3"/>
  <c r="AM30" i="3" s="1"/>
  <c r="BO28" i="3"/>
  <c r="BO29" i="3" s="1"/>
  <c r="BO30" i="3" s="1"/>
  <c r="DO28" i="3"/>
  <c r="DO29" i="3" s="1"/>
  <c r="DO30" i="3" s="1"/>
  <c r="BK29" i="3"/>
  <c r="BK30" i="3" s="1"/>
  <c r="BR29" i="3"/>
  <c r="BR30" i="3" s="1"/>
  <c r="AJ30" i="3"/>
  <c r="CX30" i="3"/>
  <c r="DH29" i="3"/>
  <c r="DH30" i="3" s="1"/>
  <c r="X28" i="3"/>
  <c r="X29" i="3" s="1"/>
  <c r="X30" i="3" s="1"/>
  <c r="AU29" i="3"/>
  <c r="AU30" i="3" s="1"/>
  <c r="CH28" i="3"/>
  <c r="CH29" i="3" s="1"/>
  <c r="CH30" i="3" s="1"/>
  <c r="O29" i="3"/>
  <c r="O30" i="3" s="1"/>
  <c r="S29" i="3"/>
  <c r="S30" i="3" s="1"/>
  <c r="DG29" i="3"/>
  <c r="DG30" i="3" s="1"/>
  <c r="DK29" i="3"/>
  <c r="DK30" i="3" s="1"/>
  <c r="M29" i="3"/>
  <c r="M30" i="3" s="1"/>
  <c r="DB29" i="3"/>
  <c r="DB30" i="3" s="1"/>
  <c r="DM29" i="3"/>
  <c r="DM30" i="3" s="1"/>
  <c r="BX29" i="3"/>
  <c r="BX30" i="3" s="1"/>
  <c r="CL29" i="3"/>
  <c r="CL30" i="3" s="1"/>
  <c r="CD29" i="3"/>
  <c r="CD30" i="3" s="1"/>
  <c r="V30" i="3"/>
  <c r="DN29" i="3"/>
  <c r="DN30" i="3" s="1"/>
  <c r="AQ30" i="3"/>
  <c r="DD30" i="3"/>
  <c r="CW29" i="3"/>
  <c r="CW30" i="3" s="1"/>
  <c r="CG29" i="3"/>
  <c r="CG30" i="3" s="1"/>
  <c r="AC29" i="3"/>
  <c r="AC30" i="3" s="1"/>
  <c r="CT29" i="3"/>
  <c r="CT30" i="3" s="1"/>
  <c r="W28" i="3"/>
  <c r="W29" i="3" s="1"/>
  <c r="W30" i="3" s="1"/>
  <c r="DF30" i="3"/>
  <c r="AN29" i="3"/>
  <c r="AN30" i="3" s="1"/>
  <c r="AE30" i="3"/>
  <c r="AK30" i="3"/>
  <c r="BL29" i="3"/>
  <c r="BL30" i="3" s="1"/>
  <c r="AL30" i="3"/>
  <c r="BW29" i="3"/>
  <c r="BW30" i="3" s="1"/>
  <c r="CQ29" i="3"/>
  <c r="CQ30" i="3" s="1"/>
  <c r="BC30" i="3"/>
  <c r="BB30" i="3"/>
  <c r="BP30" i="3"/>
  <c r="CN30" i="3"/>
  <c r="Y29" i="3"/>
  <c r="Y30" i="3" s="1"/>
  <c r="BS29" i="3"/>
  <c r="BS30" i="3" s="1"/>
  <c r="AV29" i="3"/>
  <c r="AV30" i="3" s="1"/>
  <c r="CM29" i="3"/>
  <c r="CM30" i="3" s="1"/>
  <c r="BN30" i="3"/>
  <c r="AG29" i="3"/>
  <c r="AG30" i="3" s="1"/>
  <c r="BD29" i="3"/>
  <c r="BD30" i="3" s="1"/>
  <c r="DT29" i="3"/>
  <c r="DT30" i="3" s="1"/>
  <c r="DL29" i="3"/>
  <c r="DL30" i="3" s="1"/>
  <c r="DJ30" i="3"/>
  <c r="Q29" i="3"/>
  <c r="Q30" i="3" s="1"/>
  <c r="AX29" i="3"/>
  <c r="AX30" i="3" s="1"/>
  <c r="CA30" i="3"/>
  <c r="BZ30" i="3"/>
  <c r="AO29" i="3"/>
  <c r="AO30" i="3" s="1"/>
  <c r="AZ29" i="3"/>
  <c r="AZ30" i="3" s="1"/>
  <c r="BE29" i="3"/>
  <c r="BE30" i="3" s="1"/>
</calcChain>
</file>

<file path=xl/sharedStrings.xml><?xml version="1.0" encoding="utf-8"?>
<sst xmlns="http://schemas.openxmlformats.org/spreadsheetml/2006/main" count="451" uniqueCount="148">
  <si>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</si>
  <si>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</si>
  <si>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</si>
  <si>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</si>
  <si>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</si>
  <si>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</si>
  <si>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</si>
  <si>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</si>
  <si>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</si>
  <si>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</si>
  <si>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</si>
  <si>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</si>
  <si>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</si>
  <si>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</si>
  <si>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</si>
  <si>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</si>
  <si>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</si>
  <si>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</si>
  <si>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</si>
  <si>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</si>
  <si>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</si>
  <si>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</si>
  <si>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</si>
  <si>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</si>
  <si>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</si>
  <si>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</si>
  <si>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</si>
  <si>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</si>
  <si>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</si>
  <si>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</si>
  <si>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</si>
  <si>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</si>
  <si>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</si>
  <si>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</si>
  <si>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</si>
  <si>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</si>
  <si>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</si>
  <si>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</si>
  <si>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</si>
  <si>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</si>
  <si>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</si>
  <si>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</si>
  <si>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</si>
  <si>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</si>
  <si>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</si>
  <si>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</si>
  <si>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</si>
  <si>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</si>
  <si>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</si>
  <si>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</si>
  <si>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</si>
  <si>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</si>
  <si>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</si>
  <si>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</si>
  <si>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</si>
  <si>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</si>
  <si>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</si>
  <si>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</si>
  <si>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</si>
  <si>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</si>
  <si>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</si>
  <si>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</si>
  <si>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</si>
  <si>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</si>
  <si>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</si>
  <si>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</si>
  <si>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</si>
  <si>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</si>
  <si>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</si>
  <si>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</si>
  <si>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</si>
  <si>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</si>
  <si>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</si>
  <si>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</si>
  <si>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</si>
  <si>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</si>
  <si>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</si>
  <si>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</si>
  <si>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</si>
  <si>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</si>
  <si>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</si>
  <si>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</si>
  <si>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</si>
  <si>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</si>
  <si>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</si>
  <si>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</si>
  <si>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</si>
  <si>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</si>
  <si>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</si>
  <si>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</si>
  <si>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</si>
  <si>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</si>
  <si>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</si>
  <si>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</si>
  <si>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</si>
  <si>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</si>
  <si>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</si>
  <si>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t>APROVADO</t>
  </si>
  <si>
    <t>na presidência</t>
  </si>
  <si>
    <t>Hélder Oliveira</t>
  </si>
  <si>
    <r>
      <t xml:space="preserve">MOÇÃO DE APLAUSOS Nº 407/2025 – ALEXANDRE CAPRIOTTI - </t>
    </r>
    <r>
      <rPr>
        <sz val="11"/>
        <color theme="1"/>
        <rFont val="Arial"/>
        <family val="2"/>
      </rPr>
      <t>Ao Prefeito Gerson Pessoa pelo Centro de Especialidades Municipal.</t>
    </r>
  </si>
  <si>
    <r>
      <t xml:space="preserve">MOÇÃO DE APLAUSOS Nº 408/2025 – JOSIAS DA JUCO - </t>
    </r>
    <r>
      <rPr>
        <sz val="11"/>
        <color theme="1"/>
        <rFont val="Arial"/>
        <family val="2"/>
      </rPr>
      <t>Ao General Santiago Cesar França Budó, Comandante da 11ª Brigada de Infantaria Mecanizada e ao Coronel Leonardo Kuwabara, Comandante do 4º Batalhão de Infantaria Mecanizada pela realização da brilhante Solenidade de Abertura da Cápsula do Tempo, relativa ao início das obras de construção das instalações do atual 4º BIMEC, datada de 28 de agosto de 1921.</t>
    </r>
  </si>
  <si>
    <r>
      <t xml:space="preserve">MOÇÃO DE RECONHECIMENTO Nº 409/2025 – RODRIGO GANSINHO - </t>
    </r>
    <r>
      <rPr>
        <sz val="11"/>
        <color theme="1"/>
        <rFont val="Arial"/>
        <family val="2"/>
      </rPr>
      <t>Ao Professor Paulo Sérgio, conhecido como Serginho do Pestana, por seu valioso trabalho de transformação na vida de milhares de jovens através do esporte.</t>
    </r>
  </si>
  <si>
    <t>pela ausência do autor, será pautada na próxima sessão.</t>
  </si>
  <si>
    <t>Justicativa de ausência da Vereadora Lúcia da Saúde.</t>
  </si>
  <si>
    <r>
      <t xml:space="preserve">PROJETO DE LEI Nº 92/2025 - LÚCIA DA SAÚDE – </t>
    </r>
    <r>
      <rPr>
        <sz val="14"/>
        <color theme="1"/>
        <rFont val="Arial"/>
        <family val="2"/>
      </rPr>
      <t xml:space="preserve">Institui o Dia Mundial das Doenças Raras no Município de Osasco. </t>
    </r>
  </si>
  <si>
    <t>pela ausência da autora, será pautada na próxima sessão</t>
  </si>
  <si>
    <t>48ª SESSÃO ORDINÁRIA</t>
  </si>
  <si>
    <t>DIA 9 DE SETEMBRO DE 2025 - TERÇA-FEIRA</t>
  </si>
  <si>
    <t>Justicativa de ausência do Vereador Paulo Junior.</t>
  </si>
  <si>
    <t>Justicativa de ausência do Vereador Pedrinho Cantagessi.</t>
  </si>
  <si>
    <t>Justicativa de ausência do Vereador Heber do Juntoz.</t>
  </si>
  <si>
    <t>Projeto de Lei Nº 155/2025 - Prefeito do Município de Osasco – Dispõe sobre a abertura de crédito adicional especial ao orçamento vigente e dá outras providências.</t>
  </si>
  <si>
    <t>Projeto de Lei Nº 157/2025 - Prefeito do Município de Osasco - Dispões sobre a alteração da Lei n° 5.311, de 22 de dezembro de 2023, que autorizou o Poder Executivo a contratar operação de crédito internacional com o Fundo Financeiro para o Desenvolvimento da Bacia do Prata - FONPLATA, e a oferecer garantias.</t>
  </si>
  <si>
    <t xml:space="preserve">Ofício Prolegis nº 2025 – 03 16 74 56 – Prefeito do Município de Osasco – Informa a sanção da Lei nº 5.415, de 3 de setembro de 2025, referente ao Projeto de Lei nº28/2025, de autoria da vereadora Lúcia da Saúde, que institui o Dia Municipal das Pessoas Centenárias. </t>
  </si>
  <si>
    <t>Decretos 14.799, 14.800, 14.801 de agosto de 2025 – Prefeito do Município de Osasco – Dispõe sobre a abertura de crédito adicional suplementar ao orçamento vigente.</t>
  </si>
  <si>
    <t>Decreto nº 14.802 de 3 de setembro de 2025 – Prefeito do Município de Osasco – Dispõe sobre a abertura de crédito adicional especial ao orçamento vigente.</t>
  </si>
  <si>
    <t>Decreto nº 14.803, de 3 de setembro de 2025 – Prefeito do Município de Osasco - Dispõe sobre a abertura de crédito adicional suplementar ao orçamento vigente.</t>
  </si>
  <si>
    <t xml:space="preserve">Projeto de Decreto Legislativo nº 66/2023 – Josias da Juco – Dispõe sobre a concessão de cartão de prata a escola estadual programa ensino integral José Ribeiro de Souza. </t>
  </si>
  <si>
    <t>Projeto de Decreto Legislativo nº 67/2024 – Josias da Juco – Dispõe sobre a concessão de título de cidadão osasquense ao senhor Carlos Fernando Zuppo Franco.</t>
  </si>
  <si>
    <t xml:space="preserve">Projeto de Decreto Legislativo nº 24/2025 – Josias da Juco – Dispõe sobre a concessão de título de cidadão osasquense ao senhor Sebastião Bognar. </t>
  </si>
  <si>
    <t xml:space="preserve">Projeto de Lei nº 130/2025 – Gabriel Saúde – Institui o Programa Conecta Oz, que estabelece serviço de transporte individual or aplicativo gratuito para usuários do SUS em tratamento de saúde. </t>
  </si>
  <si>
    <t xml:space="preserve">Projeto de Lei nº 151/2025 – Ralfi Silva – Dispõe sobre o fornecimento gratuito de vacinas essenciais a animais domésticos. </t>
  </si>
  <si>
    <t xml:space="preserve">Projeto de Lei nº 152/2025 – Ralfi Silva – Dispõe sobre a revogação da Lei nº 3.587, de 14 de dezembro de 2000, que institui no calendário oficial de eventos do Município de Osasco a Festa do Peão Boiadeiro. </t>
  </si>
  <si>
    <t xml:space="preserve">Projeto de Lei nº 153/2025 – Ralfi Silva – institui o botão do pânico nas unidades de saúde do Município de Osasco </t>
  </si>
  <si>
    <t>Projeto de Lei nº 156/2025 – Paulo Júnior - Estabelece diretrizes para a promoção da saúde mental e o gerenciamento de riscos psicossociais por empresas prestadoras de serviços à administração pública municipal de Osasco.</t>
  </si>
  <si>
    <r>
      <t xml:space="preserve">MOÇÃO DE CONGRATULAÇÕES Nº 419/2025 – DÉLBIO TERUEL - </t>
    </r>
    <r>
      <rPr>
        <sz val="11"/>
        <color theme="1"/>
        <rFont val="Arial"/>
        <family val="2"/>
      </rPr>
      <t>À Sra. Veronica Machado, pelos relevantes serviços prestados à sociedade, através do fortalecimento do terceiro setor e promoção do empreendedorismo social inclusivo.</t>
    </r>
  </si>
  <si>
    <r>
      <t xml:space="preserve">MOÇÃO DE CONGRATULAÇÕES Nº 420/2025 – STEPHANE ROSSI - </t>
    </r>
    <r>
      <rPr>
        <sz val="11"/>
        <color theme="1"/>
        <rFont val="Arial"/>
        <family val="2"/>
      </rPr>
      <t>Ao Dia do Administrador, comemorado em 9 de setembro.</t>
    </r>
  </si>
  <si>
    <t>pela ausência da autora, será pautada na próxima sessão.</t>
  </si>
  <si>
    <r>
      <t xml:space="preserve">MOÇÃO DE APLAUSOS Nº 421/2025 – PAULO JÚNIOR – </t>
    </r>
    <r>
      <rPr>
        <sz val="11"/>
        <color theme="1"/>
        <rFont val="Arial"/>
        <family val="2"/>
      </rPr>
      <t>Ao Sr. Valdemir da Silva Assis, motorista de caminhão-pipa que parou o veículo no meio da Marginal Tietê, para apagar as chamas de um carro que pegou fogo, em um ato de amor ao próximo que viralizou em todo Brasil.</t>
    </r>
  </si>
  <si>
    <r>
      <t>MOÇÃO DE APLAUSOS Nº 423/2025 – BATISTA COMUNIDADE –</t>
    </r>
    <r>
      <rPr>
        <sz val="11"/>
        <color theme="1"/>
        <rFont val="Arial"/>
        <family val="2"/>
      </rPr>
      <t xml:space="preserve"> Para Gabrielly Silva Rodrigues por seu talento ao representar a cidade de Osasco nas passarelas.</t>
    </r>
  </si>
  <si>
    <r>
      <t xml:space="preserve">MOÇÃO DE CONGRATULAÇÕES Nº 424/2025 – PAULO JÚNIOR - </t>
    </r>
    <r>
      <rPr>
        <sz val="11"/>
        <color theme="1"/>
        <rFont val="Arial"/>
        <family val="2"/>
      </rPr>
      <t>À Escola Municipal de Ensino Fundamental Oscar Pennacino, cuja história de quase quatro décadas se confunde com a luta diária por uma educação humana, transformadora e de qualidade.</t>
    </r>
  </si>
  <si>
    <r>
      <t xml:space="preserve">MOÇÃO DE APLAUSOS Nº 425/2025 – DÉLBIO TERUEL – </t>
    </r>
    <r>
      <rPr>
        <sz val="11"/>
        <color theme="1"/>
        <rFont val="Arial"/>
        <family val="2"/>
      </rPr>
      <t>À Sra. Kelly Sthefany Soares por sua inspiradora trajetória de vida e carreira profissional, marcada pela dedicação, superação e exemplo de determinação para toda a comunidade osasquense.</t>
    </r>
  </si>
  <si>
    <r>
      <t xml:space="preserve">MOÇÃO DE RECONHECIMENTO Nº 427/2025 – GABRIEL SAÚDE – </t>
    </r>
    <r>
      <rPr>
        <sz val="11"/>
        <color theme="1"/>
        <rFont val="Arial"/>
        <family val="2"/>
      </rPr>
      <t>Ao senhor Ido Crispim, pelos relevantes serviços prestados à odontologia, ao empreendedorismo e à comunidade osasquense.</t>
    </r>
  </si>
  <si>
    <r>
      <t>MOÇÃO DE APLAUSOS Nº 428/2025 – CANTOR GOLEIRO –</t>
    </r>
    <r>
      <rPr>
        <sz val="11"/>
        <color theme="1"/>
        <rFont val="Arial"/>
        <family val="2"/>
      </rPr>
      <t xml:space="preserve"> À Regine Cândida dos Santos, pela sua excelência, dedicação e compromisso com a educação pública.</t>
    </r>
  </si>
  <si>
    <r>
      <t>MOÇÃO DE CONGRATULAÇÕES Nº 429/2025 – CARMÔNIO BASTOS -</t>
    </r>
    <r>
      <rPr>
        <sz val="11"/>
        <color theme="1"/>
        <rFont val="Arial"/>
        <family val="2"/>
      </rPr>
      <t xml:space="preserve"> Pelo aniversário do Bairro Presidente Altino, comemorado oficialmente em 09 de setembro.</t>
    </r>
  </si>
  <si>
    <r>
      <t xml:space="preserve">MOÇÃO DE APLAUSOS Nº 430/2025 – JOSIAS DA JUCO - </t>
    </r>
    <r>
      <rPr>
        <sz val="11"/>
        <color theme="1"/>
        <rFont val="Arial"/>
        <family val="2"/>
      </rPr>
      <t>À Secretaria de Educação, na pessoa do Secretário José Toste, pelo resultado conquistado no índice de Excelência Educacional.</t>
    </r>
  </si>
  <si>
    <r>
      <t xml:space="preserve">MOÇÃO DE RECONHECIMENTO Nº 431/2025 – GUILHERME PRADO – </t>
    </r>
    <r>
      <rPr>
        <sz val="11"/>
        <color theme="1"/>
        <rFont val="Arial"/>
        <family val="2"/>
      </rPr>
      <t>À Pizzaria Vila das Castanheiras, representada pelos irmãos e empresários Reginaldo e Renato Espósito, por sua trajetória de mais de três décadas em Osasco.</t>
    </r>
  </si>
  <si>
    <r>
      <t xml:space="preserve">MOÇÃO DE PESAR Nº 439/2025 – JOSIAS DA JUCO – </t>
    </r>
    <r>
      <rPr>
        <sz val="11"/>
        <color theme="1"/>
        <rFont val="Arial"/>
        <family val="2"/>
      </rPr>
      <t xml:space="preserve"> Pelo
falecimento do pequeno Asafe Soares Fernandes, de apenas 1 ano e 6 meses, neto da Vereadora Lúcia
da Saúde e filho de Nicoli Geovana Soares de Souza e Leonardo Fernandes Moura.</t>
    </r>
  </si>
  <si>
    <r>
      <t xml:space="preserve">MOÇÃO DE APLAUSOS Nº 433/2025 – HÉLDER OLIVEIRA – </t>
    </r>
    <r>
      <rPr>
        <sz val="11"/>
        <color theme="1"/>
        <rFont val="Arial"/>
        <family val="2"/>
      </rPr>
      <t>Ao Prefeito Gerson Pessoa e aos organizadores do evento de 07 de setembro, realizado na
cidade de Osasco, no último domingo.</t>
    </r>
  </si>
  <si>
    <r>
      <t xml:space="preserve">PROJETO DE LEI COMPLEMENTAR Nº 7/2025 - PREFEITO DO MUNICÍPIO DE OSASCO -  </t>
    </r>
    <r>
      <rPr>
        <sz val="14"/>
        <color theme="1"/>
        <rFont val="Arial"/>
        <family val="2"/>
      </rPr>
      <t xml:space="preserve">Altera a Lei Complementar n° 389, de 30 
de dezembro de 2020, que disciplina e 
estabelece a arquitetura organizacional 
e administrativa da estrutura de pessoal 
da' hierarquia superior da Administração 
Direta do Executivo Municipal de 
Osasco e constitui diretrizes gerais 
obrigatórias para as demais leis que 
tratarem do tema. </t>
    </r>
  </si>
  <si>
    <r>
      <t xml:space="preserve">PROJETO DE LEI Nº 93/2025 - LÚCIA DA SAÚDE – </t>
    </r>
    <r>
      <rPr>
        <sz val="11"/>
        <color theme="1"/>
        <rFont val="Arial"/>
        <family val="2"/>
      </rPr>
      <t>Institui a Semana de Prevenção e Apoio à Ansiedade no Município de Osasco.</t>
    </r>
  </si>
  <si>
    <r>
      <t xml:space="preserve">APROVADO
</t>
    </r>
    <r>
      <rPr>
        <b/>
        <sz val="12"/>
        <color rgb="FF00B050"/>
        <rFont val="Arial"/>
        <family val="2"/>
      </rPr>
      <t>VOTAÇÃO SIMBÓLICA</t>
    </r>
  </si>
  <si>
    <r>
      <t xml:space="preserve">PROJETO DE LEI Nº 141/25 - BATISTA COMUNIDADE - </t>
    </r>
    <r>
      <rPr>
        <sz val="11"/>
        <color theme="1"/>
        <rFont val="Arial"/>
        <family val="2"/>
      </rPr>
      <t>Institui o Dia Municipal do Opala.</t>
    </r>
  </si>
  <si>
    <r>
      <t xml:space="preserve">PROJETO DE LEI Nº 144/25 - STEPHANE ROSSI - </t>
    </r>
    <r>
      <rPr>
        <sz val="11"/>
        <color theme="1"/>
        <rFont val="Arial"/>
        <family val="2"/>
      </rPr>
      <t>Institui a Semana Municipal de Incentivo à Adoção de Crianças e Adolescentes.</t>
    </r>
  </si>
  <si>
    <r>
      <t>PROJETO DE LEI Nº 145/2025 – GUILHERME PRADO -</t>
    </r>
    <r>
      <rPr>
        <sz val="11"/>
        <color theme="1"/>
        <rFont val="Arial"/>
        <family val="2"/>
      </rPr>
      <t xml:space="preserve"> Institui a Semana municipal da Mãe Atípica.</t>
    </r>
  </si>
  <si>
    <r>
      <t xml:space="preserve">PROJETO DE DECRETO LEGISLATIVO Nº 63/2024 – PAULO JÚNIOR - </t>
    </r>
    <r>
      <rPr>
        <sz val="11"/>
        <color theme="1"/>
        <rFont val="Arial"/>
        <family val="2"/>
      </rPr>
      <t xml:space="preserve">Dispõe sobre a concessão de Placa Comemorativa à Igreja Nova Jerusalém Osasco. </t>
    </r>
  </si>
  <si>
    <t>pela ausência do autor, será pautado na próxima sessão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</si>
</sst>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
      <b/>
      <sz val="16"/>
      <color rgb="FF00B050"/>
      <name val="Arial"/>
      <family val="2"/>
    </font>
    <font>
      <b/>
      <sz val="18"/>
      <color rgb="FF00B050"/>
      <name val="Arial"/>
      <family val="2"/>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2">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6" fillId="0" borderId="1" xfId="0" applyFont="1" applyBorder="1" applyAlignment="1">
      <alignment horizontal="justify" vertical="top"/>
    </xf>
    <xf numFmtId="0" fontId="4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48"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sheetData sheetId="1">
        <row r="7">
          <cell r="B7" t="str">
            <v>EXPEDIENTE</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election activeCell="K16" sqref="K16"/>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6" t="s">
        <v>29</v>
      </c>
      <c r="C1" s="147"/>
      <c r="D1" s="147"/>
      <c r="E1" s="147"/>
      <c r="F1" s="147"/>
      <c r="G1" s="147"/>
      <c r="H1" s="147"/>
      <c r="I1" s="147"/>
      <c r="J1" s="147"/>
      <c r="K1" s="147"/>
      <c r="L1" s="147"/>
      <c r="M1" s="147"/>
      <c r="N1" s="70"/>
      <c r="O1" s="70"/>
      <c r="P1" s="70"/>
      <c r="Q1" s="40">
        <v>1</v>
      </c>
      <c r="R1" s="36" t="s">
        <v>10</v>
      </c>
      <c r="T1" s="150"/>
      <c r="U1" s="150"/>
      <c r="V1" s="150"/>
      <c r="W1" s="150"/>
      <c r="X1" s="150"/>
      <c r="Y1" s="150"/>
      <c r="Z1" s="7" t="s">
        <v>16</v>
      </c>
    </row>
    <row r="2" spans="1:28" ht="19.5" customHeight="1">
      <c r="A2" s="83" t="s">
        <v>107</v>
      </c>
      <c r="B2" s="148"/>
      <c r="C2" s="149"/>
      <c r="D2" s="149"/>
      <c r="E2" s="149"/>
      <c r="F2" s="149"/>
      <c r="G2" s="149"/>
      <c r="H2" s="149"/>
      <c r="I2" s="149"/>
      <c r="J2" s="149"/>
      <c r="K2" s="149"/>
      <c r="L2" s="149"/>
      <c r="M2" s="149"/>
      <c r="N2" s="70"/>
      <c r="O2" s="70"/>
      <c r="P2" s="70"/>
      <c r="Q2" s="35">
        <v>2</v>
      </c>
      <c r="R2" s="36" t="s">
        <v>11</v>
      </c>
      <c r="T2" s="150"/>
      <c r="U2" s="150"/>
      <c r="V2" s="150"/>
      <c r="W2" s="150"/>
      <c r="X2" s="150"/>
      <c r="Y2" s="150"/>
      <c r="Z2" s="7" t="s">
        <v>17</v>
      </c>
    </row>
    <row r="3" spans="1:28" ht="19.5" customHeight="1" thickBot="1">
      <c r="A3" s="83" t="s">
        <v>108</v>
      </c>
      <c r="B3" s="148"/>
      <c r="C3" s="149"/>
      <c r="D3" s="149"/>
      <c r="E3" s="149"/>
      <c r="F3" s="149"/>
      <c r="G3" s="149"/>
      <c r="H3" s="149"/>
      <c r="I3" s="149"/>
      <c r="J3" s="149"/>
      <c r="K3" s="149"/>
      <c r="L3" s="149"/>
      <c r="M3" s="149"/>
      <c r="N3" s="70"/>
      <c r="O3" s="70"/>
      <c r="P3" s="70"/>
      <c r="Q3" s="41">
        <v>3</v>
      </c>
      <c r="R3" s="37" t="s">
        <v>12</v>
      </c>
      <c r="T3" s="150"/>
      <c r="U3" s="150"/>
      <c r="V3" s="150"/>
      <c r="W3" s="150"/>
      <c r="X3" s="150"/>
      <c r="Y3" s="150"/>
    </row>
    <row r="4" spans="1:28" ht="46.5" thickBot="1">
      <c r="A4" s="47"/>
      <c r="B4" s="87"/>
      <c r="C4" s="92" t="s">
        <v>90</v>
      </c>
      <c r="D4" s="92"/>
      <c r="E4" s="92"/>
      <c r="F4" s="44"/>
      <c r="G4" s="43" t="s">
        <v>53</v>
      </c>
      <c r="H4" s="43"/>
      <c r="I4" s="69" t="s">
        <v>51</v>
      </c>
      <c r="J4" s="45"/>
      <c r="K4" s="43" t="s">
        <v>30</v>
      </c>
      <c r="L4" s="45"/>
      <c r="M4" s="43" t="s">
        <v>30</v>
      </c>
      <c r="N4" s="45"/>
      <c r="O4" s="43" t="s">
        <v>47</v>
      </c>
      <c r="P4" s="45"/>
      <c r="Q4" s="42"/>
      <c r="R4" s="61" t="s">
        <v>9</v>
      </c>
      <c r="S4" s="93"/>
      <c r="T4" s="150"/>
      <c r="U4" s="150"/>
      <c r="V4" s="150"/>
      <c r="W4" s="150"/>
      <c r="X4" s="150"/>
      <c r="Y4" s="150"/>
    </row>
    <row r="5" spans="1:28" ht="18" customHeight="1">
      <c r="A5" s="46" t="s">
        <v>54</v>
      </c>
      <c r="B5" s="88">
        <v>1</v>
      </c>
      <c r="C5" s="62" t="s">
        <v>55</v>
      </c>
      <c r="D5" s="63"/>
      <c r="E5" s="62"/>
      <c r="F5" s="88">
        <v>1</v>
      </c>
      <c r="G5" s="62" t="s">
        <v>55</v>
      </c>
      <c r="H5" s="63"/>
      <c r="I5" s="62"/>
      <c r="J5" s="63">
        <v>1</v>
      </c>
      <c r="K5" s="62" t="s">
        <v>55</v>
      </c>
      <c r="L5" s="125"/>
      <c r="M5" s="126"/>
      <c r="N5" s="63"/>
      <c r="O5" s="62"/>
      <c r="P5" s="63"/>
      <c r="Q5" s="63"/>
      <c r="R5" s="102"/>
      <c r="S5" s="115"/>
      <c r="T5" s="150"/>
      <c r="U5" s="150"/>
      <c r="V5" s="150"/>
      <c r="W5" s="150"/>
      <c r="X5" s="150"/>
      <c r="Y5" s="150"/>
    </row>
    <row r="6" spans="1:28" ht="18" customHeight="1">
      <c r="A6" s="46" t="s">
        <v>94</v>
      </c>
      <c r="B6" s="88">
        <v>1</v>
      </c>
      <c r="C6" s="62" t="s">
        <v>55</v>
      </c>
      <c r="D6" s="63"/>
      <c r="E6" s="102"/>
      <c r="F6" s="88">
        <v>1</v>
      </c>
      <c r="G6" s="62" t="s">
        <v>55</v>
      </c>
      <c r="H6" s="63"/>
      <c r="I6" s="62"/>
      <c r="J6" s="63">
        <v>1</v>
      </c>
      <c r="K6" s="62" t="s">
        <v>55</v>
      </c>
      <c r="L6" s="67"/>
      <c r="M6" s="65"/>
      <c r="N6" s="63"/>
      <c r="O6" s="62"/>
      <c r="P6" s="63"/>
      <c r="Q6" s="63"/>
      <c r="R6" s="102"/>
      <c r="S6" s="89"/>
      <c r="T6" s="150"/>
      <c r="U6" s="150"/>
      <c r="V6" s="150"/>
      <c r="W6" s="150"/>
      <c r="X6" s="150"/>
      <c r="Y6" s="150"/>
    </row>
    <row r="7" spans="1:28" ht="18" customHeight="1">
      <c r="A7" s="46" t="s">
        <v>57</v>
      </c>
      <c r="B7" s="88">
        <v>1</v>
      </c>
      <c r="C7" s="62" t="s">
        <v>55</v>
      </c>
      <c r="D7" s="63"/>
      <c r="E7" s="62"/>
      <c r="F7" s="88">
        <v>1</v>
      </c>
      <c r="G7" s="62" t="s">
        <v>55</v>
      </c>
      <c r="H7" s="63"/>
      <c r="I7" s="62"/>
      <c r="J7" s="63">
        <v>1</v>
      </c>
      <c r="K7" s="62" t="s">
        <v>55</v>
      </c>
      <c r="L7" s="67"/>
      <c r="M7" s="65"/>
      <c r="N7" s="63"/>
      <c r="O7" s="62"/>
      <c r="P7" s="63"/>
      <c r="Q7" s="63"/>
      <c r="R7" s="102"/>
      <c r="S7" s="89"/>
      <c r="T7" s="150"/>
      <c r="U7" s="150"/>
      <c r="V7" s="150"/>
      <c r="W7" s="150"/>
      <c r="X7" s="150"/>
      <c r="Y7" s="150"/>
    </row>
    <row r="8" spans="1:28" ht="18" customHeight="1">
      <c r="A8" s="82" t="s">
        <v>58</v>
      </c>
      <c r="B8" s="88">
        <v>1</v>
      </c>
      <c r="C8" s="62" t="s">
        <v>55</v>
      </c>
      <c r="D8" s="63"/>
      <c r="E8" s="62"/>
      <c r="F8" s="88">
        <v>1</v>
      </c>
      <c r="G8" s="62" t="s">
        <v>55</v>
      </c>
      <c r="H8" s="63"/>
      <c r="I8" s="62"/>
      <c r="J8" s="63">
        <v>1</v>
      </c>
      <c r="K8" s="62" t="s">
        <v>55</v>
      </c>
      <c r="L8" s="67"/>
      <c r="M8" s="65"/>
      <c r="N8" s="63"/>
      <c r="O8" s="62"/>
      <c r="P8" s="63"/>
      <c r="Q8" s="63"/>
      <c r="R8" s="62"/>
      <c r="S8" s="89"/>
      <c r="T8" s="150"/>
      <c r="U8" s="150"/>
      <c r="V8" s="150"/>
      <c r="W8" s="150"/>
      <c r="X8" s="150"/>
      <c r="Y8" s="150"/>
    </row>
    <row r="9" spans="1:28" ht="18" customHeight="1">
      <c r="A9" s="46" t="s">
        <v>28</v>
      </c>
      <c r="B9" s="88">
        <v>1</v>
      </c>
      <c r="C9" s="62" t="s">
        <v>55</v>
      </c>
      <c r="D9" s="63"/>
      <c r="E9" s="62"/>
      <c r="F9" s="88">
        <v>1</v>
      </c>
      <c r="G9" s="62" t="s">
        <v>55</v>
      </c>
      <c r="H9" s="63"/>
      <c r="I9" s="62"/>
      <c r="J9" s="63">
        <v>1</v>
      </c>
      <c r="K9" s="62" t="s">
        <v>55</v>
      </c>
      <c r="L9" s="67"/>
      <c r="M9" s="65"/>
      <c r="N9" s="63"/>
      <c r="O9" s="62"/>
      <c r="P9" s="63"/>
      <c r="Q9" s="63"/>
      <c r="R9" s="102"/>
      <c r="S9" s="89"/>
      <c r="T9" s="150"/>
      <c r="U9" s="150"/>
      <c r="V9" s="150"/>
      <c r="W9" s="150"/>
      <c r="X9" s="150"/>
      <c r="Y9" s="150"/>
    </row>
    <row r="10" spans="1:28" ht="18" customHeight="1">
      <c r="A10" s="46" t="s">
        <v>59</v>
      </c>
      <c r="B10" s="88">
        <v>2</v>
      </c>
      <c r="C10" s="102" t="s">
        <v>56</v>
      </c>
      <c r="D10" s="63"/>
      <c r="E10" s="62"/>
      <c r="F10" s="88">
        <v>1</v>
      </c>
      <c r="G10" s="62" t="s">
        <v>55</v>
      </c>
      <c r="H10" s="63"/>
      <c r="I10" s="62"/>
      <c r="J10" s="63">
        <v>2</v>
      </c>
      <c r="K10" s="102" t="s">
        <v>56</v>
      </c>
      <c r="L10" s="67"/>
      <c r="M10" s="65"/>
      <c r="N10" s="63"/>
      <c r="O10" s="102"/>
      <c r="P10" s="63"/>
      <c r="Q10" s="63"/>
      <c r="R10" s="62"/>
      <c r="S10" s="89"/>
      <c r="T10" s="150"/>
      <c r="U10" s="150"/>
      <c r="V10" s="150"/>
      <c r="W10" s="150"/>
      <c r="X10" s="150"/>
      <c r="Y10" s="150"/>
    </row>
    <row r="11" spans="1:28" ht="20.25">
      <c r="A11" s="46" t="s">
        <v>22</v>
      </c>
      <c r="B11" s="88">
        <v>1</v>
      </c>
      <c r="C11" s="62" t="s">
        <v>55</v>
      </c>
      <c r="D11" s="63"/>
      <c r="E11" s="62"/>
      <c r="F11" s="88">
        <v>1</v>
      </c>
      <c r="G11" s="62" t="s">
        <v>55</v>
      </c>
      <c r="H11" s="63"/>
      <c r="I11" s="62"/>
      <c r="J11" s="63">
        <v>1</v>
      </c>
      <c r="K11" s="62" t="s">
        <v>55</v>
      </c>
      <c r="L11" s="67"/>
      <c r="M11" s="65"/>
      <c r="N11" s="63"/>
      <c r="O11" s="62"/>
      <c r="P11" s="63"/>
      <c r="Q11" s="63"/>
      <c r="R11" s="62"/>
      <c r="S11" s="90"/>
      <c r="T11" s="150"/>
      <c r="U11" s="150"/>
      <c r="V11" s="150"/>
      <c r="W11" s="150"/>
      <c r="X11" s="150"/>
      <c r="Y11" s="150"/>
    </row>
    <row r="12" spans="1:28" ht="18" customHeight="1">
      <c r="A12" s="46" t="s">
        <v>23</v>
      </c>
      <c r="B12" s="88">
        <v>1</v>
      </c>
      <c r="C12" s="62" t="s">
        <v>55</v>
      </c>
      <c r="D12" s="63"/>
      <c r="E12" s="102"/>
      <c r="F12" s="88">
        <v>1</v>
      </c>
      <c r="G12" s="62" t="s">
        <v>55</v>
      </c>
      <c r="H12" s="63"/>
      <c r="I12" s="68"/>
      <c r="J12" s="63">
        <v>1</v>
      </c>
      <c r="K12" s="62" t="s">
        <v>55</v>
      </c>
      <c r="L12" s="67"/>
      <c r="M12" s="65"/>
      <c r="N12" s="63"/>
      <c r="O12" s="62"/>
      <c r="P12" s="63"/>
      <c r="Q12" s="63"/>
      <c r="R12" s="102"/>
      <c r="S12" s="91"/>
      <c r="T12" s="150"/>
      <c r="U12" s="150"/>
      <c r="V12" s="150"/>
      <c r="W12" s="150"/>
      <c r="X12" s="150"/>
      <c r="Y12" s="150"/>
      <c r="AB12" s="12"/>
    </row>
    <row r="13" spans="1:28" ht="18" customHeight="1">
      <c r="A13" s="46" t="s">
        <v>24</v>
      </c>
      <c r="B13" s="88">
        <v>1</v>
      </c>
      <c r="C13" s="62" t="s">
        <v>55</v>
      </c>
      <c r="D13" s="63"/>
      <c r="E13" s="62"/>
      <c r="F13" s="88">
        <v>1</v>
      </c>
      <c r="G13" s="62" t="s">
        <v>55</v>
      </c>
      <c r="H13" s="63"/>
      <c r="I13" s="62"/>
      <c r="J13" s="63">
        <v>1</v>
      </c>
      <c r="K13" s="62" t="s">
        <v>55</v>
      </c>
      <c r="L13" s="67"/>
      <c r="M13" s="65"/>
      <c r="N13" s="63"/>
      <c r="O13" s="62"/>
      <c r="P13" s="63"/>
      <c r="Q13" s="63"/>
      <c r="R13" s="102"/>
      <c r="S13" s="91"/>
      <c r="T13" s="150"/>
      <c r="U13" s="150"/>
      <c r="V13" s="150"/>
      <c r="W13" s="150"/>
      <c r="X13" s="150"/>
      <c r="Y13" s="150"/>
    </row>
    <row r="14" spans="1:28" ht="18" customHeight="1">
      <c r="A14" s="46" t="s">
        <v>60</v>
      </c>
      <c r="B14" s="88">
        <v>1</v>
      </c>
      <c r="C14" s="62" t="s">
        <v>55</v>
      </c>
      <c r="D14" s="63"/>
      <c r="E14" s="62"/>
      <c r="F14" s="88">
        <v>1</v>
      </c>
      <c r="G14" s="62" t="s">
        <v>55</v>
      </c>
      <c r="H14" s="63"/>
      <c r="I14" s="62"/>
      <c r="J14" s="63">
        <v>2</v>
      </c>
      <c r="K14" s="102" t="s">
        <v>56</v>
      </c>
      <c r="L14" s="67"/>
      <c r="M14" s="65"/>
      <c r="N14" s="63"/>
      <c r="O14" s="62"/>
      <c r="P14" s="63"/>
      <c r="Q14" s="63"/>
      <c r="R14" s="102"/>
      <c r="S14" s="91"/>
      <c r="T14" s="150"/>
      <c r="U14" s="150"/>
      <c r="V14" s="150"/>
      <c r="W14" s="150"/>
      <c r="X14" s="150"/>
      <c r="Y14" s="150"/>
    </row>
    <row r="15" spans="1:28" ht="18" customHeight="1">
      <c r="A15" s="46" t="s">
        <v>61</v>
      </c>
      <c r="B15" s="88">
        <v>2</v>
      </c>
      <c r="C15" s="102" t="s">
        <v>56</v>
      </c>
      <c r="D15" s="63"/>
      <c r="E15" s="62"/>
      <c r="F15" s="88">
        <v>2</v>
      </c>
      <c r="G15" s="102" t="s">
        <v>56</v>
      </c>
      <c r="H15" s="63"/>
      <c r="I15" s="62"/>
      <c r="J15" s="63">
        <v>1</v>
      </c>
      <c r="K15" s="62" t="s">
        <v>55</v>
      </c>
      <c r="L15" s="67"/>
      <c r="M15" s="65"/>
      <c r="N15" s="63"/>
      <c r="O15" s="62"/>
      <c r="P15" s="63"/>
      <c r="Q15" s="63"/>
      <c r="R15" s="102"/>
      <c r="S15" s="91"/>
      <c r="T15" s="150"/>
      <c r="U15" s="150"/>
      <c r="V15" s="150"/>
      <c r="W15" s="150"/>
      <c r="X15" s="150"/>
      <c r="Y15" s="150"/>
    </row>
    <row r="16" spans="1:28" ht="18" customHeight="1">
      <c r="A16" s="46" t="s">
        <v>62</v>
      </c>
      <c r="B16" s="88">
        <v>2</v>
      </c>
      <c r="C16" s="102" t="s">
        <v>56</v>
      </c>
      <c r="D16" s="63"/>
      <c r="E16" s="62"/>
      <c r="F16" s="88">
        <v>2</v>
      </c>
      <c r="G16" s="102" t="s">
        <v>56</v>
      </c>
      <c r="H16" s="63"/>
      <c r="I16" s="62"/>
      <c r="J16" s="63">
        <v>2</v>
      </c>
      <c r="K16" s="102" t="s">
        <v>56</v>
      </c>
      <c r="L16" s="67"/>
      <c r="M16" s="65"/>
      <c r="N16" s="63"/>
      <c r="O16" s="62"/>
      <c r="P16" s="63"/>
      <c r="Q16" s="63"/>
      <c r="R16" s="102"/>
      <c r="S16" s="91"/>
      <c r="T16" s="150"/>
      <c r="U16" s="150"/>
      <c r="V16" s="150"/>
      <c r="W16" s="150"/>
      <c r="X16" s="150"/>
      <c r="Y16" s="150"/>
    </row>
    <row r="17" spans="1:28" ht="18.75" customHeight="1">
      <c r="A17" s="46" t="s">
        <v>25</v>
      </c>
      <c r="B17" s="88">
        <v>2</v>
      </c>
      <c r="C17" s="102" t="s">
        <v>56</v>
      </c>
      <c r="D17" s="63"/>
      <c r="E17" s="62"/>
      <c r="F17" s="88">
        <v>2</v>
      </c>
      <c r="G17" s="102" t="s">
        <v>56</v>
      </c>
      <c r="H17" s="63"/>
      <c r="I17" s="68"/>
      <c r="J17" s="63">
        <v>1</v>
      </c>
      <c r="K17" s="62" t="s">
        <v>55</v>
      </c>
      <c r="L17" s="67"/>
      <c r="M17" s="65"/>
      <c r="N17" s="63"/>
      <c r="O17" s="62"/>
      <c r="P17" s="63"/>
      <c r="Q17" s="63"/>
      <c r="R17" s="102"/>
      <c r="S17" s="91"/>
      <c r="T17" s="150"/>
      <c r="U17" s="150"/>
      <c r="V17" s="150"/>
      <c r="W17" s="150"/>
      <c r="X17" s="150"/>
      <c r="Y17" s="150"/>
    </row>
    <row r="18" spans="1:28" ht="17.25" customHeight="1">
      <c r="A18" s="46" t="s">
        <v>63</v>
      </c>
      <c r="B18" s="88">
        <v>1</v>
      </c>
      <c r="C18" s="62" t="s">
        <v>55</v>
      </c>
      <c r="D18" s="63"/>
      <c r="E18" s="62"/>
      <c r="F18" s="88">
        <v>1</v>
      </c>
      <c r="G18" s="62" t="s">
        <v>55</v>
      </c>
      <c r="H18" s="63"/>
      <c r="I18" s="62"/>
      <c r="J18" s="63">
        <v>1</v>
      </c>
      <c r="K18" s="62" t="s">
        <v>55</v>
      </c>
      <c r="L18" s="67"/>
      <c r="M18" s="65"/>
      <c r="N18" s="63"/>
      <c r="O18" s="62"/>
      <c r="P18" s="63"/>
      <c r="Q18" s="63"/>
      <c r="R18" s="102"/>
      <c r="S18" s="91"/>
      <c r="T18" s="150"/>
      <c r="U18" s="150"/>
      <c r="V18" s="150"/>
      <c r="W18" s="150"/>
      <c r="X18" s="150"/>
      <c r="Y18" s="150"/>
    </row>
    <row r="19" spans="1:28" ht="18" customHeight="1">
      <c r="A19" s="46" t="s">
        <v>95</v>
      </c>
      <c r="B19" s="88">
        <v>2</v>
      </c>
      <c r="C19" s="102" t="s">
        <v>56</v>
      </c>
      <c r="D19" s="63"/>
      <c r="E19" s="102"/>
      <c r="F19" s="88">
        <v>2</v>
      </c>
      <c r="G19" s="102" t="s">
        <v>56</v>
      </c>
      <c r="H19" s="63"/>
      <c r="I19" s="62"/>
      <c r="J19" s="63">
        <v>2</v>
      </c>
      <c r="K19" s="102" t="s">
        <v>56</v>
      </c>
      <c r="L19" s="67"/>
      <c r="M19" s="65"/>
      <c r="N19" s="63"/>
      <c r="O19" s="102"/>
      <c r="P19" s="63"/>
      <c r="Q19" s="63"/>
      <c r="R19" s="102"/>
      <c r="S19" s="91"/>
      <c r="T19" s="150"/>
      <c r="U19" s="150"/>
      <c r="V19" s="150"/>
      <c r="W19" s="150"/>
      <c r="X19" s="150"/>
      <c r="Y19" s="150"/>
    </row>
    <row r="20" spans="1:28" ht="18" customHeight="1">
      <c r="A20" s="46" t="s">
        <v>26</v>
      </c>
      <c r="B20" s="88">
        <v>2</v>
      </c>
      <c r="C20" s="102" t="s">
        <v>56</v>
      </c>
      <c r="D20" s="63"/>
      <c r="E20" s="62"/>
      <c r="F20" s="88">
        <v>2</v>
      </c>
      <c r="G20" s="102" t="s">
        <v>56</v>
      </c>
      <c r="H20" s="63"/>
      <c r="I20" s="68"/>
      <c r="J20" s="63">
        <v>2</v>
      </c>
      <c r="K20" s="102" t="s">
        <v>56</v>
      </c>
      <c r="L20" s="67"/>
      <c r="M20" s="65"/>
      <c r="N20" s="63"/>
      <c r="O20" s="62"/>
      <c r="P20" s="63"/>
      <c r="Q20" s="63"/>
      <c r="R20" s="102"/>
      <c r="S20" s="91"/>
      <c r="T20" s="150"/>
      <c r="U20" s="150"/>
      <c r="V20" s="150"/>
      <c r="W20" s="150"/>
      <c r="X20" s="150"/>
      <c r="Y20" s="150"/>
    </row>
    <row r="21" spans="1:28" ht="18.75" customHeight="1">
      <c r="A21" s="46" t="s">
        <v>64</v>
      </c>
      <c r="B21" s="88">
        <v>2</v>
      </c>
      <c r="C21" s="102" t="s">
        <v>56</v>
      </c>
      <c r="D21" s="63"/>
      <c r="E21" s="62"/>
      <c r="F21" s="88">
        <v>2</v>
      </c>
      <c r="G21" s="102" t="s">
        <v>56</v>
      </c>
      <c r="H21" s="63"/>
      <c r="I21" s="62"/>
      <c r="J21" s="63">
        <v>2</v>
      </c>
      <c r="K21" s="102" t="s">
        <v>56</v>
      </c>
      <c r="L21" s="64"/>
      <c r="M21" s="64"/>
      <c r="N21" s="63"/>
      <c r="O21" s="62"/>
      <c r="P21" s="63"/>
      <c r="Q21" s="63"/>
      <c r="R21" s="62"/>
      <c r="S21" s="91"/>
      <c r="T21" s="150"/>
      <c r="U21" s="150"/>
      <c r="V21" s="150"/>
      <c r="W21" s="150"/>
      <c r="X21" s="150"/>
      <c r="Y21" s="150"/>
    </row>
    <row r="22" spans="1:28" ht="18" customHeight="1">
      <c r="A22" s="46" t="s">
        <v>96</v>
      </c>
      <c r="B22" s="88">
        <v>2</v>
      </c>
      <c r="C22" s="102" t="s">
        <v>56</v>
      </c>
      <c r="D22" s="63"/>
      <c r="E22" s="102"/>
      <c r="F22" s="88">
        <v>2</v>
      </c>
      <c r="G22" s="102" t="s">
        <v>56</v>
      </c>
      <c r="H22" s="63"/>
      <c r="I22" s="68"/>
      <c r="J22" s="63">
        <v>1</v>
      </c>
      <c r="K22" s="62" t="s">
        <v>55</v>
      </c>
      <c r="L22" s="67"/>
      <c r="M22" s="65"/>
      <c r="N22" s="63"/>
      <c r="O22" s="62"/>
      <c r="P22" s="63"/>
      <c r="Q22" s="63"/>
      <c r="R22" s="102"/>
      <c r="S22" s="91"/>
      <c r="T22" s="150"/>
      <c r="U22" s="150"/>
      <c r="V22" s="150"/>
      <c r="W22" s="150"/>
      <c r="X22" s="150"/>
      <c r="Y22" s="150"/>
    </row>
    <row r="23" spans="1:28" ht="18" customHeight="1">
      <c r="A23" s="46" t="s">
        <v>52</v>
      </c>
      <c r="B23" s="88">
        <v>1</v>
      </c>
      <c r="C23" s="62" t="s">
        <v>55</v>
      </c>
      <c r="D23" s="63"/>
      <c r="E23" s="62"/>
      <c r="F23" s="88">
        <v>1</v>
      </c>
      <c r="G23" s="62" t="s">
        <v>55</v>
      </c>
      <c r="H23" s="63"/>
      <c r="I23" s="62"/>
      <c r="J23" s="63">
        <v>1</v>
      </c>
      <c r="K23" s="62" t="s">
        <v>55</v>
      </c>
      <c r="L23" s="67"/>
      <c r="M23" s="65"/>
      <c r="N23" s="63"/>
      <c r="O23" s="62"/>
      <c r="P23" s="63"/>
      <c r="Q23" s="63"/>
      <c r="R23" s="62"/>
      <c r="S23" s="91"/>
      <c r="T23" s="150"/>
      <c r="U23" s="150"/>
      <c r="V23" s="150"/>
      <c r="W23" s="150"/>
      <c r="X23" s="150"/>
      <c r="Y23" s="150"/>
    </row>
    <row r="24" spans="1:28" ht="20.25">
      <c r="A24" s="46" t="s">
        <v>99</v>
      </c>
      <c r="B24" s="88">
        <v>1</v>
      </c>
      <c r="C24" s="62" t="s">
        <v>55</v>
      </c>
      <c r="D24" s="63"/>
      <c r="E24" s="62"/>
      <c r="F24" s="88">
        <v>1</v>
      </c>
      <c r="G24" s="62" t="s">
        <v>55</v>
      </c>
      <c r="H24" s="63"/>
      <c r="I24" s="62"/>
      <c r="J24" s="63">
        <v>1</v>
      </c>
      <c r="K24" s="62" t="s">
        <v>55</v>
      </c>
      <c r="L24" s="67"/>
      <c r="M24" s="65"/>
      <c r="N24" s="63"/>
      <c r="O24" s="62"/>
      <c r="P24" s="63"/>
      <c r="Q24" s="63"/>
      <c r="R24" s="102"/>
      <c r="S24" s="91"/>
      <c r="T24" s="150"/>
      <c r="U24" s="150"/>
      <c r="V24" s="150"/>
      <c r="W24" s="150"/>
      <c r="X24" s="150"/>
      <c r="Y24" s="150"/>
    </row>
    <row r="25" spans="1:28" ht="18" customHeight="1" thickBot="1">
      <c r="A25" s="46" t="s">
        <v>65</v>
      </c>
      <c r="B25" s="88">
        <v>1</v>
      </c>
      <c r="C25" s="62" t="s">
        <v>55</v>
      </c>
      <c r="D25" s="63"/>
      <c r="E25" s="62"/>
      <c r="F25" s="88">
        <v>1</v>
      </c>
      <c r="G25" s="62" t="s">
        <v>55</v>
      </c>
      <c r="H25" s="63"/>
      <c r="I25" s="68"/>
      <c r="J25" s="63">
        <v>1</v>
      </c>
      <c r="K25" s="62" t="s">
        <v>55</v>
      </c>
      <c r="L25" s="67"/>
      <c r="M25" s="65"/>
      <c r="N25" s="63"/>
      <c r="O25" s="62"/>
      <c r="P25" s="63"/>
      <c r="Q25" s="66"/>
      <c r="R25" s="102"/>
      <c r="S25" s="91"/>
      <c r="T25" s="150"/>
      <c r="U25" s="150"/>
      <c r="V25" s="150"/>
      <c r="W25" s="150"/>
      <c r="X25" s="150"/>
      <c r="Y25" s="150"/>
    </row>
    <row r="26" spans="1:28" ht="16.5" thickBot="1">
      <c r="A26" s="38" t="s">
        <v>13</v>
      </c>
      <c r="B26" s="98">
        <v>13</v>
      </c>
      <c r="C26" s="96" t="s">
        <v>49</v>
      </c>
      <c r="D26" s="98"/>
      <c r="E26" s="96"/>
      <c r="F26" s="98">
        <v>14</v>
      </c>
      <c r="G26" s="96" t="s">
        <v>49</v>
      </c>
      <c r="H26" s="100"/>
      <c r="I26" s="101"/>
      <c r="J26" s="98">
        <v>15</v>
      </c>
      <c r="K26" s="95" t="s">
        <v>49</v>
      </c>
      <c r="L26" s="85"/>
      <c r="M26" s="94"/>
      <c r="N26" s="98"/>
      <c r="O26" s="96" t="s">
        <v>49</v>
      </c>
      <c r="P26" s="98"/>
      <c r="Q26" s="98"/>
      <c r="R26" s="97" t="s">
        <v>49</v>
      </c>
      <c r="S26" s="86"/>
      <c r="V26" s="12"/>
      <c r="W26" s="12"/>
    </row>
    <row r="27" spans="1:28" ht="16.5" thickBot="1">
      <c r="A27" s="39" t="s">
        <v>14</v>
      </c>
      <c r="B27" s="98">
        <v>8</v>
      </c>
      <c r="C27" s="96" t="s">
        <v>50</v>
      </c>
      <c r="D27" s="98"/>
      <c r="E27" s="96"/>
      <c r="F27" s="98">
        <v>7</v>
      </c>
      <c r="G27" s="96" t="s">
        <v>50</v>
      </c>
      <c r="H27" s="100"/>
      <c r="I27" s="96"/>
      <c r="J27" s="98">
        <v>6</v>
      </c>
      <c r="K27" s="95" t="s">
        <v>50</v>
      </c>
      <c r="L27" s="85"/>
      <c r="M27" s="94"/>
      <c r="N27" s="98"/>
      <c r="O27" s="96" t="s">
        <v>50</v>
      </c>
      <c r="P27" s="98"/>
      <c r="Q27" s="98"/>
      <c r="R27" s="95" t="s">
        <v>50</v>
      </c>
      <c r="S27" s="86"/>
      <c r="V27" s="12"/>
      <c r="W27" s="12"/>
      <c r="AB27" s="5" t="s">
        <v>93</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59</v>
      </c>
      <c r="V32" s="12"/>
      <c r="W32" s="12"/>
    </row>
    <row r="33" spans="1:23" ht="18">
      <c r="A33" s="34"/>
      <c r="V33" s="12"/>
      <c r="W33" s="12"/>
    </row>
    <row r="34" spans="1:23" ht="18">
      <c r="A34" s="34"/>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89</v>
      </c>
      <c r="V40" s="12"/>
      <c r="W40" s="12"/>
    </row>
    <row r="41" spans="1:23" ht="18">
      <c r="A41" s="34" t="s">
        <v>61</v>
      </c>
      <c r="V41" s="12"/>
      <c r="W41" s="12"/>
    </row>
    <row r="42" spans="1:23" ht="18">
      <c r="A42" s="34" t="s">
        <v>96</v>
      </c>
      <c r="V42" s="12"/>
      <c r="W42" s="12"/>
    </row>
    <row r="43" spans="1:23" ht="18">
      <c r="A43" s="34" t="s">
        <v>25</v>
      </c>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row>
    <row r="52" spans="1:23" ht="18">
      <c r="A52" s="34"/>
    </row>
    <row r="53" spans="1:23" ht="18">
      <c r="A53" s="34"/>
    </row>
    <row r="54" spans="1:23" ht="18">
      <c r="A54" s="34"/>
    </row>
    <row r="55" spans="1:23" ht="18">
      <c r="A55" s="34"/>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M39"/>
  <sheetViews>
    <sheetView workbookViewId="0">
      <pane xSplit="1" topLeftCell="B1" activePane="topRight" state="frozen"/>
      <selection pane="topRight" activeCell="AL14" sqref="AL14"/>
    </sheetView>
  </sheetViews>
  <sheetFormatPr defaultColWidth="9.140625" defaultRowHeight="12.75"/>
  <cols>
    <col min="1" max="1" width="47.7109375" style="22" customWidth="1"/>
    <col min="2" max="20" width="23.7109375" style="22" customWidth="1"/>
    <col min="21" max="21" width="19" style="22" customWidth="1"/>
    <col min="22" max="22" width="26.28515625" style="22" customWidth="1"/>
    <col min="23" max="23" width="22.140625" style="22" customWidth="1"/>
    <col min="24" max="39" width="22.7109375" style="22" customWidth="1"/>
    <col min="40" max="16384" width="9.140625" style="22"/>
  </cols>
  <sheetData>
    <row r="1" spans="1:39" ht="15">
      <c r="A1" s="76" t="s">
        <v>8</v>
      </c>
      <c r="B1" s="21"/>
      <c r="C1" s="21"/>
      <c r="D1" s="21"/>
      <c r="E1" s="21"/>
      <c r="F1" s="21"/>
      <c r="G1" s="21"/>
      <c r="H1" s="21"/>
      <c r="I1" s="21"/>
      <c r="J1" s="21"/>
      <c r="K1" s="21"/>
      <c r="L1" s="21"/>
      <c r="M1" s="21"/>
      <c r="N1" s="21"/>
      <c r="O1" s="21"/>
      <c r="P1" s="21"/>
      <c r="Q1" s="21"/>
      <c r="R1" s="21"/>
      <c r="S1" s="21"/>
      <c r="T1" s="21"/>
      <c r="U1" s="21"/>
      <c r="V1" s="21"/>
    </row>
    <row r="2" spans="1:39" ht="15">
      <c r="A2" s="76" t="s">
        <v>107</v>
      </c>
      <c r="B2" s="21"/>
      <c r="C2" s="21"/>
      <c r="D2" s="21"/>
      <c r="E2" s="21"/>
      <c r="F2" s="21"/>
      <c r="G2" s="21"/>
      <c r="H2" s="21"/>
      <c r="I2" s="21"/>
      <c r="J2" s="21"/>
      <c r="K2" s="21"/>
      <c r="L2" s="21"/>
      <c r="M2" s="21"/>
      <c r="N2" s="21"/>
      <c r="O2" s="21"/>
      <c r="P2" s="21"/>
      <c r="Q2" s="21"/>
      <c r="R2" s="21"/>
      <c r="S2" s="21"/>
      <c r="T2" s="21"/>
      <c r="U2" s="21"/>
      <c r="V2" s="21"/>
    </row>
    <row r="3" spans="1:39" ht="17.25" customHeight="1">
      <c r="A3" s="76" t="s">
        <v>108</v>
      </c>
      <c r="B3" s="21"/>
      <c r="C3" s="21"/>
      <c r="D3" s="21"/>
      <c r="E3" s="21"/>
      <c r="F3" s="21"/>
      <c r="G3" s="21"/>
      <c r="H3" s="21"/>
      <c r="I3" s="21"/>
      <c r="J3" s="21"/>
      <c r="K3" s="21"/>
      <c r="L3" s="21"/>
      <c r="M3" s="21"/>
      <c r="N3" s="21"/>
      <c r="O3" s="21"/>
      <c r="P3" s="21"/>
      <c r="Q3" s="21"/>
      <c r="R3" s="21"/>
      <c r="S3" s="21"/>
      <c r="T3" s="21"/>
      <c r="U3" s="21"/>
      <c r="V3" s="21"/>
    </row>
    <row r="4" spans="1:39" ht="63" customHeight="1">
      <c r="A4" s="51" t="str">
        <f>'[1]MOÇÃO E REQUERIMENTO'!B7</f>
        <v>EXPEDIENTE</v>
      </c>
      <c r="B4" s="50" t="s">
        <v>48</v>
      </c>
      <c r="C4" s="117" t="s">
        <v>109</v>
      </c>
      <c r="D4" s="117" t="s">
        <v>104</v>
      </c>
      <c r="E4" s="117" t="s">
        <v>110</v>
      </c>
      <c r="F4" s="117" t="s">
        <v>111</v>
      </c>
      <c r="G4" s="117" t="s">
        <v>112</v>
      </c>
      <c r="H4" s="117" t="s">
        <v>113</v>
      </c>
      <c r="I4" s="117" t="s">
        <v>114</v>
      </c>
      <c r="J4" s="117" t="s">
        <v>115</v>
      </c>
      <c r="K4" s="117" t="s">
        <v>116</v>
      </c>
      <c r="L4" s="117" t="s">
        <v>117</v>
      </c>
      <c r="M4" s="117" t="s">
        <v>118</v>
      </c>
      <c r="N4" s="117" t="s">
        <v>119</v>
      </c>
      <c r="O4" s="117" t="s">
        <v>120</v>
      </c>
      <c r="P4" s="117" t="s">
        <v>121</v>
      </c>
      <c r="Q4" s="117" t="s">
        <v>122</v>
      </c>
      <c r="R4" s="117" t="s">
        <v>123</v>
      </c>
      <c r="S4" s="117" t="s">
        <v>124</v>
      </c>
      <c r="T4" s="117" t="s">
        <v>125</v>
      </c>
      <c r="U4" s="112" t="s">
        <v>34</v>
      </c>
      <c r="V4" s="124"/>
      <c r="W4" s="50" t="s">
        <v>27</v>
      </c>
      <c r="X4" s="84" t="s">
        <v>100</v>
      </c>
      <c r="Y4" s="84" t="s">
        <v>101</v>
      </c>
      <c r="Z4" s="84" t="s">
        <v>102</v>
      </c>
      <c r="AA4" s="84" t="s">
        <v>126</v>
      </c>
      <c r="AB4" s="84" t="s">
        <v>127</v>
      </c>
      <c r="AC4" s="84" t="s">
        <v>129</v>
      </c>
      <c r="AD4" s="84" t="s">
        <v>130</v>
      </c>
      <c r="AE4" s="84" t="s">
        <v>131</v>
      </c>
      <c r="AF4" s="84" t="s">
        <v>132</v>
      </c>
      <c r="AG4" s="84" t="s">
        <v>133</v>
      </c>
      <c r="AH4" s="84" t="s">
        <v>134</v>
      </c>
      <c r="AI4" s="84" t="s">
        <v>135</v>
      </c>
      <c r="AJ4" s="84" t="s">
        <v>136</v>
      </c>
      <c r="AK4" s="84" t="s">
        <v>137</v>
      </c>
      <c r="AL4" s="84" t="s">
        <v>138</v>
      </c>
      <c r="AM4" s="84" t="s">
        <v>139</v>
      </c>
    </row>
    <row r="5" spans="1:39" s="59" customFormat="1" ht="48" customHeight="1">
      <c r="A5" s="57" t="s">
        <v>45</v>
      </c>
      <c r="B5" s="55"/>
      <c r="C5" s="55"/>
      <c r="D5" s="55"/>
      <c r="E5" s="55"/>
      <c r="F5" s="55"/>
      <c r="G5" s="55"/>
      <c r="H5" s="55"/>
      <c r="I5" s="55"/>
      <c r="J5" s="55"/>
      <c r="K5" s="55"/>
      <c r="L5" s="55"/>
      <c r="M5" s="55"/>
      <c r="N5" s="55"/>
      <c r="O5" s="55"/>
      <c r="P5" s="55"/>
      <c r="Q5" s="55"/>
      <c r="R5" s="55"/>
      <c r="S5" s="55"/>
      <c r="T5" s="55"/>
      <c r="U5" s="55"/>
      <c r="V5" s="113"/>
      <c r="X5" s="113" t="s">
        <v>91</v>
      </c>
      <c r="Y5" s="118" t="s">
        <v>103</v>
      </c>
      <c r="Z5" s="113" t="s">
        <v>91</v>
      </c>
      <c r="AA5" s="113" t="s">
        <v>91</v>
      </c>
      <c r="AB5" s="118" t="s">
        <v>128</v>
      </c>
      <c r="AC5" s="118" t="s">
        <v>103</v>
      </c>
      <c r="AD5" s="113" t="s">
        <v>91</v>
      </c>
      <c r="AE5" s="118" t="s">
        <v>103</v>
      </c>
      <c r="AF5" s="118" t="s">
        <v>103</v>
      </c>
      <c r="AG5" s="113" t="s">
        <v>91</v>
      </c>
      <c r="AH5" s="113" t="s">
        <v>91</v>
      </c>
      <c r="AI5" s="113" t="s">
        <v>91</v>
      </c>
      <c r="AJ5" s="118" t="s">
        <v>103</v>
      </c>
      <c r="AK5" s="113" t="s">
        <v>91</v>
      </c>
      <c r="AL5" s="113" t="s">
        <v>91</v>
      </c>
      <c r="AM5" s="113" t="s">
        <v>91</v>
      </c>
    </row>
    <row r="6" spans="1:39" ht="15.75">
      <c r="A6" s="127" t="s">
        <v>54</v>
      </c>
      <c r="W6" s="23"/>
    </row>
    <row r="7" spans="1:39" ht="15.75">
      <c r="A7" s="127" t="s">
        <v>94</v>
      </c>
      <c r="W7" s="23"/>
    </row>
    <row r="8" spans="1:39" ht="15.75">
      <c r="A8" s="127" t="s">
        <v>57</v>
      </c>
      <c r="W8" s="23"/>
    </row>
    <row r="9" spans="1:39" ht="15.75">
      <c r="A9" s="128" t="s">
        <v>58</v>
      </c>
      <c r="W9" s="23"/>
    </row>
    <row r="10" spans="1:39" ht="15.75">
      <c r="A10" s="127" t="s">
        <v>28</v>
      </c>
      <c r="W10" s="23"/>
    </row>
    <row r="11" spans="1:39" ht="15.75">
      <c r="A11" s="127" t="s">
        <v>59</v>
      </c>
      <c r="W11" s="23"/>
    </row>
    <row r="12" spans="1:39" ht="15.75">
      <c r="A12" s="127" t="s">
        <v>22</v>
      </c>
      <c r="W12" s="23"/>
    </row>
    <row r="13" spans="1:39" ht="15.75">
      <c r="A13" s="127" t="s">
        <v>23</v>
      </c>
      <c r="W13" s="23"/>
    </row>
    <row r="14" spans="1:39" ht="15.75">
      <c r="A14" s="127" t="s">
        <v>24</v>
      </c>
      <c r="W14" s="23"/>
    </row>
    <row r="15" spans="1:39" ht="15.75">
      <c r="A15" s="127" t="s">
        <v>60</v>
      </c>
      <c r="W15" s="23"/>
    </row>
    <row r="16" spans="1:39" ht="15.75">
      <c r="A16" s="127" t="s">
        <v>61</v>
      </c>
      <c r="W16" s="23"/>
    </row>
    <row r="17" spans="1:23" ht="15.75">
      <c r="A17" s="127" t="s">
        <v>62</v>
      </c>
      <c r="W17" s="23"/>
    </row>
    <row r="18" spans="1:23" ht="15.75">
      <c r="A18" s="127" t="s">
        <v>25</v>
      </c>
      <c r="W18" s="23"/>
    </row>
    <row r="19" spans="1:23" ht="15.75">
      <c r="A19" s="127" t="s">
        <v>63</v>
      </c>
      <c r="W19" s="23"/>
    </row>
    <row r="20" spans="1:23" ht="15.75">
      <c r="A20" s="127" t="s">
        <v>95</v>
      </c>
      <c r="W20" s="23"/>
    </row>
    <row r="21" spans="1:23" ht="15.75">
      <c r="A21" s="127" t="s">
        <v>26</v>
      </c>
      <c r="W21" s="23"/>
    </row>
    <row r="22" spans="1:23" ht="15.75">
      <c r="A22" s="127" t="s">
        <v>64</v>
      </c>
      <c r="W22" s="23"/>
    </row>
    <row r="23" spans="1:23" ht="15.75">
      <c r="A23" s="127" t="s">
        <v>96</v>
      </c>
      <c r="W23" s="23"/>
    </row>
    <row r="24" spans="1:23" ht="15.75">
      <c r="A24" s="127" t="s">
        <v>52</v>
      </c>
      <c r="W24" s="23"/>
    </row>
    <row r="25" spans="1:23" ht="15.75">
      <c r="A25" s="127" t="s">
        <v>99</v>
      </c>
      <c r="W25" s="23"/>
    </row>
    <row r="26" spans="1:23" ht="15.75">
      <c r="A26" s="127" t="s">
        <v>65</v>
      </c>
      <c r="W26" s="23"/>
    </row>
    <row r="27" spans="1:23" s="25" customFormat="1">
      <c r="A27" s="24" t="s">
        <v>18</v>
      </c>
    </row>
    <row r="28" spans="1:23" s="27" customFormat="1">
      <c r="A28" s="26" t="s">
        <v>19</v>
      </c>
    </row>
    <row r="29" spans="1:23">
      <c r="A29" s="28" t="s">
        <v>11</v>
      </c>
    </row>
    <row r="30" spans="1:23" s="30" customFormat="1">
      <c r="A30" s="29" t="s">
        <v>20</v>
      </c>
    </row>
    <row r="32" spans="1:23"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EA37"/>
  <sheetViews>
    <sheetView zoomScale="80" zoomScaleNormal="80" workbookViewId="0">
      <pane xSplit="1" topLeftCell="B1" activePane="topRight" state="frozen"/>
      <selection activeCell="A4" sqref="A4"/>
      <selection pane="topRight" activeCell="H7" sqref="H7"/>
    </sheetView>
  </sheetViews>
  <sheetFormatPr defaultRowHeight="15"/>
  <cols>
    <col min="1" max="1" width="61" customWidth="1"/>
    <col min="2" max="2" width="28.7109375" bestFit="1" customWidth="1"/>
    <col min="3" max="3" width="36.7109375" customWidth="1"/>
    <col min="4" max="4" width="24.7109375" customWidth="1"/>
    <col min="5" max="46" width="36.7109375" customWidth="1"/>
  </cols>
  <sheetData>
    <row r="1" spans="1:46" ht="18" customHeight="1">
      <c r="A1" s="76" t="s">
        <v>8</v>
      </c>
      <c r="B1" s="49"/>
      <c r="C1" s="74"/>
    </row>
    <row r="2" spans="1:46" ht="18" customHeight="1">
      <c r="A2" s="76" t="s">
        <v>107</v>
      </c>
      <c r="B2" s="49"/>
      <c r="C2" s="74"/>
    </row>
    <row r="3" spans="1:46" ht="17.25" customHeight="1">
      <c r="A3" s="76" t="s">
        <v>108</v>
      </c>
      <c r="B3" s="49"/>
      <c r="C3" s="74"/>
      <c r="E3" s="116"/>
      <c r="F3" s="116"/>
    </row>
    <row r="4" spans="1:46" ht="90.75" customHeight="1" thickBot="1">
      <c r="A4" s="52" t="s">
        <v>5</v>
      </c>
      <c r="B4" s="108" t="s">
        <v>31</v>
      </c>
      <c r="C4" s="143"/>
      <c r="D4" s="109" t="s">
        <v>6</v>
      </c>
      <c r="E4" s="141" t="s">
        <v>140</v>
      </c>
      <c r="F4" s="141" t="s">
        <v>105</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3"/>
      <c r="AT4" s="3"/>
    </row>
    <row r="5" spans="1:46" s="81" customFormat="1" ht="48" customHeight="1">
      <c r="A5" s="99" t="s">
        <v>37</v>
      </c>
      <c r="B5" s="78"/>
      <c r="C5" s="144"/>
      <c r="D5" s="79"/>
      <c r="E5" s="151" t="s">
        <v>97</v>
      </c>
      <c r="F5" s="145" t="s">
        <v>106</v>
      </c>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row>
    <row r="6" spans="1:46" ht="20.25">
      <c r="A6" s="46" t="s">
        <v>54</v>
      </c>
      <c r="C6" s="107"/>
      <c r="E6" s="107" t="s">
        <v>92</v>
      </c>
      <c r="F6" s="107"/>
    </row>
    <row r="7" spans="1:46" ht="20.25">
      <c r="A7" s="46" t="s">
        <v>94</v>
      </c>
      <c r="C7" s="107"/>
      <c r="E7" s="107" t="s">
        <v>92</v>
      </c>
      <c r="F7" s="107"/>
    </row>
    <row r="8" spans="1:46" ht="20.25">
      <c r="A8" s="46" t="s">
        <v>57</v>
      </c>
      <c r="C8" s="107"/>
      <c r="E8" s="107" t="s">
        <v>92</v>
      </c>
      <c r="F8" s="107"/>
    </row>
    <row r="9" spans="1:46" ht="20.25">
      <c r="A9" s="82" t="s">
        <v>58</v>
      </c>
      <c r="C9" s="114"/>
      <c r="E9" s="114" t="s">
        <v>98</v>
      </c>
      <c r="F9" s="114"/>
    </row>
    <row r="10" spans="1:46" ht="20.25">
      <c r="A10" s="46" t="s">
        <v>28</v>
      </c>
      <c r="C10" s="107"/>
      <c r="E10" s="107" t="s">
        <v>92</v>
      </c>
      <c r="F10" s="114"/>
    </row>
    <row r="11" spans="1:46" ht="20.25">
      <c r="A11" s="46" t="s">
        <v>59</v>
      </c>
      <c r="C11" s="114"/>
      <c r="E11" s="114" t="s">
        <v>56</v>
      </c>
      <c r="F11" s="107"/>
    </row>
    <row r="12" spans="1:46" ht="20.25">
      <c r="A12" s="46" t="s">
        <v>22</v>
      </c>
      <c r="C12" s="107"/>
      <c r="E12" s="107" t="s">
        <v>92</v>
      </c>
      <c r="F12" s="107"/>
    </row>
    <row r="13" spans="1:46" ht="20.25">
      <c r="A13" s="46" t="s">
        <v>23</v>
      </c>
      <c r="C13" s="114"/>
      <c r="E13" s="107" t="s">
        <v>92</v>
      </c>
      <c r="F13" s="114"/>
    </row>
    <row r="14" spans="1:46" ht="20.25">
      <c r="A14" s="46" t="s">
        <v>24</v>
      </c>
      <c r="C14" s="107"/>
      <c r="E14" s="107" t="s">
        <v>92</v>
      </c>
      <c r="F14" s="107"/>
    </row>
    <row r="15" spans="1:46" ht="20.25">
      <c r="A15" s="46" t="s">
        <v>60</v>
      </c>
      <c r="C15" s="107"/>
      <c r="E15" s="114" t="s">
        <v>56</v>
      </c>
      <c r="F15" s="107"/>
    </row>
    <row r="16" spans="1:46" ht="20.25">
      <c r="A16" s="46" t="s">
        <v>61</v>
      </c>
      <c r="C16" s="107"/>
      <c r="E16" s="107" t="s">
        <v>92</v>
      </c>
      <c r="F16" s="114"/>
    </row>
    <row r="17" spans="1:131" ht="20.25">
      <c r="A17" s="46" t="s">
        <v>62</v>
      </c>
      <c r="C17" s="142"/>
      <c r="E17" s="114" t="s">
        <v>56</v>
      </c>
      <c r="F17" s="107"/>
    </row>
    <row r="18" spans="1:131" ht="20.25">
      <c r="A18" s="46" t="s">
        <v>25</v>
      </c>
      <c r="C18" s="107"/>
      <c r="E18" s="107" t="s">
        <v>92</v>
      </c>
      <c r="F18" s="114"/>
    </row>
    <row r="19" spans="1:131" ht="20.25">
      <c r="A19" s="46" t="s">
        <v>63</v>
      </c>
      <c r="C19" s="107"/>
      <c r="E19" s="107" t="s">
        <v>92</v>
      </c>
      <c r="F19" s="107"/>
    </row>
    <row r="20" spans="1:131" ht="20.25">
      <c r="A20" s="46" t="s">
        <v>95</v>
      </c>
      <c r="C20" s="107"/>
      <c r="E20" s="114" t="s">
        <v>56</v>
      </c>
      <c r="F20" s="107"/>
    </row>
    <row r="21" spans="1:131" ht="20.25">
      <c r="A21" s="46" t="s">
        <v>26</v>
      </c>
      <c r="C21" s="107"/>
      <c r="E21" s="114" t="s">
        <v>56</v>
      </c>
      <c r="F21" s="107"/>
    </row>
    <row r="22" spans="1:131" ht="20.25">
      <c r="A22" s="46" t="s">
        <v>64</v>
      </c>
      <c r="C22" s="107"/>
      <c r="E22" s="114" t="s">
        <v>56</v>
      </c>
      <c r="F22" s="107"/>
    </row>
    <row r="23" spans="1:131" ht="20.25">
      <c r="A23" s="46" t="s">
        <v>96</v>
      </c>
      <c r="C23" s="107"/>
      <c r="E23" s="107" t="s">
        <v>92</v>
      </c>
      <c r="F23" s="114"/>
    </row>
    <row r="24" spans="1:131" ht="20.25">
      <c r="A24" s="46" t="s">
        <v>52</v>
      </c>
      <c r="C24" s="107"/>
      <c r="E24" s="107" t="s">
        <v>92</v>
      </c>
      <c r="F24" s="114"/>
    </row>
    <row r="25" spans="1:131" ht="20.25">
      <c r="A25" s="46" t="s">
        <v>99</v>
      </c>
      <c r="C25" s="107"/>
      <c r="E25" s="107" t="s">
        <v>92</v>
      </c>
      <c r="F25" s="107"/>
    </row>
    <row r="26" spans="1:131" ht="20.25">
      <c r="A26" s="46" t="s">
        <v>65</v>
      </c>
      <c r="C26" s="107"/>
      <c r="E26" s="107" t="s">
        <v>92</v>
      </c>
      <c r="F26" s="107"/>
    </row>
    <row r="27" spans="1:131" s="16" customFormat="1" ht="15.75">
      <c r="A27" s="15" t="s">
        <v>18</v>
      </c>
      <c r="B27"/>
      <c r="C27" s="103">
        <f t="shared" ref="C27" si="0">COUNTIF(C6:C26,"sim")</f>
        <v>0</v>
      </c>
      <c r="D27"/>
      <c r="E27" s="103">
        <f t="shared" ref="E27:F27" si="1">COUNTIF(E6:E26,"sim")</f>
        <v>14</v>
      </c>
      <c r="F27" s="103">
        <f t="shared" si="1"/>
        <v>0</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row>
    <row r="28" spans="1:131" s="18" customFormat="1" ht="15.75">
      <c r="A28" s="17" t="s">
        <v>19</v>
      </c>
      <c r="B28"/>
      <c r="C28" s="104">
        <f t="shared" ref="C28" si="2">COUNTIF(C6:C26,"não")</f>
        <v>0</v>
      </c>
      <c r="D28"/>
      <c r="E28" s="104">
        <f t="shared" ref="E28:F28" si="3">COUNTIF(E6:E26,"não")</f>
        <v>0</v>
      </c>
      <c r="F28" s="104">
        <f t="shared" si="3"/>
        <v>0</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row>
    <row r="29" spans="1:131" ht="15.75">
      <c r="A29" s="14" t="s">
        <v>11</v>
      </c>
      <c r="C29" s="40">
        <f t="shared" ref="C29" si="4">COUNTIF(C6:C26,"ausente")</f>
        <v>0</v>
      </c>
      <c r="E29" s="40">
        <f t="shared" ref="E29:F29" si="5">COUNTIF(E6:E26,"ausente")</f>
        <v>6</v>
      </c>
      <c r="F29" s="40">
        <f t="shared" si="5"/>
        <v>0</v>
      </c>
    </row>
    <row r="30" spans="1:131" s="20" customFormat="1" ht="15.75">
      <c r="A30" s="19" t="s">
        <v>20</v>
      </c>
      <c r="B30"/>
      <c r="C30" s="105">
        <f t="shared" ref="C30" si="6">COUNTIF(C6:C26,"abstenção")</f>
        <v>0</v>
      </c>
      <c r="D30"/>
      <c r="E30" s="105">
        <f t="shared" ref="E30:F30" si="7">COUNTIF(E6:E26,"abstenção")</f>
        <v>0</v>
      </c>
      <c r="F30" s="105">
        <f t="shared" si="7"/>
        <v>0</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row>
    <row r="31" spans="1:131" s="20" customFormat="1" ht="15.75">
      <c r="A31" s="19"/>
      <c r="B31"/>
      <c r="C31" s="105"/>
      <c r="D31"/>
      <c r="E31" s="105"/>
      <c r="F31" s="105"/>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V37"/>
  <sheetViews>
    <sheetView zoomScale="90" zoomScaleNormal="90" workbookViewId="0">
      <pane xSplit="1" topLeftCell="B1" activePane="topRight" state="frozen"/>
      <selection pane="topRight" activeCell="C5" sqref="C5"/>
    </sheetView>
  </sheetViews>
  <sheetFormatPr defaultRowHeight="15"/>
  <cols>
    <col min="1" max="1" width="46.85546875" customWidth="1"/>
    <col min="2" max="6" width="30.42578125" customWidth="1"/>
    <col min="7" max="7" width="17.42578125" customWidth="1"/>
    <col min="8" max="8" width="16.85546875" customWidth="1"/>
    <col min="9" max="9" width="29.85546875" customWidth="1"/>
    <col min="10" max="10" width="29.28515625" customWidth="1"/>
    <col min="11" max="11" width="25.7109375" customWidth="1"/>
    <col min="12" max="12" width="28" customWidth="1"/>
    <col min="13" max="13" width="28.140625" customWidth="1"/>
    <col min="14" max="14" width="30.5703125" customWidth="1"/>
    <col min="15" max="15" width="26.7109375" customWidth="1"/>
    <col min="16" max="17" width="29.28515625" customWidth="1"/>
    <col min="18" max="18" width="29.42578125" customWidth="1"/>
    <col min="19" max="20" width="28.7109375" customWidth="1"/>
    <col min="21" max="21" width="28.140625" customWidth="1"/>
    <col min="22" max="22" width="25.7109375" customWidth="1"/>
    <col min="23" max="23" width="21.28515625" customWidth="1"/>
    <col min="24" max="24" width="19.5703125" customWidth="1"/>
    <col min="25" max="25" width="18.28515625" customWidth="1"/>
    <col min="26" max="26" width="17.28515625" customWidth="1"/>
    <col min="27" max="27" width="18.140625" customWidth="1"/>
    <col min="28" max="28" width="22" customWidth="1"/>
    <col min="29" max="29" width="16.140625" customWidth="1"/>
    <col min="30" max="30" width="18" customWidth="1"/>
    <col min="32" max="32" width="18.28515625" customWidth="1"/>
  </cols>
  <sheetData>
    <row r="1" spans="1:32">
      <c r="A1" s="76" t="s">
        <v>8</v>
      </c>
      <c r="B1" s="2"/>
      <c r="C1" s="2"/>
      <c r="D1" s="2"/>
      <c r="E1" s="2"/>
      <c r="F1" s="2"/>
      <c r="G1" s="2"/>
      <c r="H1" s="2"/>
      <c r="I1" s="2"/>
      <c r="J1" s="2"/>
      <c r="K1" s="2"/>
      <c r="L1" s="2"/>
      <c r="M1" s="2"/>
      <c r="N1" s="2"/>
      <c r="O1" s="2"/>
      <c r="P1" s="2"/>
      <c r="Q1" s="2"/>
      <c r="R1" s="2"/>
      <c r="S1" s="2"/>
      <c r="T1" s="2"/>
      <c r="U1" s="2"/>
      <c r="V1" s="2"/>
      <c r="W1" s="2"/>
    </row>
    <row r="2" spans="1:32">
      <c r="A2" s="76" t="s">
        <v>107</v>
      </c>
      <c r="B2" s="2"/>
      <c r="C2" s="2"/>
      <c r="D2" s="2"/>
      <c r="E2" s="2"/>
      <c r="F2" s="2"/>
      <c r="G2" s="2"/>
      <c r="H2" s="2"/>
      <c r="I2" s="2"/>
      <c r="J2" s="2"/>
      <c r="K2" s="2"/>
      <c r="L2" s="2"/>
      <c r="M2" s="2"/>
      <c r="N2" s="2"/>
      <c r="O2" s="2"/>
      <c r="P2" s="2"/>
      <c r="Q2" s="2"/>
      <c r="R2" s="2"/>
      <c r="S2" s="2"/>
      <c r="T2" s="2"/>
      <c r="U2" s="2"/>
      <c r="V2" s="2"/>
      <c r="W2" s="2"/>
    </row>
    <row r="3" spans="1:32" ht="18" customHeight="1" thickBot="1">
      <c r="A3" s="76" t="s">
        <v>108</v>
      </c>
      <c r="B3" s="2"/>
      <c r="C3" s="2"/>
      <c r="D3" s="2"/>
      <c r="E3" s="2"/>
      <c r="F3" s="2"/>
      <c r="G3" s="2"/>
      <c r="H3" s="2"/>
      <c r="I3" s="2"/>
      <c r="J3" s="2"/>
      <c r="K3" s="2"/>
      <c r="L3" s="2"/>
      <c r="M3" s="2"/>
      <c r="N3" s="2"/>
      <c r="O3" s="2"/>
      <c r="P3" s="2"/>
      <c r="Q3" s="2"/>
      <c r="R3" s="2"/>
      <c r="S3" s="2"/>
      <c r="T3" s="2"/>
      <c r="U3" s="2"/>
      <c r="V3" s="2"/>
      <c r="W3" s="2"/>
    </row>
    <row r="4" spans="1:32" ht="90.6" customHeight="1" thickBot="1">
      <c r="A4" s="120" t="s">
        <v>5</v>
      </c>
      <c r="B4" s="119" t="s">
        <v>7</v>
      </c>
      <c r="C4" s="140" t="s">
        <v>141</v>
      </c>
      <c r="D4" s="140" t="s">
        <v>143</v>
      </c>
      <c r="E4" s="140" t="s">
        <v>144</v>
      </c>
      <c r="F4" s="140" t="s">
        <v>145</v>
      </c>
      <c r="G4" s="60"/>
      <c r="H4" s="60"/>
      <c r="I4" s="60"/>
      <c r="J4" s="9"/>
      <c r="K4" s="9"/>
      <c r="L4" s="9"/>
      <c r="M4" s="9"/>
      <c r="N4" s="9"/>
      <c r="O4" s="9"/>
      <c r="P4" s="13"/>
      <c r="Q4" s="9"/>
      <c r="R4" s="9"/>
      <c r="S4" s="9"/>
      <c r="T4" s="9"/>
      <c r="U4" s="9"/>
      <c r="V4" s="9"/>
      <c r="W4" s="13"/>
      <c r="X4" s="13"/>
      <c r="Y4" s="13"/>
      <c r="Z4" s="13"/>
      <c r="AA4" s="13"/>
      <c r="AB4" s="9"/>
      <c r="AC4" s="9"/>
      <c r="AD4" s="9"/>
      <c r="AF4" s="8"/>
    </row>
    <row r="5" spans="1:32" s="77" customFormat="1" ht="51.75" customHeight="1">
      <c r="B5" s="75"/>
      <c r="C5" s="145" t="s">
        <v>106</v>
      </c>
      <c r="D5" s="113" t="s">
        <v>142</v>
      </c>
      <c r="E5" s="113" t="s">
        <v>142</v>
      </c>
      <c r="F5" s="113" t="s">
        <v>142</v>
      </c>
      <c r="G5" s="75"/>
      <c r="H5" s="75"/>
      <c r="I5" s="75"/>
      <c r="J5" s="75"/>
      <c r="K5" s="75"/>
      <c r="L5" s="75"/>
      <c r="M5" s="75"/>
      <c r="N5" s="75"/>
      <c r="O5" s="75"/>
      <c r="P5" s="75"/>
      <c r="Q5" s="75"/>
      <c r="R5" s="75"/>
      <c r="S5" s="75"/>
      <c r="T5" s="75"/>
      <c r="U5" s="75"/>
      <c r="V5" s="75"/>
      <c r="W5" s="75"/>
      <c r="AC5" s="75"/>
      <c r="AD5" s="75"/>
    </row>
    <row r="6" spans="1:32" ht="18">
      <c r="A6" s="129" t="s">
        <v>54</v>
      </c>
      <c r="C6" s="107"/>
      <c r="D6" s="107"/>
      <c r="E6" s="107"/>
      <c r="F6" s="107"/>
      <c r="X6" s="7"/>
      <c r="Y6" s="7"/>
    </row>
    <row r="7" spans="1:32" ht="18">
      <c r="A7" s="129" t="s">
        <v>94</v>
      </c>
      <c r="C7" s="107"/>
      <c r="D7" s="107"/>
      <c r="E7" s="114"/>
      <c r="F7" s="114"/>
      <c r="X7" s="7"/>
      <c r="Y7" s="7"/>
    </row>
    <row r="8" spans="1:32" ht="18">
      <c r="A8" s="129" t="s">
        <v>57</v>
      </c>
      <c r="C8" s="107"/>
      <c r="D8" s="107"/>
      <c r="E8" s="107"/>
      <c r="F8" s="107"/>
      <c r="X8" s="7"/>
      <c r="Y8" s="7"/>
    </row>
    <row r="9" spans="1:32" ht="18">
      <c r="A9" s="130" t="s">
        <v>58</v>
      </c>
      <c r="C9" s="40"/>
      <c r="D9" s="114"/>
      <c r="E9" s="114"/>
      <c r="F9" s="114"/>
      <c r="X9" s="7"/>
      <c r="Y9" s="7"/>
    </row>
    <row r="10" spans="1:32" ht="18">
      <c r="A10" s="129" t="s">
        <v>28</v>
      </c>
      <c r="C10" s="107"/>
      <c r="D10" s="107"/>
      <c r="E10" s="107"/>
      <c r="F10" s="107"/>
      <c r="X10" s="7"/>
      <c r="Y10" s="7"/>
    </row>
    <row r="11" spans="1:32" ht="18">
      <c r="A11" s="129" t="s">
        <v>59</v>
      </c>
      <c r="C11" s="107"/>
      <c r="D11" s="107"/>
      <c r="E11" s="114"/>
      <c r="F11" s="114"/>
      <c r="X11" s="7"/>
      <c r="Y11" s="7"/>
    </row>
    <row r="12" spans="1:32" ht="18">
      <c r="A12" s="129" t="s">
        <v>22</v>
      </c>
      <c r="C12" s="107"/>
      <c r="D12" s="107"/>
      <c r="E12" s="114"/>
      <c r="F12" s="114"/>
      <c r="X12" s="7"/>
      <c r="Y12" s="7"/>
    </row>
    <row r="13" spans="1:32" ht="18">
      <c r="A13" s="129" t="s">
        <v>23</v>
      </c>
      <c r="C13" s="107"/>
      <c r="D13" s="107"/>
      <c r="E13" s="107"/>
      <c r="F13" s="107"/>
      <c r="X13" s="7"/>
      <c r="Y13" s="7"/>
    </row>
    <row r="14" spans="1:32" ht="18">
      <c r="A14" s="129" t="s">
        <v>24</v>
      </c>
      <c r="C14" s="107"/>
      <c r="D14" s="107"/>
      <c r="E14" s="107"/>
      <c r="F14" s="107"/>
      <c r="X14" s="7"/>
      <c r="Y14" s="7"/>
    </row>
    <row r="15" spans="1:32" ht="18">
      <c r="A15" s="129" t="s">
        <v>60</v>
      </c>
      <c r="C15" s="107"/>
      <c r="D15" s="107"/>
      <c r="E15" s="107"/>
      <c r="F15" s="107"/>
      <c r="X15" s="7"/>
      <c r="Y15" s="7"/>
    </row>
    <row r="16" spans="1:32" ht="18">
      <c r="A16" s="129" t="s">
        <v>61</v>
      </c>
      <c r="C16" s="107"/>
      <c r="D16" s="107"/>
      <c r="E16" s="107"/>
      <c r="F16" s="107"/>
      <c r="X16" s="7"/>
      <c r="Y16" s="7"/>
    </row>
    <row r="17" spans="1:126" ht="15" customHeight="1">
      <c r="A17" s="129" t="s">
        <v>62</v>
      </c>
      <c r="C17" s="114"/>
      <c r="D17" s="114"/>
      <c r="E17" s="107"/>
      <c r="F17" s="107"/>
      <c r="W17" s="8"/>
      <c r="X17" s="7"/>
      <c r="Y17" s="7"/>
    </row>
    <row r="18" spans="1:126" ht="18">
      <c r="A18" s="129" t="s">
        <v>25</v>
      </c>
      <c r="C18" s="107"/>
      <c r="D18" s="107"/>
      <c r="E18" s="107"/>
      <c r="F18" s="107"/>
      <c r="X18" s="7"/>
      <c r="Y18" s="7"/>
    </row>
    <row r="19" spans="1:126" ht="18">
      <c r="A19" s="129" t="s">
        <v>63</v>
      </c>
      <c r="C19" s="107"/>
      <c r="D19" s="107"/>
      <c r="E19" s="114"/>
      <c r="F19" s="114"/>
      <c r="X19" s="7"/>
      <c r="Y19" s="7"/>
    </row>
    <row r="20" spans="1:126" ht="18">
      <c r="A20" s="129" t="s">
        <v>95</v>
      </c>
      <c r="C20" s="114"/>
      <c r="D20" s="114"/>
      <c r="E20" s="114"/>
      <c r="F20" s="114"/>
      <c r="X20" s="7"/>
      <c r="Y20" s="7"/>
    </row>
    <row r="21" spans="1:126" ht="18">
      <c r="A21" s="129" t="s">
        <v>26</v>
      </c>
      <c r="C21" s="107"/>
      <c r="D21" s="107"/>
      <c r="E21" s="107"/>
      <c r="F21" s="107"/>
      <c r="X21" s="7"/>
      <c r="Y21" s="7"/>
    </row>
    <row r="22" spans="1:126" ht="18">
      <c r="A22" s="129" t="s">
        <v>64</v>
      </c>
      <c r="C22" s="107"/>
      <c r="D22" s="107"/>
      <c r="E22" s="107"/>
      <c r="F22" s="107"/>
      <c r="X22" s="7"/>
      <c r="Y22" s="7"/>
    </row>
    <row r="23" spans="1:126" ht="18">
      <c r="A23" s="129" t="s">
        <v>96</v>
      </c>
      <c r="C23" s="107"/>
      <c r="D23" s="107"/>
      <c r="E23" s="107"/>
      <c r="F23" s="107"/>
      <c r="X23" s="7"/>
      <c r="Y23" s="7"/>
    </row>
    <row r="24" spans="1:126" ht="18">
      <c r="A24" s="129" t="s">
        <v>52</v>
      </c>
      <c r="C24" s="114"/>
      <c r="D24" s="114"/>
      <c r="E24" s="114"/>
      <c r="F24" s="114"/>
      <c r="X24" s="7"/>
      <c r="Y24" s="7"/>
    </row>
    <row r="25" spans="1:126" ht="18">
      <c r="A25" s="129" t="s">
        <v>99</v>
      </c>
      <c r="C25" s="107"/>
      <c r="D25" s="107"/>
      <c r="E25" s="107"/>
      <c r="F25" s="107"/>
      <c r="X25" s="7"/>
      <c r="Y25" s="7"/>
    </row>
    <row r="26" spans="1:126" ht="18">
      <c r="A26" s="129" t="s">
        <v>65</v>
      </c>
      <c r="C26" s="107"/>
      <c r="D26" s="107"/>
      <c r="E26" s="107"/>
      <c r="F26" s="107"/>
      <c r="X26" s="7"/>
      <c r="Y26" s="7"/>
    </row>
    <row r="27" spans="1:126" s="16" customFormat="1" ht="15.75">
      <c r="A27" s="15" t="s">
        <v>18</v>
      </c>
      <c r="B27" s="16">
        <f t="shared" ref="B27" si="0">COUNTIF(B6:B26,"sim")</f>
        <v>0</v>
      </c>
      <c r="C27" s="103">
        <f>COUNTIF(C6:C26,"sim")</f>
        <v>0</v>
      </c>
      <c r="D27" s="103">
        <f t="shared" ref="D27:F27" si="1">COUNTIF(D6:D26,"sim")</f>
        <v>0</v>
      </c>
      <c r="E27" s="103">
        <f t="shared" ref="E27" si="2">COUNTIF(E6:E26,"sim")</f>
        <v>0</v>
      </c>
      <c r="F27" s="103">
        <f t="shared" si="1"/>
        <v>0</v>
      </c>
      <c r="M27" s="16">
        <f t="shared" ref="M27:AR27" si="3">COUNTIF(M6:M26,"sim")</f>
        <v>0</v>
      </c>
      <c r="N27" s="16">
        <f t="shared" si="3"/>
        <v>0</v>
      </c>
      <c r="O27" s="16">
        <f t="shared" si="3"/>
        <v>0</v>
      </c>
      <c r="P27" s="16">
        <f t="shared" si="3"/>
        <v>0</v>
      </c>
      <c r="Q27" s="16">
        <f t="shared" si="3"/>
        <v>0</v>
      </c>
      <c r="R27" s="16">
        <f t="shared" si="3"/>
        <v>0</v>
      </c>
      <c r="S27" s="16">
        <f t="shared" si="3"/>
        <v>0</v>
      </c>
      <c r="T27" s="16">
        <f t="shared" si="3"/>
        <v>0</v>
      </c>
      <c r="U27" s="16">
        <f t="shared" si="3"/>
        <v>0</v>
      </c>
      <c r="V27" s="16">
        <f t="shared" si="3"/>
        <v>0</v>
      </c>
      <c r="W27" s="16">
        <f t="shared" si="3"/>
        <v>0</v>
      </c>
      <c r="X27" s="16">
        <f t="shared" si="3"/>
        <v>0</v>
      </c>
      <c r="Y27" s="16">
        <f t="shared" si="3"/>
        <v>0</v>
      </c>
      <c r="Z27" s="16">
        <f t="shared" si="3"/>
        <v>0</v>
      </c>
      <c r="AA27" s="16">
        <f t="shared" si="3"/>
        <v>0</v>
      </c>
      <c r="AB27" s="16">
        <f t="shared" si="3"/>
        <v>0</v>
      </c>
      <c r="AC27" s="16">
        <f t="shared" si="3"/>
        <v>0</v>
      </c>
      <c r="AD27" s="16">
        <f t="shared" si="3"/>
        <v>0</v>
      </c>
      <c r="AE27" s="16">
        <f t="shared" si="3"/>
        <v>0</v>
      </c>
      <c r="AF27" s="16">
        <f t="shared" si="3"/>
        <v>0</v>
      </c>
      <c r="AG27" s="16">
        <f t="shared" si="3"/>
        <v>0</v>
      </c>
      <c r="AH27" s="16">
        <f t="shared" si="3"/>
        <v>0</v>
      </c>
      <c r="AI27" s="16">
        <f t="shared" si="3"/>
        <v>0</v>
      </c>
      <c r="AJ27" s="16">
        <f t="shared" si="3"/>
        <v>0</v>
      </c>
      <c r="AK27" s="16">
        <f t="shared" si="3"/>
        <v>0</v>
      </c>
      <c r="AL27" s="16">
        <f t="shared" si="3"/>
        <v>0</v>
      </c>
      <c r="AM27" s="16">
        <f t="shared" si="3"/>
        <v>0</v>
      </c>
      <c r="AN27" s="16">
        <f t="shared" si="3"/>
        <v>0</v>
      </c>
      <c r="AO27" s="16">
        <f t="shared" si="3"/>
        <v>0</v>
      </c>
      <c r="AP27" s="16">
        <f t="shared" si="3"/>
        <v>0</v>
      </c>
      <c r="AQ27" s="16">
        <f t="shared" si="3"/>
        <v>0</v>
      </c>
      <c r="AR27" s="16">
        <f t="shared" si="3"/>
        <v>0</v>
      </c>
      <c r="AS27" s="16">
        <f t="shared" ref="AS27:BX27" si="4">COUNTIF(AS6:AS26,"sim")</f>
        <v>0</v>
      </c>
      <c r="AT27" s="16">
        <f t="shared" si="4"/>
        <v>0</v>
      </c>
      <c r="AU27" s="16">
        <f t="shared" si="4"/>
        <v>0</v>
      </c>
      <c r="AV27" s="16">
        <f t="shared" si="4"/>
        <v>0</v>
      </c>
      <c r="AW27" s="16">
        <f t="shared" si="4"/>
        <v>0</v>
      </c>
      <c r="AX27" s="16">
        <f t="shared" si="4"/>
        <v>0</v>
      </c>
      <c r="AY27" s="16">
        <f t="shared" si="4"/>
        <v>0</v>
      </c>
      <c r="AZ27" s="16">
        <f t="shared" si="4"/>
        <v>0</v>
      </c>
      <c r="BA27" s="16">
        <f t="shared" si="4"/>
        <v>0</v>
      </c>
      <c r="BB27" s="16">
        <f t="shared" si="4"/>
        <v>0</v>
      </c>
      <c r="BC27" s="16">
        <f t="shared" si="4"/>
        <v>0</v>
      </c>
      <c r="BD27" s="16">
        <f t="shared" si="4"/>
        <v>0</v>
      </c>
      <c r="BE27" s="16">
        <f t="shared" si="4"/>
        <v>0</v>
      </c>
      <c r="BF27" s="16">
        <f t="shared" si="4"/>
        <v>0</v>
      </c>
      <c r="BG27" s="16">
        <f t="shared" si="4"/>
        <v>0</v>
      </c>
      <c r="BH27" s="16">
        <f t="shared" si="4"/>
        <v>0</v>
      </c>
      <c r="BI27" s="16">
        <f t="shared" si="4"/>
        <v>0</v>
      </c>
      <c r="BJ27" s="16">
        <f t="shared" si="4"/>
        <v>0</v>
      </c>
      <c r="BK27" s="16">
        <f t="shared" si="4"/>
        <v>0</v>
      </c>
      <c r="BL27" s="16">
        <f t="shared" si="4"/>
        <v>0</v>
      </c>
      <c r="BM27" s="16">
        <f t="shared" si="4"/>
        <v>0</v>
      </c>
      <c r="BN27" s="16">
        <f t="shared" si="4"/>
        <v>0</v>
      </c>
      <c r="BO27" s="16">
        <f t="shared" si="4"/>
        <v>0</v>
      </c>
      <c r="BP27" s="16">
        <f t="shared" si="4"/>
        <v>0</v>
      </c>
      <c r="BQ27" s="16">
        <f t="shared" si="4"/>
        <v>0</v>
      </c>
      <c r="BR27" s="16">
        <f t="shared" si="4"/>
        <v>0</v>
      </c>
      <c r="BS27" s="16">
        <f t="shared" si="4"/>
        <v>0</v>
      </c>
      <c r="BT27" s="16">
        <f t="shared" si="4"/>
        <v>0</v>
      </c>
      <c r="BU27" s="16">
        <f t="shared" si="4"/>
        <v>0</v>
      </c>
      <c r="BV27" s="16">
        <f t="shared" si="4"/>
        <v>0</v>
      </c>
      <c r="BW27" s="16">
        <f t="shared" si="4"/>
        <v>0</v>
      </c>
      <c r="BX27" s="16">
        <f t="shared" si="4"/>
        <v>0</v>
      </c>
      <c r="BY27" s="16">
        <f t="shared" ref="BY27:DD27" si="5">COUNTIF(BY6:BY26,"sim")</f>
        <v>0</v>
      </c>
      <c r="BZ27" s="16">
        <f t="shared" si="5"/>
        <v>0</v>
      </c>
      <c r="CA27" s="16">
        <f t="shared" si="5"/>
        <v>0</v>
      </c>
      <c r="CB27" s="16">
        <f t="shared" si="5"/>
        <v>0</v>
      </c>
      <c r="CC27" s="16">
        <f t="shared" si="5"/>
        <v>0</v>
      </c>
      <c r="CD27" s="16">
        <f t="shared" si="5"/>
        <v>0</v>
      </c>
      <c r="CE27" s="16">
        <f t="shared" si="5"/>
        <v>0</v>
      </c>
      <c r="CF27" s="16">
        <f t="shared" si="5"/>
        <v>0</v>
      </c>
      <c r="CG27" s="16">
        <f t="shared" si="5"/>
        <v>0</v>
      </c>
      <c r="CH27" s="16">
        <f t="shared" si="5"/>
        <v>0</v>
      </c>
      <c r="CI27" s="16">
        <f t="shared" si="5"/>
        <v>0</v>
      </c>
      <c r="CJ27" s="16">
        <f t="shared" si="5"/>
        <v>0</v>
      </c>
      <c r="CK27" s="16">
        <f t="shared" si="5"/>
        <v>0</v>
      </c>
      <c r="CL27" s="16">
        <f t="shared" si="5"/>
        <v>0</v>
      </c>
      <c r="CM27" s="16">
        <f t="shared" si="5"/>
        <v>0</v>
      </c>
      <c r="CN27" s="16">
        <f t="shared" si="5"/>
        <v>0</v>
      </c>
      <c r="CO27" s="16">
        <f t="shared" si="5"/>
        <v>0</v>
      </c>
      <c r="CP27" s="16">
        <f t="shared" si="5"/>
        <v>0</v>
      </c>
      <c r="CQ27" s="16">
        <f t="shared" si="5"/>
        <v>0</v>
      </c>
      <c r="CR27" s="16">
        <f t="shared" si="5"/>
        <v>0</v>
      </c>
      <c r="CS27" s="16">
        <f t="shared" si="5"/>
        <v>0</v>
      </c>
      <c r="CT27" s="16">
        <f t="shared" si="5"/>
        <v>0</v>
      </c>
      <c r="CU27" s="16">
        <f t="shared" si="5"/>
        <v>0</v>
      </c>
      <c r="CV27" s="16">
        <f t="shared" si="5"/>
        <v>0</v>
      </c>
      <c r="CW27" s="16">
        <f t="shared" si="5"/>
        <v>0</v>
      </c>
      <c r="CX27" s="16">
        <f t="shared" si="5"/>
        <v>0</v>
      </c>
      <c r="CY27" s="16">
        <f t="shared" si="5"/>
        <v>0</v>
      </c>
      <c r="CZ27" s="16">
        <f t="shared" si="5"/>
        <v>0</v>
      </c>
      <c r="DA27" s="16">
        <f t="shared" si="5"/>
        <v>0</v>
      </c>
      <c r="DB27" s="16">
        <f t="shared" si="5"/>
        <v>0</v>
      </c>
      <c r="DC27" s="16">
        <f t="shared" si="5"/>
        <v>0</v>
      </c>
      <c r="DD27" s="16">
        <f t="shared" si="5"/>
        <v>0</v>
      </c>
      <c r="DE27" s="16">
        <f t="shared" ref="DE27:DV27" si="6">COUNTIF(DE6:DE26,"sim")</f>
        <v>0</v>
      </c>
      <c r="DF27" s="16">
        <f t="shared" si="6"/>
        <v>0</v>
      </c>
      <c r="DG27" s="16">
        <f t="shared" si="6"/>
        <v>0</v>
      </c>
      <c r="DH27" s="16">
        <f t="shared" si="6"/>
        <v>0</v>
      </c>
      <c r="DI27" s="16">
        <f t="shared" si="6"/>
        <v>0</v>
      </c>
      <c r="DJ27" s="16">
        <f t="shared" si="6"/>
        <v>0</v>
      </c>
      <c r="DK27" s="16">
        <f t="shared" si="6"/>
        <v>0</v>
      </c>
      <c r="DL27" s="16">
        <f t="shared" si="6"/>
        <v>0</v>
      </c>
      <c r="DM27" s="16">
        <f t="shared" si="6"/>
        <v>0</v>
      </c>
      <c r="DN27" s="16">
        <f t="shared" si="6"/>
        <v>0</v>
      </c>
      <c r="DO27" s="16">
        <f t="shared" si="6"/>
        <v>0</v>
      </c>
      <c r="DP27" s="16">
        <f t="shared" si="6"/>
        <v>0</v>
      </c>
      <c r="DQ27" s="16">
        <f t="shared" si="6"/>
        <v>0</v>
      </c>
      <c r="DR27" s="16">
        <f t="shared" si="6"/>
        <v>0</v>
      </c>
      <c r="DS27" s="16">
        <f t="shared" si="6"/>
        <v>0</v>
      </c>
      <c r="DT27" s="16">
        <f t="shared" si="6"/>
        <v>0</v>
      </c>
      <c r="DU27" s="16">
        <f t="shared" si="6"/>
        <v>0</v>
      </c>
      <c r="DV27" s="16">
        <f t="shared" si="6"/>
        <v>0</v>
      </c>
    </row>
    <row r="28" spans="1:126" s="18" customFormat="1" ht="15.75">
      <c r="A28" s="17" t="s">
        <v>19</v>
      </c>
      <c r="B28" s="18">
        <f t="shared" ref="B28" si="7">COUNTIF(B6:B26,"não")</f>
        <v>0</v>
      </c>
      <c r="C28" s="104">
        <f>COUNTIF(C6:C26,"não")</f>
        <v>0</v>
      </c>
      <c r="D28" s="104">
        <f t="shared" ref="D28:F28" si="8">COUNTIF(D6:D26,"não")</f>
        <v>0</v>
      </c>
      <c r="E28" s="104">
        <f t="shared" ref="E28" si="9">COUNTIF(E6:E26,"não")</f>
        <v>0</v>
      </c>
      <c r="F28" s="104">
        <f t="shared" si="8"/>
        <v>0</v>
      </c>
      <c r="M28" s="18">
        <f t="shared" ref="M28:AR28" si="10">COUNTIF(M6:M27,"não")</f>
        <v>0</v>
      </c>
      <c r="N28" s="18">
        <f t="shared" si="10"/>
        <v>0</v>
      </c>
      <c r="O28" s="18">
        <f t="shared" si="10"/>
        <v>0</v>
      </c>
      <c r="P28" s="18">
        <f t="shared" si="10"/>
        <v>0</v>
      </c>
      <c r="Q28" s="18">
        <f t="shared" si="10"/>
        <v>0</v>
      </c>
      <c r="R28" s="18">
        <f t="shared" si="10"/>
        <v>0</v>
      </c>
      <c r="S28" s="18">
        <f t="shared" si="10"/>
        <v>0</v>
      </c>
      <c r="T28" s="18">
        <f t="shared" si="10"/>
        <v>0</v>
      </c>
      <c r="U28" s="18">
        <f t="shared" si="10"/>
        <v>0</v>
      </c>
      <c r="V28" s="18">
        <f t="shared" si="10"/>
        <v>0</v>
      </c>
      <c r="W28" s="18">
        <f t="shared" si="10"/>
        <v>0</v>
      </c>
      <c r="X28" s="18">
        <f t="shared" si="10"/>
        <v>0</v>
      </c>
      <c r="Y28" s="18">
        <f t="shared" si="10"/>
        <v>0</v>
      </c>
      <c r="Z28" s="18">
        <f t="shared" si="10"/>
        <v>0</v>
      </c>
      <c r="AA28" s="18">
        <f t="shared" si="10"/>
        <v>0</v>
      </c>
      <c r="AB28" s="18">
        <f t="shared" si="10"/>
        <v>0</v>
      </c>
      <c r="AC28" s="18">
        <f t="shared" si="10"/>
        <v>0</v>
      </c>
      <c r="AD28" s="18">
        <f t="shared" si="10"/>
        <v>0</v>
      </c>
      <c r="AE28" s="18">
        <f t="shared" si="10"/>
        <v>0</v>
      </c>
      <c r="AF28" s="18">
        <f t="shared" si="10"/>
        <v>0</v>
      </c>
      <c r="AG28" s="18">
        <f t="shared" si="10"/>
        <v>0</v>
      </c>
      <c r="AH28" s="18">
        <f t="shared" si="10"/>
        <v>0</v>
      </c>
      <c r="AI28" s="18">
        <f t="shared" si="10"/>
        <v>0</v>
      </c>
      <c r="AJ28" s="18">
        <f t="shared" si="10"/>
        <v>0</v>
      </c>
      <c r="AK28" s="18">
        <f t="shared" si="10"/>
        <v>0</v>
      </c>
      <c r="AL28" s="18">
        <f t="shared" si="10"/>
        <v>0</v>
      </c>
      <c r="AM28" s="18">
        <f t="shared" si="10"/>
        <v>0</v>
      </c>
      <c r="AN28" s="18">
        <f t="shared" si="10"/>
        <v>0</v>
      </c>
      <c r="AO28" s="18">
        <f t="shared" si="10"/>
        <v>0</v>
      </c>
      <c r="AP28" s="18">
        <f t="shared" si="10"/>
        <v>0</v>
      </c>
      <c r="AQ28" s="18">
        <f t="shared" si="10"/>
        <v>0</v>
      </c>
      <c r="AR28" s="18">
        <f t="shared" si="10"/>
        <v>0</v>
      </c>
      <c r="AS28" s="18">
        <f t="shared" ref="AS28:BX28" si="11">COUNTIF(AS6:AS27,"não")</f>
        <v>0</v>
      </c>
      <c r="AT28" s="18">
        <f t="shared" si="11"/>
        <v>0</v>
      </c>
      <c r="AU28" s="18">
        <f t="shared" si="11"/>
        <v>0</v>
      </c>
      <c r="AV28" s="18">
        <f t="shared" si="11"/>
        <v>0</v>
      </c>
      <c r="AW28" s="18">
        <f t="shared" si="11"/>
        <v>0</v>
      </c>
      <c r="AX28" s="18">
        <f t="shared" si="11"/>
        <v>0</v>
      </c>
      <c r="AY28" s="18">
        <f t="shared" si="11"/>
        <v>0</v>
      </c>
      <c r="AZ28" s="18">
        <f t="shared" si="11"/>
        <v>0</v>
      </c>
      <c r="BA28" s="18">
        <f t="shared" si="11"/>
        <v>0</v>
      </c>
      <c r="BB28" s="18">
        <f t="shared" si="11"/>
        <v>0</v>
      </c>
      <c r="BC28" s="18">
        <f t="shared" si="11"/>
        <v>0</v>
      </c>
      <c r="BD28" s="18">
        <f t="shared" si="11"/>
        <v>0</v>
      </c>
      <c r="BE28" s="18">
        <f t="shared" si="11"/>
        <v>0</v>
      </c>
      <c r="BF28" s="18">
        <f t="shared" si="11"/>
        <v>0</v>
      </c>
      <c r="BG28" s="18">
        <f t="shared" si="11"/>
        <v>0</v>
      </c>
      <c r="BH28" s="18">
        <f t="shared" si="11"/>
        <v>0</v>
      </c>
      <c r="BI28" s="18">
        <f t="shared" si="11"/>
        <v>0</v>
      </c>
      <c r="BJ28" s="18">
        <f t="shared" si="11"/>
        <v>0</v>
      </c>
      <c r="BK28" s="18">
        <f t="shared" si="11"/>
        <v>0</v>
      </c>
      <c r="BL28" s="18">
        <f t="shared" si="11"/>
        <v>0</v>
      </c>
      <c r="BM28" s="18">
        <f t="shared" si="11"/>
        <v>0</v>
      </c>
      <c r="BN28" s="18">
        <f t="shared" si="11"/>
        <v>0</v>
      </c>
      <c r="BO28" s="18">
        <f t="shared" si="11"/>
        <v>0</v>
      </c>
      <c r="BP28" s="18">
        <f t="shared" si="11"/>
        <v>0</v>
      </c>
      <c r="BQ28" s="18">
        <f t="shared" si="11"/>
        <v>0</v>
      </c>
      <c r="BR28" s="18">
        <f t="shared" si="11"/>
        <v>0</v>
      </c>
      <c r="BS28" s="18">
        <f t="shared" si="11"/>
        <v>0</v>
      </c>
      <c r="BT28" s="18">
        <f t="shared" si="11"/>
        <v>0</v>
      </c>
      <c r="BU28" s="18">
        <f t="shared" si="11"/>
        <v>0</v>
      </c>
      <c r="BV28" s="18">
        <f t="shared" si="11"/>
        <v>0</v>
      </c>
      <c r="BW28" s="18">
        <f t="shared" si="11"/>
        <v>0</v>
      </c>
      <c r="BX28" s="18">
        <f t="shared" si="11"/>
        <v>0</v>
      </c>
      <c r="BY28" s="18">
        <f t="shared" ref="BY28:DD28" si="12">COUNTIF(BY6:BY27,"não")</f>
        <v>0</v>
      </c>
      <c r="BZ28" s="18">
        <f t="shared" si="12"/>
        <v>0</v>
      </c>
      <c r="CA28" s="18">
        <f t="shared" si="12"/>
        <v>0</v>
      </c>
      <c r="CB28" s="18">
        <f t="shared" si="12"/>
        <v>0</v>
      </c>
      <c r="CC28" s="18">
        <f t="shared" si="12"/>
        <v>0</v>
      </c>
      <c r="CD28" s="18">
        <f t="shared" si="12"/>
        <v>0</v>
      </c>
      <c r="CE28" s="18">
        <f t="shared" si="12"/>
        <v>0</v>
      </c>
      <c r="CF28" s="18">
        <f t="shared" si="12"/>
        <v>0</v>
      </c>
      <c r="CG28" s="18">
        <f t="shared" si="12"/>
        <v>0</v>
      </c>
      <c r="CH28" s="18">
        <f t="shared" si="12"/>
        <v>0</v>
      </c>
      <c r="CI28" s="18">
        <f t="shared" si="12"/>
        <v>0</v>
      </c>
      <c r="CJ28" s="18">
        <f t="shared" si="12"/>
        <v>0</v>
      </c>
      <c r="CK28" s="18">
        <f t="shared" si="12"/>
        <v>0</v>
      </c>
      <c r="CL28" s="18">
        <f t="shared" si="12"/>
        <v>0</v>
      </c>
      <c r="CM28" s="18">
        <f t="shared" si="12"/>
        <v>0</v>
      </c>
      <c r="CN28" s="18">
        <f t="shared" si="12"/>
        <v>0</v>
      </c>
      <c r="CO28" s="18">
        <f t="shared" si="12"/>
        <v>0</v>
      </c>
      <c r="CP28" s="18">
        <f t="shared" si="12"/>
        <v>0</v>
      </c>
      <c r="CQ28" s="18">
        <f t="shared" si="12"/>
        <v>0</v>
      </c>
      <c r="CR28" s="18">
        <f t="shared" si="12"/>
        <v>0</v>
      </c>
      <c r="CS28" s="18">
        <f t="shared" si="12"/>
        <v>0</v>
      </c>
      <c r="CT28" s="18">
        <f t="shared" si="12"/>
        <v>0</v>
      </c>
      <c r="CU28" s="18">
        <f t="shared" si="12"/>
        <v>0</v>
      </c>
      <c r="CV28" s="18">
        <f t="shared" si="12"/>
        <v>0</v>
      </c>
      <c r="CW28" s="18">
        <f t="shared" si="12"/>
        <v>0</v>
      </c>
      <c r="CX28" s="18">
        <f t="shared" si="12"/>
        <v>0</v>
      </c>
      <c r="CY28" s="18">
        <f t="shared" si="12"/>
        <v>0</v>
      </c>
      <c r="CZ28" s="18">
        <f t="shared" si="12"/>
        <v>0</v>
      </c>
      <c r="DA28" s="18">
        <f t="shared" si="12"/>
        <v>0</v>
      </c>
      <c r="DB28" s="18">
        <f t="shared" si="12"/>
        <v>0</v>
      </c>
      <c r="DC28" s="18">
        <f t="shared" si="12"/>
        <v>0</v>
      </c>
      <c r="DD28" s="18">
        <f t="shared" si="12"/>
        <v>0</v>
      </c>
      <c r="DE28" s="18">
        <f t="shared" ref="DE28:DV28" si="13">COUNTIF(DE6:DE27,"não")</f>
        <v>0</v>
      </c>
      <c r="DF28" s="18">
        <f t="shared" si="13"/>
        <v>0</v>
      </c>
      <c r="DG28" s="18">
        <f t="shared" si="13"/>
        <v>0</v>
      </c>
      <c r="DH28" s="18">
        <f t="shared" si="13"/>
        <v>0</v>
      </c>
      <c r="DI28" s="18">
        <f t="shared" si="13"/>
        <v>0</v>
      </c>
      <c r="DJ28" s="18">
        <f t="shared" si="13"/>
        <v>0</v>
      </c>
      <c r="DK28" s="18">
        <f t="shared" si="13"/>
        <v>0</v>
      </c>
      <c r="DL28" s="18">
        <f t="shared" si="13"/>
        <v>0</v>
      </c>
      <c r="DM28" s="18">
        <f t="shared" si="13"/>
        <v>0</v>
      </c>
      <c r="DN28" s="18">
        <f t="shared" si="13"/>
        <v>0</v>
      </c>
      <c r="DO28" s="18">
        <f t="shared" si="13"/>
        <v>0</v>
      </c>
      <c r="DP28" s="18">
        <f t="shared" si="13"/>
        <v>0</v>
      </c>
      <c r="DQ28" s="18">
        <f t="shared" si="13"/>
        <v>0</v>
      </c>
      <c r="DR28" s="18">
        <f t="shared" si="13"/>
        <v>0</v>
      </c>
      <c r="DS28" s="18">
        <f t="shared" si="13"/>
        <v>0</v>
      </c>
      <c r="DT28" s="18">
        <f t="shared" si="13"/>
        <v>0</v>
      </c>
      <c r="DU28" s="18">
        <f t="shared" si="13"/>
        <v>0</v>
      </c>
      <c r="DV28" s="18">
        <f t="shared" si="13"/>
        <v>0</v>
      </c>
    </row>
    <row r="29" spans="1:126" ht="15.75">
      <c r="A29" s="14" t="s">
        <v>11</v>
      </c>
      <c r="B29">
        <f t="shared" ref="B29" si="14">COUNTIF(B6:B26,"ausente")</f>
        <v>0</v>
      </c>
      <c r="C29" s="40">
        <f>COUNTIF(C6:C26,"ausente")</f>
        <v>0</v>
      </c>
      <c r="D29" s="40">
        <f t="shared" ref="D29:F29" si="15">COUNTIF(D6:D26,"ausente")</f>
        <v>0</v>
      </c>
      <c r="E29" s="40">
        <f t="shared" ref="E29" si="16">COUNTIF(E6:E26,"ausente")</f>
        <v>0</v>
      </c>
      <c r="F29" s="40">
        <f t="shared" si="15"/>
        <v>0</v>
      </c>
      <c r="M29">
        <f t="shared" ref="M29:AR29" si="17">COUNTIF(M6:M28,"ausente")</f>
        <v>0</v>
      </c>
      <c r="N29">
        <f t="shared" si="17"/>
        <v>0</v>
      </c>
      <c r="O29">
        <f t="shared" si="17"/>
        <v>0</v>
      </c>
      <c r="P29">
        <f t="shared" si="17"/>
        <v>0</v>
      </c>
      <c r="Q29">
        <f t="shared" si="17"/>
        <v>0</v>
      </c>
      <c r="R29">
        <f t="shared" si="17"/>
        <v>0</v>
      </c>
      <c r="S29">
        <f t="shared" si="17"/>
        <v>0</v>
      </c>
      <c r="T29">
        <f t="shared" si="17"/>
        <v>0</v>
      </c>
      <c r="U29">
        <f t="shared" si="17"/>
        <v>0</v>
      </c>
      <c r="V29">
        <f t="shared" si="17"/>
        <v>0</v>
      </c>
      <c r="W29">
        <f t="shared" si="17"/>
        <v>0</v>
      </c>
      <c r="X29">
        <f t="shared" si="17"/>
        <v>0</v>
      </c>
      <c r="Y29">
        <f t="shared" si="17"/>
        <v>0</v>
      </c>
      <c r="Z29">
        <f t="shared" si="17"/>
        <v>0</v>
      </c>
      <c r="AA29">
        <f t="shared" si="17"/>
        <v>0</v>
      </c>
      <c r="AB29">
        <f t="shared" si="17"/>
        <v>0</v>
      </c>
      <c r="AC29">
        <f t="shared" si="17"/>
        <v>0</v>
      </c>
      <c r="AD29">
        <f t="shared" si="17"/>
        <v>0</v>
      </c>
      <c r="AE29">
        <f t="shared" si="17"/>
        <v>0</v>
      </c>
      <c r="AF29">
        <f t="shared" si="17"/>
        <v>0</v>
      </c>
      <c r="AG29">
        <f t="shared" si="17"/>
        <v>0</v>
      </c>
      <c r="AH29">
        <f t="shared" si="17"/>
        <v>0</v>
      </c>
      <c r="AI29">
        <f t="shared" si="17"/>
        <v>0</v>
      </c>
      <c r="AJ29">
        <f t="shared" si="17"/>
        <v>0</v>
      </c>
      <c r="AK29">
        <f t="shared" si="17"/>
        <v>0</v>
      </c>
      <c r="AL29">
        <f t="shared" si="17"/>
        <v>0</v>
      </c>
      <c r="AM29">
        <f t="shared" si="17"/>
        <v>0</v>
      </c>
      <c r="AN29">
        <f t="shared" si="17"/>
        <v>0</v>
      </c>
      <c r="AO29">
        <f t="shared" si="17"/>
        <v>0</v>
      </c>
      <c r="AP29">
        <f t="shared" si="17"/>
        <v>0</v>
      </c>
      <c r="AQ29">
        <f t="shared" si="17"/>
        <v>0</v>
      </c>
      <c r="AR29">
        <f t="shared" si="17"/>
        <v>0</v>
      </c>
      <c r="AS29">
        <f t="shared" ref="AS29:BX29" si="18">COUNTIF(AS6:AS28,"ausente")</f>
        <v>0</v>
      </c>
      <c r="AT29">
        <f t="shared" si="18"/>
        <v>0</v>
      </c>
      <c r="AU29">
        <f t="shared" si="18"/>
        <v>0</v>
      </c>
      <c r="AV29">
        <f t="shared" si="18"/>
        <v>0</v>
      </c>
      <c r="AW29">
        <f t="shared" si="18"/>
        <v>0</v>
      </c>
      <c r="AX29">
        <f t="shared" si="18"/>
        <v>0</v>
      </c>
      <c r="AY29">
        <f t="shared" si="18"/>
        <v>0</v>
      </c>
      <c r="AZ29">
        <f t="shared" si="18"/>
        <v>0</v>
      </c>
      <c r="BA29">
        <f t="shared" si="18"/>
        <v>0</v>
      </c>
      <c r="BB29">
        <f t="shared" si="18"/>
        <v>0</v>
      </c>
      <c r="BC29">
        <f t="shared" si="18"/>
        <v>0</v>
      </c>
      <c r="BD29">
        <f t="shared" si="18"/>
        <v>0</v>
      </c>
      <c r="BE29">
        <f t="shared" si="18"/>
        <v>0</v>
      </c>
      <c r="BF29">
        <f t="shared" si="18"/>
        <v>0</v>
      </c>
      <c r="BG29">
        <f t="shared" si="18"/>
        <v>0</v>
      </c>
      <c r="BH29">
        <f t="shared" si="18"/>
        <v>0</v>
      </c>
      <c r="BI29">
        <f t="shared" si="18"/>
        <v>0</v>
      </c>
      <c r="BJ29">
        <f t="shared" si="18"/>
        <v>0</v>
      </c>
      <c r="BK29">
        <f t="shared" si="18"/>
        <v>0</v>
      </c>
      <c r="BL29">
        <f t="shared" si="18"/>
        <v>0</v>
      </c>
      <c r="BM29">
        <f t="shared" si="18"/>
        <v>0</v>
      </c>
      <c r="BN29">
        <f t="shared" si="18"/>
        <v>0</v>
      </c>
      <c r="BO29">
        <f t="shared" si="18"/>
        <v>0</v>
      </c>
      <c r="BP29">
        <f t="shared" si="18"/>
        <v>0</v>
      </c>
      <c r="BQ29">
        <f t="shared" si="18"/>
        <v>0</v>
      </c>
      <c r="BR29">
        <f t="shared" si="18"/>
        <v>0</v>
      </c>
      <c r="BS29">
        <f t="shared" si="18"/>
        <v>0</v>
      </c>
      <c r="BT29">
        <f t="shared" si="18"/>
        <v>0</v>
      </c>
      <c r="BU29">
        <f t="shared" si="18"/>
        <v>0</v>
      </c>
      <c r="BV29">
        <f t="shared" si="18"/>
        <v>0</v>
      </c>
      <c r="BW29">
        <f t="shared" si="18"/>
        <v>0</v>
      </c>
      <c r="BX29">
        <f t="shared" si="18"/>
        <v>0</v>
      </c>
      <c r="BY29">
        <f t="shared" ref="BY29:DD29" si="19">COUNTIF(BY6:BY28,"ausente")</f>
        <v>0</v>
      </c>
      <c r="BZ29">
        <f t="shared" si="19"/>
        <v>0</v>
      </c>
      <c r="CA29">
        <f t="shared" si="19"/>
        <v>0</v>
      </c>
      <c r="CB29">
        <f t="shared" si="19"/>
        <v>0</v>
      </c>
      <c r="CC29">
        <f t="shared" si="19"/>
        <v>0</v>
      </c>
      <c r="CD29">
        <f t="shared" si="19"/>
        <v>0</v>
      </c>
      <c r="CE29">
        <f t="shared" si="19"/>
        <v>0</v>
      </c>
      <c r="CF29">
        <f t="shared" si="19"/>
        <v>0</v>
      </c>
      <c r="CG29">
        <f t="shared" si="19"/>
        <v>0</v>
      </c>
      <c r="CH29">
        <f t="shared" si="19"/>
        <v>0</v>
      </c>
      <c r="CI29">
        <f t="shared" si="19"/>
        <v>0</v>
      </c>
      <c r="CJ29">
        <f t="shared" si="19"/>
        <v>0</v>
      </c>
      <c r="CK29">
        <f t="shared" si="19"/>
        <v>0</v>
      </c>
      <c r="CL29">
        <f t="shared" si="19"/>
        <v>0</v>
      </c>
      <c r="CM29">
        <f t="shared" si="19"/>
        <v>0</v>
      </c>
      <c r="CN29">
        <f t="shared" si="19"/>
        <v>0</v>
      </c>
      <c r="CO29">
        <f t="shared" si="19"/>
        <v>0</v>
      </c>
      <c r="CP29">
        <f t="shared" si="19"/>
        <v>0</v>
      </c>
      <c r="CQ29">
        <f t="shared" si="19"/>
        <v>0</v>
      </c>
      <c r="CR29">
        <f t="shared" si="19"/>
        <v>0</v>
      </c>
      <c r="CS29">
        <f t="shared" si="19"/>
        <v>0</v>
      </c>
      <c r="CT29">
        <f t="shared" si="19"/>
        <v>0</v>
      </c>
      <c r="CU29">
        <f t="shared" si="19"/>
        <v>0</v>
      </c>
      <c r="CV29">
        <f t="shared" si="19"/>
        <v>0</v>
      </c>
      <c r="CW29">
        <f t="shared" si="19"/>
        <v>0</v>
      </c>
      <c r="CX29">
        <f t="shared" si="19"/>
        <v>0</v>
      </c>
      <c r="CY29">
        <f t="shared" si="19"/>
        <v>0</v>
      </c>
      <c r="CZ29">
        <f t="shared" si="19"/>
        <v>0</v>
      </c>
      <c r="DA29">
        <f t="shared" si="19"/>
        <v>0</v>
      </c>
      <c r="DB29">
        <f t="shared" si="19"/>
        <v>0</v>
      </c>
      <c r="DC29">
        <f t="shared" si="19"/>
        <v>0</v>
      </c>
      <c r="DD29">
        <f t="shared" si="19"/>
        <v>0</v>
      </c>
      <c r="DE29">
        <f t="shared" ref="DE29:DV29" si="20">COUNTIF(DE6:DE28,"ausente")</f>
        <v>0</v>
      </c>
      <c r="DF29">
        <f t="shared" si="20"/>
        <v>0</v>
      </c>
      <c r="DG29">
        <f t="shared" si="20"/>
        <v>0</v>
      </c>
      <c r="DH29">
        <f t="shared" si="20"/>
        <v>0</v>
      </c>
      <c r="DI29">
        <f t="shared" si="20"/>
        <v>0</v>
      </c>
      <c r="DJ29">
        <f t="shared" si="20"/>
        <v>0</v>
      </c>
      <c r="DK29">
        <f t="shared" si="20"/>
        <v>0</v>
      </c>
      <c r="DL29">
        <f t="shared" si="20"/>
        <v>0</v>
      </c>
      <c r="DM29">
        <f t="shared" si="20"/>
        <v>0</v>
      </c>
      <c r="DN29">
        <f t="shared" si="20"/>
        <v>0</v>
      </c>
      <c r="DO29">
        <f t="shared" si="20"/>
        <v>0</v>
      </c>
      <c r="DP29">
        <f t="shared" si="20"/>
        <v>0</v>
      </c>
      <c r="DQ29">
        <f t="shared" si="20"/>
        <v>0</v>
      </c>
      <c r="DR29">
        <f t="shared" si="20"/>
        <v>0</v>
      </c>
      <c r="DS29">
        <f t="shared" si="20"/>
        <v>0</v>
      </c>
      <c r="DT29">
        <f t="shared" si="20"/>
        <v>0</v>
      </c>
      <c r="DU29">
        <f t="shared" si="20"/>
        <v>0</v>
      </c>
      <c r="DV29">
        <f t="shared" si="20"/>
        <v>0</v>
      </c>
    </row>
    <row r="30" spans="1:126" s="20" customFormat="1" ht="15.75">
      <c r="A30" s="19" t="s">
        <v>20</v>
      </c>
      <c r="B30" s="20">
        <f t="shared" ref="B30" si="21">COUNTIF(B6:B26,"abstenção")</f>
        <v>0</v>
      </c>
      <c r="C30" s="105">
        <f>COUNTIF(C6:C26,"abstenção")</f>
        <v>0</v>
      </c>
      <c r="D30" s="105">
        <f t="shared" ref="D30:F30" si="22">COUNTIF(D6:D26,"abstenção")</f>
        <v>0</v>
      </c>
      <c r="E30" s="105">
        <f t="shared" ref="E30" si="23">COUNTIF(E6:E26,"abstenção")</f>
        <v>0</v>
      </c>
      <c r="F30" s="105">
        <f t="shared" si="22"/>
        <v>0</v>
      </c>
      <c r="M30" s="20">
        <f t="shared" ref="M30:AR30" si="24">COUNTIF(M10:M29,"abstenção")</f>
        <v>0</v>
      </c>
      <c r="N30" s="20">
        <f t="shared" si="24"/>
        <v>0</v>
      </c>
      <c r="O30" s="20">
        <f t="shared" si="24"/>
        <v>0</v>
      </c>
      <c r="P30" s="20">
        <f t="shared" si="24"/>
        <v>0</v>
      </c>
      <c r="Q30" s="20">
        <f t="shared" si="24"/>
        <v>0</v>
      </c>
      <c r="R30" s="20">
        <f t="shared" si="24"/>
        <v>0</v>
      </c>
      <c r="S30" s="20">
        <f t="shared" si="24"/>
        <v>0</v>
      </c>
      <c r="T30" s="20">
        <f t="shared" si="24"/>
        <v>0</v>
      </c>
      <c r="U30" s="20">
        <f t="shared" si="24"/>
        <v>0</v>
      </c>
      <c r="V30" s="20">
        <f t="shared" si="24"/>
        <v>0</v>
      </c>
      <c r="W30" s="20">
        <f t="shared" si="24"/>
        <v>0</v>
      </c>
      <c r="X30" s="20">
        <f t="shared" si="24"/>
        <v>0</v>
      </c>
      <c r="Y30" s="20">
        <f t="shared" si="24"/>
        <v>0</v>
      </c>
      <c r="Z30" s="20">
        <f t="shared" si="24"/>
        <v>0</v>
      </c>
      <c r="AA30" s="20">
        <f t="shared" si="24"/>
        <v>0</v>
      </c>
      <c r="AB30" s="20">
        <f t="shared" si="24"/>
        <v>0</v>
      </c>
      <c r="AC30" s="20">
        <f t="shared" si="24"/>
        <v>0</v>
      </c>
      <c r="AD30" s="20">
        <f t="shared" si="24"/>
        <v>0</v>
      </c>
      <c r="AE30" s="20">
        <f t="shared" si="24"/>
        <v>0</v>
      </c>
      <c r="AF30" s="20">
        <f t="shared" si="24"/>
        <v>0</v>
      </c>
      <c r="AG30" s="20">
        <f t="shared" si="24"/>
        <v>0</v>
      </c>
      <c r="AH30" s="20">
        <f t="shared" si="24"/>
        <v>0</v>
      </c>
      <c r="AI30" s="20">
        <f t="shared" si="24"/>
        <v>0</v>
      </c>
      <c r="AJ30" s="20">
        <f t="shared" si="24"/>
        <v>0</v>
      </c>
      <c r="AK30" s="20">
        <f t="shared" si="24"/>
        <v>0</v>
      </c>
      <c r="AL30" s="20">
        <f t="shared" si="24"/>
        <v>0</v>
      </c>
      <c r="AM30" s="20">
        <f t="shared" si="24"/>
        <v>0</v>
      </c>
      <c r="AN30" s="20">
        <f t="shared" si="24"/>
        <v>0</v>
      </c>
      <c r="AO30" s="20">
        <f t="shared" si="24"/>
        <v>0</v>
      </c>
      <c r="AP30" s="20">
        <f t="shared" si="24"/>
        <v>0</v>
      </c>
      <c r="AQ30" s="20">
        <f t="shared" si="24"/>
        <v>0</v>
      </c>
      <c r="AR30" s="20">
        <f t="shared" si="24"/>
        <v>0</v>
      </c>
      <c r="AS30" s="20">
        <f t="shared" ref="AS30:BK30" si="25">COUNTIF(AS10:AS29,"abstenção")</f>
        <v>0</v>
      </c>
      <c r="AT30" s="20">
        <f t="shared" si="25"/>
        <v>0</v>
      </c>
      <c r="AU30" s="20">
        <f t="shared" si="25"/>
        <v>0</v>
      </c>
      <c r="AV30" s="20">
        <f t="shared" si="25"/>
        <v>0</v>
      </c>
      <c r="AW30" s="20">
        <f t="shared" si="25"/>
        <v>0</v>
      </c>
      <c r="AX30" s="20">
        <f t="shared" si="25"/>
        <v>0</v>
      </c>
      <c r="AY30" s="20">
        <f t="shared" si="25"/>
        <v>0</v>
      </c>
      <c r="AZ30" s="20">
        <f t="shared" si="25"/>
        <v>0</v>
      </c>
      <c r="BA30" s="20">
        <f t="shared" si="25"/>
        <v>0</v>
      </c>
      <c r="BB30" s="20">
        <f t="shared" si="25"/>
        <v>0</v>
      </c>
      <c r="BC30" s="20">
        <f t="shared" si="25"/>
        <v>0</v>
      </c>
      <c r="BD30" s="20">
        <f t="shared" si="25"/>
        <v>0</v>
      </c>
      <c r="BE30" s="20">
        <f t="shared" si="25"/>
        <v>0</v>
      </c>
      <c r="BF30" s="20">
        <f t="shared" si="25"/>
        <v>0</v>
      </c>
      <c r="BG30" s="20">
        <f t="shared" si="25"/>
        <v>0</v>
      </c>
      <c r="BH30" s="20">
        <f t="shared" si="25"/>
        <v>0</v>
      </c>
      <c r="BI30" s="20">
        <f t="shared" si="25"/>
        <v>0</v>
      </c>
      <c r="BJ30" s="20">
        <f t="shared" si="25"/>
        <v>0</v>
      </c>
      <c r="BK30" s="20">
        <f t="shared" si="25"/>
        <v>0</v>
      </c>
      <c r="BL30" s="20">
        <f t="shared" ref="BL30:DV30" si="26">COUNTIF(BL10:BL29,"abstenção")</f>
        <v>0</v>
      </c>
      <c r="BM30" s="20">
        <f t="shared" si="26"/>
        <v>0</v>
      </c>
      <c r="BN30" s="20">
        <f t="shared" si="26"/>
        <v>0</v>
      </c>
      <c r="BO30" s="20">
        <f t="shared" si="26"/>
        <v>0</v>
      </c>
      <c r="BP30" s="20">
        <f t="shared" si="26"/>
        <v>0</v>
      </c>
      <c r="BQ30" s="20">
        <f t="shared" si="26"/>
        <v>0</v>
      </c>
      <c r="BR30" s="20">
        <f t="shared" si="26"/>
        <v>0</v>
      </c>
      <c r="BS30" s="20">
        <f t="shared" si="26"/>
        <v>0</v>
      </c>
      <c r="BT30" s="20">
        <f t="shared" si="26"/>
        <v>0</v>
      </c>
      <c r="BU30" s="20">
        <f t="shared" si="26"/>
        <v>0</v>
      </c>
      <c r="BV30" s="20">
        <f t="shared" si="26"/>
        <v>0</v>
      </c>
      <c r="BW30" s="20">
        <f t="shared" si="26"/>
        <v>0</v>
      </c>
      <c r="BX30" s="20">
        <f t="shared" si="26"/>
        <v>0</v>
      </c>
      <c r="BY30" s="20">
        <f t="shared" si="26"/>
        <v>0</v>
      </c>
      <c r="BZ30" s="20">
        <f t="shared" si="26"/>
        <v>0</v>
      </c>
      <c r="CA30" s="20">
        <f t="shared" si="26"/>
        <v>0</v>
      </c>
      <c r="CB30" s="20">
        <f t="shared" si="26"/>
        <v>0</v>
      </c>
      <c r="CC30" s="20">
        <f t="shared" si="26"/>
        <v>0</v>
      </c>
      <c r="CD30" s="20">
        <f t="shared" si="26"/>
        <v>0</v>
      </c>
      <c r="CE30" s="20">
        <f t="shared" si="26"/>
        <v>0</v>
      </c>
      <c r="CF30" s="20">
        <f t="shared" si="26"/>
        <v>0</v>
      </c>
      <c r="CG30" s="20">
        <f t="shared" si="26"/>
        <v>0</v>
      </c>
      <c r="CH30" s="20">
        <f t="shared" si="26"/>
        <v>0</v>
      </c>
      <c r="CI30" s="20">
        <f t="shared" si="26"/>
        <v>0</v>
      </c>
      <c r="CJ30" s="20">
        <f t="shared" si="26"/>
        <v>0</v>
      </c>
      <c r="CK30" s="20">
        <f t="shared" si="26"/>
        <v>0</v>
      </c>
      <c r="CL30" s="20">
        <f t="shared" si="26"/>
        <v>0</v>
      </c>
      <c r="CM30" s="20">
        <f t="shared" si="26"/>
        <v>0</v>
      </c>
      <c r="CN30" s="20">
        <f t="shared" si="26"/>
        <v>0</v>
      </c>
      <c r="CO30" s="20">
        <f t="shared" si="26"/>
        <v>0</v>
      </c>
      <c r="CP30" s="20">
        <f t="shared" si="26"/>
        <v>0</v>
      </c>
      <c r="CQ30" s="20">
        <f t="shared" si="26"/>
        <v>0</v>
      </c>
      <c r="CR30" s="20">
        <f t="shared" si="26"/>
        <v>0</v>
      </c>
      <c r="CS30" s="20">
        <f t="shared" si="26"/>
        <v>0</v>
      </c>
      <c r="CT30" s="20">
        <f t="shared" si="26"/>
        <v>0</v>
      </c>
      <c r="CU30" s="20">
        <f t="shared" si="26"/>
        <v>0</v>
      </c>
      <c r="CV30" s="20">
        <f t="shared" si="26"/>
        <v>0</v>
      </c>
      <c r="CW30" s="20">
        <f t="shared" si="26"/>
        <v>0</v>
      </c>
      <c r="CX30" s="20">
        <f t="shared" si="26"/>
        <v>0</v>
      </c>
      <c r="CY30" s="20">
        <f t="shared" si="26"/>
        <v>0</v>
      </c>
      <c r="CZ30" s="20">
        <f t="shared" si="26"/>
        <v>0</v>
      </c>
      <c r="DA30" s="20">
        <f t="shared" si="26"/>
        <v>0</v>
      </c>
      <c r="DB30" s="20">
        <f t="shared" si="26"/>
        <v>0</v>
      </c>
      <c r="DC30" s="20">
        <f t="shared" si="26"/>
        <v>0</v>
      </c>
      <c r="DD30" s="20">
        <f t="shared" si="26"/>
        <v>0</v>
      </c>
      <c r="DE30" s="20">
        <f t="shared" si="26"/>
        <v>0</v>
      </c>
      <c r="DF30" s="20">
        <f t="shared" si="26"/>
        <v>0</v>
      </c>
      <c r="DG30" s="20">
        <f t="shared" si="26"/>
        <v>0</v>
      </c>
      <c r="DH30" s="20">
        <f t="shared" si="26"/>
        <v>0</v>
      </c>
      <c r="DI30" s="20">
        <f t="shared" si="26"/>
        <v>0</v>
      </c>
      <c r="DJ30" s="20">
        <f t="shared" si="26"/>
        <v>0</v>
      </c>
      <c r="DK30" s="20">
        <f t="shared" si="26"/>
        <v>0</v>
      </c>
      <c r="DL30" s="20">
        <f t="shared" si="26"/>
        <v>0</v>
      </c>
      <c r="DM30" s="20">
        <f t="shared" si="26"/>
        <v>0</v>
      </c>
      <c r="DN30" s="20">
        <f t="shared" si="26"/>
        <v>0</v>
      </c>
      <c r="DO30" s="20">
        <f t="shared" si="26"/>
        <v>0</v>
      </c>
      <c r="DP30" s="20">
        <f t="shared" si="26"/>
        <v>0</v>
      </c>
      <c r="DQ30" s="20">
        <f t="shared" si="26"/>
        <v>0</v>
      </c>
      <c r="DR30" s="20">
        <f t="shared" si="26"/>
        <v>0</v>
      </c>
      <c r="DS30" s="20">
        <f t="shared" si="26"/>
        <v>0</v>
      </c>
      <c r="DT30" s="20">
        <f t="shared" si="26"/>
        <v>0</v>
      </c>
      <c r="DU30" s="20">
        <f t="shared" si="26"/>
        <v>0</v>
      </c>
      <c r="DV30" s="20">
        <f t="shared" si="26"/>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tabSelected="1" workbookViewId="0">
      <pane xSplit="1" topLeftCell="B1" activePane="topRight" state="frozen"/>
      <selection pane="topRight" activeCell="E5" sqref="E5"/>
    </sheetView>
  </sheetViews>
  <sheetFormatPr defaultRowHeight="15"/>
  <cols>
    <col min="1" max="1" width="49.7109375" customWidth="1"/>
    <col min="2" max="2" width="22.85546875" customWidth="1"/>
    <col min="3" max="3" width="28.5703125" customWidth="1"/>
  </cols>
  <sheetData>
    <row r="1" spans="1:3">
      <c r="A1" s="76" t="s">
        <v>8</v>
      </c>
      <c r="B1" s="2"/>
    </row>
    <row r="2" spans="1:3">
      <c r="A2" s="76" t="s">
        <v>107</v>
      </c>
      <c r="B2" s="2"/>
    </row>
    <row r="3" spans="1:3" ht="15.75" thickBot="1">
      <c r="A3" s="121" t="s">
        <v>108</v>
      </c>
      <c r="B3" s="2"/>
    </row>
    <row r="4" spans="1:3" ht="78.75" customHeight="1" thickBot="1">
      <c r="A4" s="120" t="s">
        <v>5</v>
      </c>
      <c r="B4" s="111" t="s">
        <v>21</v>
      </c>
      <c r="C4" s="140" t="s">
        <v>146</v>
      </c>
    </row>
    <row r="5" spans="1:3" s="6" customFormat="1" ht="60.75" customHeight="1">
      <c r="A5" s="122"/>
      <c r="B5" s="111"/>
      <c r="C5" s="145" t="s">
        <v>147</v>
      </c>
    </row>
    <row r="6" spans="1:3" ht="15.75">
      <c r="A6" s="127" t="s">
        <v>54</v>
      </c>
      <c r="C6" s="107"/>
    </row>
    <row r="7" spans="1:3" ht="15.75">
      <c r="A7" s="127" t="s">
        <v>94</v>
      </c>
      <c r="C7" s="107"/>
    </row>
    <row r="8" spans="1:3" ht="15.75">
      <c r="A8" s="127" t="s">
        <v>57</v>
      </c>
      <c r="C8" s="107"/>
    </row>
    <row r="9" spans="1:3" ht="15.75">
      <c r="A9" s="128" t="s">
        <v>58</v>
      </c>
      <c r="C9" s="107"/>
    </row>
    <row r="10" spans="1:3" ht="15.75">
      <c r="A10" s="127" t="s">
        <v>28</v>
      </c>
      <c r="C10" s="107"/>
    </row>
    <row r="11" spans="1:3" ht="15.75">
      <c r="A11" s="127" t="s">
        <v>59</v>
      </c>
      <c r="C11" s="107"/>
    </row>
    <row r="12" spans="1:3" ht="15.75">
      <c r="A12" s="127" t="s">
        <v>22</v>
      </c>
      <c r="C12" s="107"/>
    </row>
    <row r="13" spans="1:3" ht="15.75">
      <c r="A13" s="127" t="s">
        <v>23</v>
      </c>
      <c r="B13" s="139"/>
      <c r="C13" s="107"/>
    </row>
    <row r="14" spans="1:3" ht="15.75">
      <c r="A14" s="127" t="s">
        <v>24</v>
      </c>
      <c r="C14" s="107"/>
    </row>
    <row r="15" spans="1:3" ht="15.75">
      <c r="A15" s="127" t="s">
        <v>60</v>
      </c>
      <c r="C15" s="107"/>
    </row>
    <row r="16" spans="1:3" ht="15.75">
      <c r="A16" s="127" t="s">
        <v>61</v>
      </c>
      <c r="C16" s="107"/>
    </row>
    <row r="17" spans="1:3" ht="15.75">
      <c r="A17" s="127" t="s">
        <v>62</v>
      </c>
      <c r="C17" s="107"/>
    </row>
    <row r="18" spans="1:3" ht="15.75">
      <c r="A18" s="127" t="s">
        <v>25</v>
      </c>
      <c r="C18" s="107"/>
    </row>
    <row r="19" spans="1:3" ht="15.75">
      <c r="A19" s="127" t="s">
        <v>63</v>
      </c>
      <c r="C19" s="107"/>
    </row>
    <row r="20" spans="1:3" ht="15.75">
      <c r="A20" s="127" t="s">
        <v>95</v>
      </c>
      <c r="C20" s="114"/>
    </row>
    <row r="21" spans="1:3" ht="15.75">
      <c r="A21" s="127" t="s">
        <v>26</v>
      </c>
      <c r="C21" s="107"/>
    </row>
    <row r="22" spans="1:3" ht="15.75">
      <c r="A22" s="127" t="s">
        <v>64</v>
      </c>
      <c r="C22" s="107"/>
    </row>
    <row r="23" spans="1:3" ht="15.75">
      <c r="A23" s="127" t="s">
        <v>96</v>
      </c>
      <c r="C23" s="107"/>
    </row>
    <row r="24" spans="1:3" ht="15.75">
      <c r="A24" s="127" t="s">
        <v>52</v>
      </c>
      <c r="C24" s="114"/>
    </row>
    <row r="25" spans="1:3" ht="15.75">
      <c r="A25" s="127" t="s">
        <v>99</v>
      </c>
      <c r="C25" s="107"/>
    </row>
    <row r="26" spans="1:3" ht="15.75">
      <c r="A26" s="127" t="s">
        <v>65</v>
      </c>
      <c r="C26" s="107"/>
    </row>
    <row r="27" spans="1:3">
      <c r="C27" s="107"/>
    </row>
    <row r="28" spans="1:3" ht="15.75">
      <c r="A28" s="15" t="s">
        <v>18</v>
      </c>
      <c r="B28" s="16">
        <f>COUNTIF(B6:B26,"sim")</f>
        <v>0</v>
      </c>
      <c r="C28" s="103">
        <f t="shared" ref="C28" si="0">COUNTIF(C6:C26,"sim")</f>
        <v>0</v>
      </c>
    </row>
    <row r="29" spans="1:3" ht="15.75">
      <c r="A29" s="17" t="s">
        <v>19</v>
      </c>
      <c r="B29" s="18">
        <f>COUNTIF(B6:B26,"não")</f>
        <v>0</v>
      </c>
      <c r="C29" s="104">
        <f t="shared" ref="C29" si="1">COUNTIF(C6:C26,"não")</f>
        <v>0</v>
      </c>
    </row>
    <row r="30" spans="1:3" ht="15.75">
      <c r="A30" s="14" t="s">
        <v>11</v>
      </c>
      <c r="B30">
        <f>COUNTIF(B6:B26,"ausente")</f>
        <v>0</v>
      </c>
      <c r="C30" s="40">
        <f t="shared" ref="C30" si="2">COUNTIF(C6:C26,"ausente")</f>
        <v>0</v>
      </c>
    </row>
    <row r="31" spans="1:3" ht="15.75">
      <c r="A31" s="19" t="s">
        <v>20</v>
      </c>
      <c r="B31" s="20">
        <f>COUNTIF(B6:B26,"abstenção")</f>
        <v>0</v>
      </c>
      <c r="C31" s="105">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107</v>
      </c>
      <c r="B2" s="2"/>
      <c r="C2" s="54"/>
      <c r="D2" s="54"/>
      <c r="E2" s="54"/>
    </row>
    <row r="3" spans="1:9" ht="15.75" thickBot="1">
      <c r="A3" s="121" t="s">
        <v>108</v>
      </c>
      <c r="B3" s="2"/>
      <c r="C3" s="54"/>
      <c r="D3" s="54"/>
      <c r="E3" s="54"/>
    </row>
    <row r="4" spans="1:9" ht="78" customHeight="1" thickBot="1">
      <c r="A4" s="120" t="s">
        <v>5</v>
      </c>
      <c r="B4" s="123" t="s">
        <v>32</v>
      </c>
      <c r="C4" s="131" t="s">
        <v>40</v>
      </c>
      <c r="D4" s="131" t="s">
        <v>39</v>
      </c>
      <c r="E4" s="131" t="s">
        <v>41</v>
      </c>
      <c r="F4" s="131" t="s">
        <v>42</v>
      </c>
      <c r="G4" s="131" t="s">
        <v>43</v>
      </c>
      <c r="H4" s="131" t="s">
        <v>44</v>
      </c>
      <c r="I4" s="131" t="s">
        <v>66</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94</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95</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96</v>
      </c>
      <c r="C23" s="134"/>
      <c r="D23" s="134"/>
      <c r="E23" s="134"/>
      <c r="F23" s="134"/>
      <c r="G23" s="134"/>
      <c r="H23" s="134"/>
      <c r="I23" s="40"/>
    </row>
    <row r="24" spans="1:9" ht="18">
      <c r="A24" s="129" t="s">
        <v>52</v>
      </c>
      <c r="C24" s="134"/>
      <c r="D24" s="134"/>
      <c r="E24" s="134"/>
      <c r="F24" s="134"/>
      <c r="G24" s="134"/>
      <c r="H24" s="134"/>
      <c r="I24" s="40"/>
    </row>
    <row r="25" spans="1:9" ht="18">
      <c r="A25" s="129" t="s">
        <v>99</v>
      </c>
      <c r="C25" s="134"/>
      <c r="D25" s="134"/>
      <c r="E25" s="134"/>
      <c r="F25" s="134"/>
      <c r="G25" s="134"/>
      <c r="H25" s="134"/>
      <c r="I25" s="40"/>
    </row>
    <row r="26" spans="1:9" ht="18">
      <c r="A26" s="129" t="s">
        <v>65</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107</v>
      </c>
      <c r="B2" s="2"/>
    </row>
    <row r="3" spans="1:25">
      <c r="A3" s="76" t="s">
        <v>108</v>
      </c>
      <c r="B3" s="2"/>
    </row>
    <row r="4" spans="1:25" ht="60.75" customHeight="1" thickBot="1">
      <c r="A4" s="52" t="s">
        <v>5</v>
      </c>
      <c r="B4" s="110" t="s">
        <v>33</v>
      </c>
      <c r="C4" s="106" t="s">
        <v>38</v>
      </c>
      <c r="D4" s="106" t="s">
        <v>67</v>
      </c>
      <c r="E4" s="106" t="s">
        <v>68</v>
      </c>
      <c r="F4" s="106" t="s">
        <v>69</v>
      </c>
      <c r="G4" s="106" t="s">
        <v>70</v>
      </c>
      <c r="H4" s="106" t="s">
        <v>71</v>
      </c>
      <c r="I4" s="106" t="s">
        <v>72</v>
      </c>
      <c r="J4" s="106" t="s">
        <v>73</v>
      </c>
      <c r="K4" s="106" t="s">
        <v>74</v>
      </c>
      <c r="L4" s="106" t="s">
        <v>75</v>
      </c>
      <c r="M4" s="106" t="s">
        <v>76</v>
      </c>
      <c r="N4" s="106" t="s">
        <v>77</v>
      </c>
      <c r="O4" s="106" t="s">
        <v>78</v>
      </c>
      <c r="P4" s="106" t="s">
        <v>79</v>
      </c>
      <c r="Q4" s="106" t="s">
        <v>80</v>
      </c>
      <c r="R4" s="106" t="s">
        <v>81</v>
      </c>
      <c r="S4" s="106" t="s">
        <v>82</v>
      </c>
      <c r="T4" s="106" t="s">
        <v>83</v>
      </c>
      <c r="U4" s="106" t="s">
        <v>84</v>
      </c>
      <c r="V4" s="106" t="s">
        <v>85</v>
      </c>
      <c r="W4" s="106" t="s">
        <v>86</v>
      </c>
      <c r="X4" s="106" t="s">
        <v>87</v>
      </c>
      <c r="Y4" s="106" t="s">
        <v>88</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94</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95</v>
      </c>
    </row>
    <row r="21" spans="1:25" ht="15.75">
      <c r="A21" s="127" t="s">
        <v>26</v>
      </c>
    </row>
    <row r="22" spans="1:25" ht="15.75">
      <c r="A22" s="127" t="s">
        <v>64</v>
      </c>
    </row>
    <row r="23" spans="1:25" ht="15.75">
      <c r="A23" s="127" t="s">
        <v>96</v>
      </c>
    </row>
    <row r="24" spans="1:25" ht="15.75">
      <c r="A24" s="127" t="s">
        <v>52</v>
      </c>
    </row>
    <row r="25" spans="1:25" ht="15.75">
      <c r="A25" s="127" t="s">
        <v>99</v>
      </c>
    </row>
    <row r="26" spans="1:25" ht="15.75">
      <c r="A26" s="127" t="s">
        <v>65</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2025-09-10T19:57:20Z</dcterms:modified>
</cp:coreProperties>
</file>