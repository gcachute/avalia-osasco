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731D1064-0578-4313-B48B-CBF688DB90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E27" i="2"/>
  <c r="E28" i="2"/>
  <c r="E29" i="2"/>
  <c r="E30" i="2"/>
  <c r="D28" i="10"/>
  <c r="D29" i="10"/>
  <c r="D30" i="10"/>
  <c r="D31" i="10"/>
  <c r="D27" i="3"/>
  <c r="D28" i="3"/>
  <c r="D29" i="3"/>
  <c r="D30" i="3"/>
  <c r="A4" i="14" l="1"/>
  <c r="C27" i="2" l="1"/>
  <c r="C28" i="2"/>
  <c r="C29" i="2"/>
  <c r="C30" i="2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T27" i="3" l="1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<sst xmlns="http://schemas.openxmlformats.org/spreadsheetml/2006/main" count="469" uniqueCount="127">
  <si>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</si>
  <si>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</si>
  <si>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</si>
  <si>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</si>
  <si>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</si>
  <si>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</si>
  <si>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</si>
  <si>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</si>
  <si>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</si>
  <si>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</si>
  <si>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</si>
  <si>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</si>
  <si>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</si>
  <si>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</si>
  <si>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</si>
  <si>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</si>
  <si>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</si>
  <si>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</si>
  <si>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</si>
  <si>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</si>
  <si>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</si>
  <si>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</si>
  <si>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</si>
  <si>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</si>
  <si>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</si>
  <si>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</si>
  <si>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</si>
  <si>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</si>
  <si>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</si>
  <si>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</si>
  <si>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</si>
  <si>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</si>
  <si>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</si>
  <si>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</si>
  <si>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</si>
  <si>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</si>
  <si>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</si>
  <si>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</si>
  <si>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</si>
  <si>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</si>
  <si>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</si>
  <si>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</si>
  <si>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</si>
  <si>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</si>
  <si>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</si>
  <si>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</si>
  <si>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</si>
  <si>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</si>
  <si>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</si>
  <si>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</si>
  <si>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</si>
  <si>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</si>
  <si>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</si>
  <si>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</si>
  <si>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</si>
  <si>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</si>
  <si>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</si>
  <si>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</si>
  <si>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</si>
  <si>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</si>
  <si>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</si>
  <si>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</si>
  <si>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</si>
  <si>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</si>
  <si>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</si>
  <si>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</si>
  <si>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</si>
  <si>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</si>
  <si>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</si>
  <si>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</si>
  <si>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</si>
  <si>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</si>
  <si>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</si>
  <si>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</si>
  <si>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</si>
  <si>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</si>
  <si>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</si>
  <si>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</si>
  <si>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</si>
  <si>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</si>
  <si>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</si>
  <si>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</si>
  <si>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</si>
  <si>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</si>
  <si>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</si>
  <si>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</si>
  <si>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</si>
  <si>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</si>
  <si>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</si>
  <si>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4. RECURSO DE AUTORIA DA VEREADOR DELBIO TERUEL AO PL N.º 44/2022,, que dispõe sobre a proibição de transformação de banheiros feminino e masculino em unissex e de edificação de banheiros exclusivamente unissex em estabelecimentos públicos e privados no município de Osasco, em face do parecer contrário da Comissão de Constituição e Justiça – CCJ, de n.º 164/2022.</t>
  </si>
  <si>
    <t>5.RECURSO DE AUTORIA DO VEREADOR RALFI SILVA AO PL N.º 127/2025, que Institui o Censo Qualificado das Pessoas com Autismo no Município de Osasco em face do parecer contrário da Comissão de Constituição e Justiça – CCJ, de n.º 167/2025.</t>
  </si>
  <si>
    <t>6.RECURSO DE AUTORIA DO VEREADOR RALFI SILVA AO PL N.º 153/2025, que Institui o “botão de pânico” nas unidades de saúde do Município de Osasco em face do parecer contrário da Comissão de Constituição e Justiça – CCJ, de n.º 166/2025.</t>
  </si>
  <si>
    <t>7.RECURSO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</si>
  <si>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8.RECURSO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</si>
  <si>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Lúcia da Saúde</t>
  </si>
  <si>
    <t>APROVADA</t>
  </si>
  <si>
    <t>DIA 12 DE FEVEREIRO DE 2026 - QUINTA-FEIRA</t>
  </si>
  <si>
    <r>
      <t>PROJETO DE RESOLUÇÃO Nº 08/2025 – LÚCIA DA SAÚDE –</t>
    </r>
    <r>
      <rPr>
        <sz val="14"/>
        <color theme="1"/>
        <rFont val="Arial"/>
        <family val="2"/>
      </rPr>
      <t xml:space="preserve"> Institui a Galeria Lilás nas dependências da Câmara Municipal de Osasco.</t>
    </r>
  </si>
  <si>
    <r>
      <t xml:space="preserve">PROJETO DE LEI Nº 143/2025 – GABRIEL SAÚDE – </t>
    </r>
    <r>
      <rPr>
        <sz val="11"/>
        <color theme="1"/>
        <rFont val="Arial"/>
        <family val="2"/>
      </rPr>
      <t>Institui no Calendário Oficial do Município de Osasco a “Semana QuitaOZ”.</t>
    </r>
  </si>
  <si>
    <t>PROJETO DE DECRETO LEGISLATIVO Nº 64/2025 – ELSA OLIVEIRA – Dispõe sobre a concessão de Placa Comemorativa pelos 10 anos do Centro de Defesa dos Direitos da Criança e do Adolescente - CEDECA.</t>
  </si>
  <si>
    <t>PROJETO DE DECRETO LEGISLATIVO Nº 73/2025 – LÚCIA DA SAÚDE - Dispõe sobre a concessão do Diploma João Cândido – Almirante Negro à Regina Marcia de Almeida.</t>
  </si>
  <si>
    <t>5ª SESSÃO ORDINÁRIA</t>
  </si>
  <si>
    <t>DIA 24 DE FEVEREIRO DE 2026 - TERÇA-FEIRA</t>
  </si>
  <si>
    <t>Justificativa do Vereador Laércio Mendonça.</t>
  </si>
  <si>
    <t>Projeto de Lei nº 13/2026 – Ralfi Silva – Estabelece o programa de apoio às pessoas com doenças raras no Município de Osasco e dá outras providências.</t>
  </si>
  <si>
    <t>Projeto de Lei nº 14/2026 – Ralfi Silva – Estabelece diretrizes para a implantação de faixa de pedestres destinada à travessia de animais domésticos no Município de Osasco e dá outras providências.</t>
  </si>
  <si>
    <t>Projeto de Lei nº 15/2026 – Ralfi Silva – Dispõe sobre a formação continuada e a capacitação de profissionais da rede municipal de ensino de Osasco para o acolhimento e a inclusão de estudantes com Transtorno do Espectro Autista (TEA).</t>
  </si>
  <si>
    <t>Projeto de Lei nº 16/2026 – Ralfi Silva – Autoriza o Poder Executivo a instituir programa de atendimento veterinário móvel para cães e gatos no Município de Osasco.</t>
  </si>
  <si>
    <t>Projeto de Lei nº 17/2026 – Ralfi Silva – Dispõe sobre a campanha de conscientização sobre epilepsia no Município de Osasco, visando informar e mobilizar a população quanto aos cuidados e à prevenção relacionados à condição.</t>
  </si>
  <si>
    <t>Projeto de Lei nº 18/2026 – Ralfi Silva – Autoriza o Poder Executivo a instituir a Carteira Municipal de Identificação da Pessoa com Epilepsia – CMIPE no Município de Osasco.</t>
  </si>
  <si>
    <t>Projeto de Lei nº 20/2026 – Alexandre Capriotti – Dispõe sobre a autorização do sepultamento de cães e gatos junto a seus tutores.</t>
  </si>
  <si>
    <t>Projeto de Lei nº 23/2026 – Ralfi Silva – Institui diretrizes para o programa municipal de destinação final digna de animais domésticos no Município de Osasco.</t>
  </si>
  <si>
    <t>Projeto de Lei nº 24/2026 – Cantor Goleiro – Dispõe sobre a implementação de prevenção à gravidez na adolescência e disponibilização de métodos contraceptivos disponíveis na rede pública Municipal de Osasco.</t>
  </si>
  <si>
    <t>Projeto de Decreto Legislativo nº 10/2026 – Ralfi Silva - Concede a Medalha Antônio Raposo Tavares e o Diploma Cidade de Osasco ao Sr. Thiago Borges Batista.</t>
  </si>
  <si>
    <r>
      <t>MOÇÃO DE APLAUSO Nº 7/2026 – PAULO JÚNIOR –</t>
    </r>
    <r>
      <rPr>
        <sz val="11"/>
        <color theme="1"/>
        <rFont val="Arial"/>
        <family val="2"/>
      </rPr>
      <t xml:space="preserve"> Aos Guardas Civis Municipais de Osasco, Alef Rai Vieira Fernandes, Sonnic de Jesus Pereira Martins, Erisvelton Silva Souza, Guilherme Diniz dos Santos e Raul Oliveira Lucas, em razão da atuação exemplar em ocorrência de salvamento com preservação da vida.</t>
    </r>
  </si>
  <si>
    <r>
      <t xml:space="preserve">MOÇÃO DE REPÚDIO Nº 9/2026 – STEPHANE ROSSI – </t>
    </r>
    <r>
      <rPr>
        <sz val="11"/>
        <color theme="1"/>
        <rFont val="Arial"/>
        <family val="2"/>
      </rPr>
      <t>À avó que vendeu suas netas, crianças de 10, 12 e 14 anos, submetendo-as à exploração sexual.</t>
    </r>
  </si>
  <si>
    <t>arquivada a pedido da autora</t>
  </si>
  <si>
    <r>
      <t xml:space="preserve">MOÇÃO DE RECONHECIMENTO Nº 10/2026 – RALFI SILVA – </t>
    </r>
    <r>
      <rPr>
        <sz val="11"/>
        <color theme="1"/>
        <rFont val="Arial"/>
        <family val="2"/>
      </rPr>
      <t>Ao General Peternelli, pelos relevantes serviços prestados à sociedade e pelo exemplo de liderança, disciplina e compromisso com os valores cívicos.</t>
    </r>
  </si>
  <si>
    <t>pela ausência do autor, será pautada na próxima sessão.</t>
  </si>
  <si>
    <r>
      <t xml:space="preserve">MOÇÃO DE REPÚDIO Nº 11/2026 – RALFI SILVA – </t>
    </r>
    <r>
      <rPr>
        <sz val="11"/>
        <color theme="1"/>
        <rFont val="Arial"/>
        <family val="2"/>
      </rPr>
      <t>À conduta adotada pela operadora de saúde Hapvida/Notredame Cruzeiro do Sul, em razão do reiterado descumprimento de determinação judicial que assegura o custeio de tratamento domiciliar a paciente em situação de extrema vulnerabilidade clínica.</t>
    </r>
  </si>
  <si>
    <r>
      <t xml:space="preserve">MOÇÃO DE APOIO Nº 12/2026 – EMERSON OSASCO – </t>
    </r>
    <r>
      <rPr>
        <sz val="11"/>
        <color theme="1"/>
        <rFont val="Arial"/>
        <family val="2"/>
      </rPr>
      <t>Ao Projeto de Lei Estadual 446/18, que torna obrigatório o ensino da disciplina de Língua Espanhola no currículo do ensino médio da rede estadual.</t>
    </r>
  </si>
  <si>
    <t>APROVADO</t>
  </si>
  <si>
    <t>sim</t>
  </si>
  <si>
    <t>na presidência</t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</si>
  <si>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</si>
  <si>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>PROJETO DE LEI Nº 180/2025 – STEPHANE ROSSI –</t>
    </r>
    <r>
      <rPr>
        <sz val="11"/>
        <color theme="1"/>
        <rFont val="Arial"/>
        <family val="2"/>
      </rPr>
      <t xml:space="preserve"> Institui a Semana Municipal de Combate à Automutilação e ao Suicídio de Crianças e Adolescentes.</t>
    </r>
  </si>
  <si>
    <t>pela ausência da autora, será pautado na próxima sessão.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</si>
</sst>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  <font>
      <sz val="9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4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justify" vertical="top"/>
    </xf>
    <xf numFmtId="0" fontId="47" fillId="0" borderId="0" xfId="0" applyFont="1"/>
    <xf numFmtId="0" fontId="48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1"/>
  <sheetViews>
    <sheetView tabSelected="1" zoomScale="70" zoomScaleNormal="70" workbookViewId="0">
      <selection activeCell="A56" sqref="A56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6" t="s">
        <v>29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0"/>
      <c r="O1" s="70"/>
      <c r="P1" s="70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3" t="s">
        <v>101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0"/>
      <c r="O2" s="70"/>
      <c r="P2" s="70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3" t="s">
        <v>102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0"/>
      <c r="O3" s="70"/>
      <c r="P3" s="70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50"/>
      <c r="U4" s="150"/>
      <c r="V4" s="150"/>
      <c r="W4" s="150"/>
      <c r="X4" s="150"/>
      <c r="Y4" s="150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50"/>
      <c r="U5" s="150"/>
      <c r="V5" s="150"/>
      <c r="W5" s="150"/>
      <c r="X5" s="150"/>
      <c r="Y5" s="150"/>
    </row>
    <row r="6" spans="1:28" ht="18" customHeight="1">
      <c r="A6" s="46" t="s">
        <v>66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2</v>
      </c>
      <c r="K6" s="102" t="s">
        <v>53</v>
      </c>
      <c r="L6" s="67"/>
      <c r="M6" s="65"/>
      <c r="N6" s="63"/>
      <c r="O6" s="62"/>
      <c r="P6" s="63"/>
      <c r="Q6" s="63"/>
      <c r="R6" s="102"/>
      <c r="S6" s="89"/>
      <c r="T6" s="150"/>
      <c r="U6" s="150"/>
      <c r="V6" s="150"/>
      <c r="W6" s="150"/>
      <c r="X6" s="150"/>
      <c r="Y6" s="150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50"/>
      <c r="U7" s="150"/>
      <c r="V7" s="150"/>
      <c r="W7" s="150"/>
      <c r="X7" s="150"/>
      <c r="Y7" s="150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50"/>
      <c r="U8" s="150"/>
      <c r="V8" s="150"/>
      <c r="W8" s="150"/>
      <c r="X8" s="150"/>
      <c r="Y8" s="150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10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50"/>
      <c r="U9" s="150"/>
      <c r="V9" s="150"/>
      <c r="W9" s="150"/>
      <c r="X9" s="150"/>
      <c r="Y9" s="150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2</v>
      </c>
      <c r="G10" s="102" t="s">
        <v>53</v>
      </c>
      <c r="H10" s="63"/>
      <c r="I10" s="62"/>
      <c r="J10" s="63">
        <v>1</v>
      </c>
      <c r="K10" s="62" t="s">
        <v>52</v>
      </c>
      <c r="L10" s="67"/>
      <c r="M10" s="65"/>
      <c r="N10" s="63"/>
      <c r="O10" s="62"/>
      <c r="P10" s="63"/>
      <c r="Q10" s="63"/>
      <c r="R10" s="62"/>
      <c r="S10" s="89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8">
        <v>1</v>
      </c>
      <c r="C12" s="62" t="s">
        <v>52</v>
      </c>
      <c r="D12" s="63"/>
      <c r="E12" s="102"/>
      <c r="F12" s="88">
        <v>1</v>
      </c>
      <c r="G12" s="62" t="s">
        <v>52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10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50"/>
      <c r="U13" s="150"/>
      <c r="V13" s="150"/>
      <c r="W13" s="150"/>
      <c r="X13" s="150"/>
      <c r="Y13" s="150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102"/>
      <c r="F14" s="88">
        <v>1</v>
      </c>
      <c r="G14" s="62" t="s">
        <v>52</v>
      </c>
      <c r="H14" s="63"/>
      <c r="I14" s="62"/>
      <c r="J14" s="63">
        <v>1</v>
      </c>
      <c r="K14" s="62" t="s">
        <v>52</v>
      </c>
      <c r="L14" s="67"/>
      <c r="M14" s="65"/>
      <c r="N14" s="63"/>
      <c r="O14" s="62"/>
      <c r="P14" s="63"/>
      <c r="Q14" s="63"/>
      <c r="R14" s="102"/>
      <c r="S14" s="91"/>
      <c r="T14" s="150"/>
      <c r="U14" s="150"/>
      <c r="V14" s="150"/>
      <c r="W14" s="150"/>
      <c r="X14" s="150"/>
      <c r="Y14" s="150"/>
    </row>
    <row r="15" spans="1:28" ht="18" customHeight="1">
      <c r="A15" s="46" t="s">
        <v>58</v>
      </c>
      <c r="B15" s="88">
        <v>2</v>
      </c>
      <c r="C15" s="102" t="s">
        <v>53</v>
      </c>
      <c r="D15" s="63"/>
      <c r="E15" s="62"/>
      <c r="F15" s="88">
        <v>2</v>
      </c>
      <c r="G15" s="102" t="s">
        <v>53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50"/>
      <c r="U15" s="150"/>
      <c r="V15" s="150"/>
      <c r="W15" s="150"/>
      <c r="X15" s="150"/>
      <c r="Y15" s="150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102"/>
      <c r="F16" s="88">
        <v>1</v>
      </c>
      <c r="G16" s="62" t="s">
        <v>52</v>
      </c>
      <c r="H16" s="63"/>
      <c r="I16" s="62"/>
      <c r="J16" s="63">
        <v>2</v>
      </c>
      <c r="K16" s="102" t="s">
        <v>53</v>
      </c>
      <c r="L16" s="67"/>
      <c r="M16" s="65"/>
      <c r="N16" s="63"/>
      <c r="O16" s="62"/>
      <c r="P16" s="63"/>
      <c r="Q16" s="63"/>
      <c r="R16" s="102"/>
      <c r="S16" s="91"/>
      <c r="T16" s="150"/>
      <c r="U16" s="150"/>
      <c r="V16" s="150"/>
      <c r="W16" s="150"/>
      <c r="X16" s="150"/>
      <c r="Y16" s="150"/>
    </row>
    <row r="17" spans="1:28" ht="18.75" customHeight="1">
      <c r="A17" s="46" t="s">
        <v>25</v>
      </c>
      <c r="B17" s="88">
        <v>2</v>
      </c>
      <c r="C17" s="102" t="s">
        <v>53</v>
      </c>
      <c r="D17" s="63"/>
      <c r="E17" s="102"/>
      <c r="F17" s="88">
        <v>1</v>
      </c>
      <c r="G17" s="62" t="s">
        <v>52</v>
      </c>
      <c r="H17" s="63"/>
      <c r="I17" s="68"/>
      <c r="J17" s="63">
        <v>1</v>
      </c>
      <c r="K17" s="62" t="s">
        <v>52</v>
      </c>
      <c r="L17" s="67"/>
      <c r="M17" s="65"/>
      <c r="N17" s="63"/>
      <c r="O17" s="62"/>
      <c r="P17" s="63"/>
      <c r="Q17" s="63"/>
      <c r="R17" s="102"/>
      <c r="S17" s="91"/>
      <c r="T17" s="150"/>
      <c r="U17" s="150"/>
      <c r="V17" s="150"/>
      <c r="W17" s="150"/>
      <c r="X17" s="150"/>
      <c r="Y17" s="150"/>
    </row>
    <row r="18" spans="1:28" ht="17.25" customHeight="1">
      <c r="A18" s="46" t="s">
        <v>60</v>
      </c>
      <c r="B18" s="88">
        <v>2</v>
      </c>
      <c r="C18" s="102" t="s">
        <v>53</v>
      </c>
      <c r="D18" s="63"/>
      <c r="E18" s="62"/>
      <c r="F18" s="88">
        <v>2</v>
      </c>
      <c r="G18" s="102" t="s">
        <v>53</v>
      </c>
      <c r="H18" s="63"/>
      <c r="I18" s="62"/>
      <c r="J18" s="63">
        <v>2</v>
      </c>
      <c r="K18" s="102" t="s">
        <v>53</v>
      </c>
      <c r="L18" s="67"/>
      <c r="M18" s="65"/>
      <c r="N18" s="63"/>
      <c r="O18" s="62"/>
      <c r="P18" s="63"/>
      <c r="Q18" s="63"/>
      <c r="R18" s="102"/>
      <c r="S18" s="91"/>
      <c r="T18" s="150"/>
      <c r="U18" s="150"/>
      <c r="V18" s="150"/>
      <c r="W18" s="150"/>
      <c r="X18" s="150"/>
      <c r="Y18" s="150"/>
    </row>
    <row r="19" spans="1:28" ht="18" customHeight="1">
      <c r="A19" s="46" t="s">
        <v>94</v>
      </c>
      <c r="B19" s="88">
        <v>2</v>
      </c>
      <c r="C19" s="102" t="s">
        <v>53</v>
      </c>
      <c r="D19" s="63"/>
      <c r="E19" s="62"/>
      <c r="F19" s="88">
        <v>1</v>
      </c>
      <c r="G19" s="62" t="s">
        <v>52</v>
      </c>
      <c r="H19" s="63"/>
      <c r="I19" s="62"/>
      <c r="J19" s="63">
        <v>1</v>
      </c>
      <c r="K19" s="62" t="s">
        <v>52</v>
      </c>
      <c r="L19" s="67"/>
      <c r="M19" s="65"/>
      <c r="N19" s="63"/>
      <c r="O19" s="62"/>
      <c r="P19" s="63"/>
      <c r="Q19" s="63"/>
      <c r="R19" s="102"/>
      <c r="S19" s="91"/>
      <c r="T19" s="150"/>
      <c r="U19" s="150"/>
      <c r="V19" s="150"/>
      <c r="W19" s="150"/>
      <c r="X19" s="150"/>
      <c r="Y19" s="150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102"/>
      <c r="F20" s="88">
        <v>2</v>
      </c>
      <c r="G20" s="102" t="s">
        <v>53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50"/>
      <c r="U20" s="150"/>
      <c r="V20" s="150"/>
      <c r="W20" s="150"/>
      <c r="X20" s="150"/>
      <c r="Y20" s="150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50"/>
      <c r="U21" s="150"/>
      <c r="V21" s="150"/>
      <c r="W21" s="150"/>
      <c r="X21" s="150"/>
      <c r="Y21" s="150"/>
    </row>
    <row r="22" spans="1:28" ht="18" customHeight="1">
      <c r="A22" s="46" t="s">
        <v>67</v>
      </c>
      <c r="B22" s="88">
        <v>1</v>
      </c>
      <c r="C22" s="62" t="s">
        <v>52</v>
      </c>
      <c r="D22" s="63"/>
      <c r="E22" s="62"/>
      <c r="F22" s="88">
        <v>1</v>
      </c>
      <c r="G22" s="62" t="s">
        <v>52</v>
      </c>
      <c r="H22" s="63"/>
      <c r="I22" s="68"/>
      <c r="J22" s="63">
        <v>1</v>
      </c>
      <c r="K22" s="62" t="s">
        <v>52</v>
      </c>
      <c r="L22" s="67"/>
      <c r="M22" s="65"/>
      <c r="N22" s="63"/>
      <c r="O22" s="62"/>
      <c r="P22" s="63"/>
      <c r="Q22" s="63"/>
      <c r="R22" s="102"/>
      <c r="S22" s="91"/>
      <c r="T22" s="150"/>
      <c r="U22" s="150"/>
      <c r="V22" s="150"/>
      <c r="W22" s="150"/>
      <c r="X22" s="150"/>
      <c r="Y22" s="150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1</v>
      </c>
      <c r="K23" s="62" t="s">
        <v>52</v>
      </c>
      <c r="L23" s="67"/>
      <c r="M23" s="65"/>
      <c r="N23" s="63"/>
      <c r="O23" s="62"/>
      <c r="P23" s="63"/>
      <c r="Q23" s="63"/>
      <c r="R23" s="62"/>
      <c r="S23" s="91"/>
      <c r="T23" s="150"/>
      <c r="U23" s="150"/>
      <c r="V23" s="150"/>
      <c r="W23" s="150"/>
      <c r="X23" s="150"/>
      <c r="Y23" s="150"/>
    </row>
    <row r="24" spans="1:28" ht="20.25">
      <c r="A24" s="46" t="s">
        <v>88</v>
      </c>
      <c r="B24" s="88">
        <v>2</v>
      </c>
      <c r="C24" s="102" t="s">
        <v>53</v>
      </c>
      <c r="D24" s="63"/>
      <c r="E24" s="62"/>
      <c r="F24" s="88">
        <v>2</v>
      </c>
      <c r="G24" s="102" t="s">
        <v>53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50"/>
      <c r="U24" s="150"/>
      <c r="V24" s="150"/>
      <c r="W24" s="150"/>
      <c r="X24" s="150"/>
      <c r="Y24" s="150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2</v>
      </c>
      <c r="K25" s="102" t="s">
        <v>53</v>
      </c>
      <c r="L25" s="67"/>
      <c r="M25" s="65"/>
      <c r="N25" s="63"/>
      <c r="O25" s="62"/>
      <c r="P25" s="63"/>
      <c r="Q25" s="66"/>
      <c r="R25" s="102"/>
      <c r="S25" s="91"/>
      <c r="T25" s="150"/>
      <c r="U25" s="150"/>
      <c r="V25" s="150"/>
      <c r="W25" s="150"/>
      <c r="X25" s="150"/>
      <c r="Y25" s="150"/>
    </row>
    <row r="26" spans="1:28" ht="16.5" thickBot="1">
      <c r="A26" s="38" t="s">
        <v>13</v>
      </c>
      <c r="B26" s="98">
        <v>13</v>
      </c>
      <c r="C26" s="96" t="s">
        <v>46</v>
      </c>
      <c r="D26" s="98"/>
      <c r="E26" s="96" t="s">
        <v>46</v>
      </c>
      <c r="F26" s="98">
        <v>15</v>
      </c>
      <c r="G26" s="96" t="s">
        <v>46</v>
      </c>
      <c r="H26" s="100"/>
      <c r="I26" s="101"/>
      <c r="J26" s="98">
        <v>16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8</v>
      </c>
      <c r="C27" s="96" t="s">
        <v>47</v>
      </c>
      <c r="D27" s="98"/>
      <c r="E27" s="96" t="s">
        <v>47</v>
      </c>
      <c r="F27" s="98">
        <v>6</v>
      </c>
      <c r="G27" s="96" t="s">
        <v>47</v>
      </c>
      <c r="H27" s="100"/>
      <c r="I27" s="96"/>
      <c r="J27" s="98">
        <v>5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65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25</v>
      </c>
      <c r="V32" s="12"/>
      <c r="W32" s="12"/>
    </row>
    <row r="33" spans="1:23" ht="18">
      <c r="A33" s="34" t="s">
        <v>94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63</v>
      </c>
      <c r="V43" s="12"/>
      <c r="W43" s="12"/>
    </row>
    <row r="44" spans="1:23" ht="18">
      <c r="A44" s="34" t="s">
        <v>26</v>
      </c>
      <c r="V44" s="12"/>
      <c r="W44" s="12"/>
    </row>
    <row r="45" spans="1:23" ht="18">
      <c r="A45" s="34" t="s">
        <v>58</v>
      </c>
      <c r="V45" s="12"/>
      <c r="W45" s="12"/>
    </row>
    <row r="46" spans="1:23" ht="18">
      <c r="A46" s="34" t="s">
        <v>56</v>
      </c>
      <c r="V46" s="12"/>
      <c r="W46" s="12"/>
    </row>
    <row r="47" spans="1:23" ht="18">
      <c r="A47" s="34" t="s">
        <v>88</v>
      </c>
      <c r="V47" s="12"/>
      <c r="W47" s="12"/>
    </row>
    <row r="48" spans="1:23" ht="18">
      <c r="A48" s="34" t="s">
        <v>49</v>
      </c>
      <c r="B48" s="7"/>
      <c r="V48" s="12"/>
      <c r="W48" s="32"/>
    </row>
    <row r="49" spans="1:23" ht="18">
      <c r="A49" s="34"/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M52"/>
      <c r="W52" s="12"/>
    </row>
    <row r="53" spans="1:23" ht="15.75">
      <c r="A53" s="5" t="s">
        <v>35</v>
      </c>
      <c r="M53"/>
      <c r="W53" s="12"/>
    </row>
    <row r="54" spans="1:23" ht="18">
      <c r="A54" s="34" t="s">
        <v>66</v>
      </c>
    </row>
    <row r="55" spans="1:23" ht="18">
      <c r="A55" s="34" t="s">
        <v>59</v>
      </c>
    </row>
    <row r="56" spans="1:23" ht="18">
      <c r="A56" s="34" t="s">
        <v>62</v>
      </c>
    </row>
    <row r="57" spans="1:23" ht="18">
      <c r="A57" s="34"/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5.75">
      <c r="A72" s="7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</sheetData>
  <mergeCells count="2">
    <mergeCell ref="B1:M3"/>
    <mergeCell ref="T1:Y25"/>
  </mergeCells>
  <dataValidations count="2">
    <dataValidation type="custom" allowBlank="1" showInputMessage="1" showErrorMessage="1" sqref="A73:A81 A63:A71" xr:uid="{201F3B03-C924-4B48-A5BC-AE6429F789F2}">
      <formula1>"a5:a25"</formula1>
    </dataValidation>
    <dataValidation type="list" allowBlank="1" showInputMessage="1" showErrorMessage="1" sqref="A44:A52 A54:A61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U39"/>
  <sheetViews>
    <sheetView workbookViewId="0">
      <pane xSplit="1" topLeftCell="B1" activePane="topRight" state="frozen"/>
      <selection pane="topRight" activeCell="Q5" sqref="Q5"/>
    </sheetView>
  </sheetViews>
  <sheetFormatPr defaultColWidth="9.140625" defaultRowHeight="12.75"/>
  <cols>
    <col min="1" max="1" width="47.7109375" style="22" customWidth="1"/>
    <col min="2" max="13" width="23.7109375" style="22" customWidth="1"/>
    <col min="14" max="14" width="19" style="22" customWidth="1"/>
    <col min="15" max="15" width="26.28515625" style="22" customWidth="1"/>
    <col min="16" max="16" width="22.140625" style="22" customWidth="1"/>
    <col min="17" max="21" width="22.7109375" style="22" customWidth="1"/>
    <col min="22" max="16384" width="9.140625" style="22"/>
  </cols>
  <sheetData>
    <row r="1" spans="1:21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21" ht="15">
      <c r="A2" s="76" t="s">
        <v>101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21" ht="17.25" customHeight="1">
      <c r="A3" s="76" t="s">
        <v>102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21" ht="63" customHeight="1">
      <c r="A4" s="51" t="str">
        <f>'[1]MOÇÃO E REQUERIMENTO'!B7</f>
        <v>EXPEDIENTE</v>
      </c>
      <c r="B4" s="50" t="s">
        <v>45</v>
      </c>
      <c r="C4" s="117" t="s">
        <v>103</v>
      </c>
      <c r="D4" s="117" t="s">
        <v>104</v>
      </c>
      <c r="E4" s="117" t="s">
        <v>105</v>
      </c>
      <c r="F4" s="117" t="s">
        <v>106</v>
      </c>
      <c r="G4" s="117" t="s">
        <v>107</v>
      </c>
      <c r="H4" s="117" t="s">
        <v>108</v>
      </c>
      <c r="I4" s="117" t="s">
        <v>109</v>
      </c>
      <c r="J4" s="117" t="s">
        <v>110</v>
      </c>
      <c r="K4" s="117" t="s">
        <v>111</v>
      </c>
      <c r="L4" s="117" t="s">
        <v>112</v>
      </c>
      <c r="M4" s="117" t="s">
        <v>113</v>
      </c>
      <c r="N4" s="112" t="s">
        <v>34</v>
      </c>
      <c r="O4" s="124"/>
      <c r="P4" s="50" t="s">
        <v>27</v>
      </c>
      <c r="Q4" s="84" t="s">
        <v>114</v>
      </c>
      <c r="R4" s="84" t="s">
        <v>115</v>
      </c>
      <c r="S4" s="84" t="s">
        <v>117</v>
      </c>
      <c r="T4" s="84" t="s">
        <v>119</v>
      </c>
      <c r="U4" s="84" t="s">
        <v>120</v>
      </c>
    </row>
    <row r="5" spans="1:21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113"/>
      <c r="Q5" s="113" t="s">
        <v>95</v>
      </c>
      <c r="R5" s="145" t="s">
        <v>116</v>
      </c>
      <c r="S5" s="118" t="s">
        <v>118</v>
      </c>
      <c r="T5" s="113" t="s">
        <v>95</v>
      </c>
      <c r="U5" s="113" t="s">
        <v>95</v>
      </c>
    </row>
    <row r="6" spans="1:21" ht="15.75">
      <c r="A6" s="127" t="s">
        <v>51</v>
      </c>
      <c r="P6" s="23"/>
    </row>
    <row r="7" spans="1:21" ht="15.75">
      <c r="A7" s="127" t="s">
        <v>66</v>
      </c>
      <c r="P7" s="23"/>
    </row>
    <row r="8" spans="1:21" ht="15.75">
      <c r="A8" s="127" t="s">
        <v>54</v>
      </c>
      <c r="P8" s="23"/>
    </row>
    <row r="9" spans="1:21" ht="15.75">
      <c r="A9" s="128" t="s">
        <v>55</v>
      </c>
      <c r="P9" s="23"/>
    </row>
    <row r="10" spans="1:21" ht="15.75">
      <c r="A10" s="127" t="s">
        <v>28</v>
      </c>
      <c r="P10" s="23"/>
    </row>
    <row r="11" spans="1:21" ht="15.75">
      <c r="A11" s="127" t="s">
        <v>56</v>
      </c>
      <c r="P11" s="23"/>
    </row>
    <row r="12" spans="1:21" ht="15.75">
      <c r="A12" s="127" t="s">
        <v>22</v>
      </c>
      <c r="P12" s="23"/>
    </row>
    <row r="13" spans="1:21" ht="15.75">
      <c r="A13" s="127" t="s">
        <v>23</v>
      </c>
      <c r="P13" s="23"/>
    </row>
    <row r="14" spans="1:21" ht="15.75">
      <c r="A14" s="127" t="s">
        <v>24</v>
      </c>
      <c r="P14" s="23"/>
    </row>
    <row r="15" spans="1:21" ht="15.75">
      <c r="A15" s="127" t="s">
        <v>57</v>
      </c>
      <c r="P15" s="23"/>
    </row>
    <row r="16" spans="1:21" ht="15.75">
      <c r="A16" s="127" t="s">
        <v>58</v>
      </c>
      <c r="P16" s="23"/>
    </row>
    <row r="17" spans="1:16" ht="15.75">
      <c r="A17" s="127" t="s">
        <v>59</v>
      </c>
      <c r="P17" s="23"/>
    </row>
    <row r="18" spans="1:16" ht="15.75">
      <c r="A18" s="127" t="s">
        <v>25</v>
      </c>
      <c r="P18" s="23"/>
    </row>
    <row r="19" spans="1:16" ht="15.75">
      <c r="A19" s="127" t="s">
        <v>60</v>
      </c>
      <c r="P19" s="23"/>
    </row>
    <row r="20" spans="1:16" ht="15.75">
      <c r="A20" s="127" t="s">
        <v>94</v>
      </c>
      <c r="P20" s="23"/>
    </row>
    <row r="21" spans="1:16" ht="15.75">
      <c r="A21" s="127" t="s">
        <v>26</v>
      </c>
      <c r="P21" s="23"/>
    </row>
    <row r="22" spans="1:16" ht="15.75">
      <c r="A22" s="127" t="s">
        <v>61</v>
      </c>
      <c r="P22" s="23"/>
    </row>
    <row r="23" spans="1:16" ht="15.75">
      <c r="A23" s="127" t="s">
        <v>67</v>
      </c>
      <c r="P23" s="23"/>
    </row>
    <row r="24" spans="1:16" ht="15.75">
      <c r="A24" s="127" t="s">
        <v>49</v>
      </c>
      <c r="P24" s="23"/>
    </row>
    <row r="25" spans="1:16" ht="15.75">
      <c r="A25" s="127" t="s">
        <v>88</v>
      </c>
      <c r="P25" s="23"/>
    </row>
    <row r="26" spans="1:16" ht="15.75">
      <c r="A26" s="127" t="s">
        <v>62</v>
      </c>
      <c r="P26" s="23"/>
    </row>
    <row r="27" spans="1:16" s="25" customFormat="1">
      <c r="A27" s="24" t="s">
        <v>18</v>
      </c>
    </row>
    <row r="28" spans="1:16" s="27" customFormat="1">
      <c r="A28" s="26" t="s">
        <v>19</v>
      </c>
    </row>
    <row r="29" spans="1:16">
      <c r="A29" s="28" t="s">
        <v>11</v>
      </c>
    </row>
    <row r="30" spans="1:16" s="30" customFormat="1">
      <c r="A30" s="29" t="s">
        <v>20</v>
      </c>
    </row>
    <row r="32" spans="1:16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13" sqref="E13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6" t="s">
        <v>8</v>
      </c>
      <c r="B1" s="49"/>
      <c r="C1" s="74"/>
    </row>
    <row r="2" spans="1:45" ht="18" customHeight="1">
      <c r="A2" s="76" t="s">
        <v>101</v>
      </c>
      <c r="B2" s="49"/>
      <c r="C2" s="74"/>
    </row>
    <row r="3" spans="1:45" ht="17.25" customHeight="1">
      <c r="A3" s="76" t="s">
        <v>102</v>
      </c>
      <c r="B3" s="49"/>
      <c r="C3" s="74"/>
      <c r="E3" s="116"/>
    </row>
    <row r="4" spans="1:45" ht="90.75" customHeight="1" thickBot="1">
      <c r="A4" s="52" t="s">
        <v>5</v>
      </c>
      <c r="B4" s="108" t="s">
        <v>31</v>
      </c>
      <c r="C4" s="141"/>
      <c r="D4" s="109" t="s">
        <v>6</v>
      </c>
      <c r="E4" s="140" t="s">
        <v>97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1" customFormat="1" ht="48" customHeight="1">
      <c r="A5" s="99" t="s">
        <v>37</v>
      </c>
      <c r="B5" s="78"/>
      <c r="C5" s="142"/>
      <c r="D5" s="79"/>
      <c r="E5" s="151" t="s">
        <v>121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</row>
    <row r="6" spans="1:45" ht="20.25">
      <c r="A6" s="46" t="s">
        <v>51</v>
      </c>
      <c r="C6" s="107"/>
      <c r="E6" s="107" t="s">
        <v>122</v>
      </c>
      <c r="F6" s="144"/>
    </row>
    <row r="7" spans="1:45" ht="20.25">
      <c r="A7" s="46" t="s">
        <v>66</v>
      </c>
      <c r="C7" s="107"/>
      <c r="E7" s="107" t="s">
        <v>122</v>
      </c>
    </row>
    <row r="8" spans="1:45" ht="20.25">
      <c r="A8" s="46" t="s">
        <v>54</v>
      </c>
      <c r="C8" s="107"/>
      <c r="E8" s="107" t="s">
        <v>122</v>
      </c>
    </row>
    <row r="9" spans="1:45" ht="20.25">
      <c r="A9" s="82" t="s">
        <v>55</v>
      </c>
      <c r="C9" s="114"/>
      <c r="E9" s="114" t="s">
        <v>123</v>
      </c>
    </row>
    <row r="10" spans="1:45" ht="20.25">
      <c r="A10" s="46" t="s">
        <v>28</v>
      </c>
      <c r="C10" s="107"/>
      <c r="E10" s="107" t="s">
        <v>122</v>
      </c>
    </row>
    <row r="11" spans="1:45" ht="20.25">
      <c r="A11" s="46" t="s">
        <v>56</v>
      </c>
      <c r="C11" s="107"/>
      <c r="E11" s="107" t="s">
        <v>122</v>
      </c>
    </row>
    <row r="12" spans="1:45" ht="20.25">
      <c r="A12" s="46" t="s">
        <v>22</v>
      </c>
      <c r="C12" s="107"/>
      <c r="E12" s="107" t="s">
        <v>122</v>
      </c>
    </row>
    <row r="13" spans="1:45" ht="20.25">
      <c r="A13" s="46" t="s">
        <v>23</v>
      </c>
      <c r="C13" s="114"/>
      <c r="E13" s="114" t="s">
        <v>53</v>
      </c>
    </row>
    <row r="14" spans="1:45" ht="20.25">
      <c r="A14" s="46" t="s">
        <v>24</v>
      </c>
      <c r="C14" s="107"/>
      <c r="E14" s="107" t="s">
        <v>122</v>
      </c>
    </row>
    <row r="15" spans="1:45" ht="20.25">
      <c r="A15" s="46" t="s">
        <v>57</v>
      </c>
      <c r="C15" s="107"/>
      <c r="E15" s="107" t="s">
        <v>122</v>
      </c>
    </row>
    <row r="16" spans="1:45" ht="20.25">
      <c r="A16" s="46" t="s">
        <v>58</v>
      </c>
      <c r="C16" s="107"/>
      <c r="E16" s="107" t="s">
        <v>122</v>
      </c>
    </row>
    <row r="17" spans="1:130" ht="20.25">
      <c r="A17" s="46" t="s">
        <v>59</v>
      </c>
      <c r="C17" s="114"/>
      <c r="E17" s="107" t="s">
        <v>122</v>
      </c>
    </row>
    <row r="18" spans="1:130" ht="20.25">
      <c r="A18" s="46" t="s">
        <v>25</v>
      </c>
      <c r="C18" s="107"/>
      <c r="E18" s="107" t="s">
        <v>122</v>
      </c>
    </row>
    <row r="19" spans="1:130" ht="20.25">
      <c r="A19" s="46" t="s">
        <v>60</v>
      </c>
      <c r="C19" s="107"/>
      <c r="E19" s="114" t="s">
        <v>53</v>
      </c>
    </row>
    <row r="20" spans="1:130" ht="20.25">
      <c r="A20" s="46" t="s">
        <v>94</v>
      </c>
      <c r="C20" s="107"/>
      <c r="E20" s="107" t="s">
        <v>122</v>
      </c>
    </row>
    <row r="21" spans="1:130" ht="20.25">
      <c r="A21" s="46" t="s">
        <v>26</v>
      </c>
      <c r="C21" s="107"/>
      <c r="E21" s="107" t="s">
        <v>122</v>
      </c>
    </row>
    <row r="22" spans="1:130" ht="20.25">
      <c r="A22" s="46" t="s">
        <v>61</v>
      </c>
      <c r="C22" s="114"/>
      <c r="E22" s="107" t="s">
        <v>122</v>
      </c>
    </row>
    <row r="23" spans="1:130" ht="20.25">
      <c r="A23" s="46" t="s">
        <v>67</v>
      </c>
      <c r="C23" s="114"/>
      <c r="E23" s="107" t="s">
        <v>122</v>
      </c>
    </row>
    <row r="24" spans="1:130" ht="20.25">
      <c r="A24" s="46" t="s">
        <v>49</v>
      </c>
      <c r="C24" s="107"/>
      <c r="E24" s="107" t="s">
        <v>122</v>
      </c>
    </row>
    <row r="25" spans="1:130" ht="20.25">
      <c r="A25" s="46" t="s">
        <v>88</v>
      </c>
      <c r="C25" s="107"/>
      <c r="E25" s="107" t="s">
        <v>122</v>
      </c>
    </row>
    <row r="26" spans="1:130" ht="20.25">
      <c r="A26" s="46" t="s">
        <v>62</v>
      </c>
      <c r="C26" s="107"/>
      <c r="E26" s="114" t="s">
        <v>53</v>
      </c>
    </row>
    <row r="27" spans="1:130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" si="1">COUNTIF(E6:E26,"sim")</f>
        <v>17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" si="3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 t="shared" ref="C29" si="4">COUNTIF(C6:C26,"ausente")</f>
        <v>0</v>
      </c>
      <c r="E29" s="40">
        <f t="shared" ref="E29" si="5">COUNTIF(E6:E26,"ausente")</f>
        <v>3</v>
      </c>
    </row>
    <row r="30" spans="1:130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" si="7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5"/>
      <c r="D31"/>
      <c r="E31" s="10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E4" sqref="E4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6" t="s">
        <v>101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6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0" t="s">
        <v>5</v>
      </c>
      <c r="B4" s="119" t="s">
        <v>7</v>
      </c>
      <c r="C4" s="139" t="s">
        <v>98</v>
      </c>
      <c r="D4" s="139" t="s">
        <v>125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7" customFormat="1" ht="51.75" customHeight="1">
      <c r="B5" s="75"/>
      <c r="C5" s="151" t="s">
        <v>124</v>
      </c>
      <c r="D5" s="118" t="s">
        <v>126</v>
      </c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AA5" s="75"/>
      <c r="AB5" s="75"/>
    </row>
    <row r="6" spans="1:30" ht="18">
      <c r="A6" s="129" t="s">
        <v>51</v>
      </c>
      <c r="C6" s="107"/>
      <c r="D6" s="107"/>
      <c r="V6" s="7"/>
      <c r="W6" s="7"/>
    </row>
    <row r="7" spans="1:30" ht="18">
      <c r="A7" s="129" t="s">
        <v>66</v>
      </c>
      <c r="C7" s="107"/>
      <c r="D7" s="107"/>
      <c r="V7" s="7"/>
      <c r="W7" s="7"/>
    </row>
    <row r="8" spans="1:30" ht="18">
      <c r="A8" s="129" t="s">
        <v>54</v>
      </c>
      <c r="C8" s="114"/>
      <c r="D8" s="114"/>
      <c r="V8" s="7"/>
      <c r="W8" s="7"/>
    </row>
    <row r="9" spans="1:30" ht="18">
      <c r="A9" s="130" t="s">
        <v>55</v>
      </c>
      <c r="C9" s="114"/>
      <c r="D9" s="114"/>
      <c r="V9" s="7"/>
      <c r="W9" s="7"/>
    </row>
    <row r="10" spans="1:30" ht="18">
      <c r="A10" s="129" t="s">
        <v>28</v>
      </c>
      <c r="C10" s="107"/>
      <c r="D10" s="107"/>
      <c r="V10" s="7"/>
      <c r="W10" s="7"/>
    </row>
    <row r="11" spans="1:30" ht="18">
      <c r="A11" s="129" t="s">
        <v>56</v>
      </c>
      <c r="C11" s="107"/>
      <c r="D11" s="107"/>
      <c r="V11" s="7"/>
      <c r="W11" s="7"/>
    </row>
    <row r="12" spans="1:30" ht="18">
      <c r="A12" s="129" t="s">
        <v>22</v>
      </c>
      <c r="C12" s="114"/>
      <c r="D12" s="114"/>
      <c r="V12" s="7"/>
      <c r="W12" s="7"/>
    </row>
    <row r="13" spans="1:30" ht="18">
      <c r="A13" s="129" t="s">
        <v>23</v>
      </c>
      <c r="C13" s="114"/>
      <c r="D13" s="114"/>
      <c r="V13" s="7"/>
      <c r="W13" s="7"/>
    </row>
    <row r="14" spans="1:30" ht="18">
      <c r="A14" s="129" t="s">
        <v>24</v>
      </c>
      <c r="C14" s="107"/>
      <c r="D14" s="107"/>
      <c r="V14" s="7"/>
      <c r="W14" s="7"/>
    </row>
    <row r="15" spans="1:30" ht="18">
      <c r="A15" s="129" t="s">
        <v>57</v>
      </c>
      <c r="C15" s="114"/>
      <c r="D15" s="114"/>
      <c r="V15" s="7"/>
      <c r="W15" s="7"/>
    </row>
    <row r="16" spans="1:30" ht="18">
      <c r="A16" s="129" t="s">
        <v>58</v>
      </c>
      <c r="C16" s="114"/>
      <c r="D16" s="114"/>
      <c r="V16" s="7"/>
      <c r="W16" s="7"/>
    </row>
    <row r="17" spans="1:124" ht="15" customHeight="1">
      <c r="A17" s="129" t="s">
        <v>59</v>
      </c>
      <c r="C17" s="107"/>
      <c r="D17" s="107"/>
      <c r="U17" s="8"/>
      <c r="V17" s="7"/>
      <c r="W17" s="7"/>
    </row>
    <row r="18" spans="1:124" ht="18">
      <c r="A18" s="129" t="s">
        <v>25</v>
      </c>
      <c r="C18" s="107"/>
      <c r="D18" s="107"/>
      <c r="V18" s="7"/>
      <c r="W18" s="7"/>
    </row>
    <row r="19" spans="1:124" ht="18">
      <c r="A19" s="129" t="s">
        <v>60</v>
      </c>
      <c r="C19" s="114"/>
      <c r="D19" s="114"/>
      <c r="V19" s="7"/>
      <c r="W19" s="7"/>
    </row>
    <row r="20" spans="1:124" ht="18">
      <c r="A20" s="129" t="s">
        <v>94</v>
      </c>
      <c r="C20" s="107"/>
      <c r="D20" s="107"/>
      <c r="V20" s="7"/>
      <c r="W20" s="7"/>
    </row>
    <row r="21" spans="1:124" ht="18">
      <c r="A21" s="129" t="s">
        <v>26</v>
      </c>
      <c r="C21" s="114"/>
      <c r="D21" s="114"/>
      <c r="V21" s="7"/>
      <c r="W21" s="7"/>
    </row>
    <row r="22" spans="1:124" ht="18">
      <c r="A22" s="129" t="s">
        <v>61</v>
      </c>
      <c r="C22" s="107"/>
      <c r="D22" s="107"/>
      <c r="V22" s="7"/>
      <c r="W22" s="7"/>
    </row>
    <row r="23" spans="1:124" ht="18">
      <c r="A23" s="129" t="s">
        <v>67</v>
      </c>
      <c r="C23" s="114"/>
      <c r="D23" s="114"/>
      <c r="V23" s="7"/>
      <c r="W23" s="7"/>
    </row>
    <row r="24" spans="1:124" ht="18">
      <c r="A24" s="129" t="s">
        <v>49</v>
      </c>
      <c r="C24" s="107"/>
      <c r="D24" s="107"/>
      <c r="V24" s="7"/>
      <c r="W24" s="7"/>
    </row>
    <row r="25" spans="1:124" ht="18">
      <c r="A25" s="129" t="s">
        <v>88</v>
      </c>
      <c r="C25" s="107"/>
      <c r="D25" s="107"/>
      <c r="V25" s="7"/>
      <c r="W25" s="7"/>
    </row>
    <row r="26" spans="1:124" ht="18">
      <c r="A26" s="129" t="s">
        <v>62</v>
      </c>
      <c r="C26" s="107"/>
      <c r="D26" s="107"/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3"/>
      <c r="D27" s="103">
        <f t="shared" ref="D27" si="1">COUNTIF(D6:D26,"sim")</f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4"/>
      <c r="D28" s="104">
        <f t="shared" ref="D28" si="7">COUNTIF(D6:D26,"não")</f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/>
      <c r="D29" s="40">
        <f t="shared" ref="D29" si="13">COUNTIF(D6:D26,"ausente")</f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5"/>
      <c r="D30" s="105">
        <f t="shared" ref="D30" si="19">COUNTIF(D6:D26,"abstenção")</f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topLeftCell="A5" workbookViewId="0">
      <pane xSplit="1" topLeftCell="B1" activePane="topRight" state="frozen"/>
      <selection pane="topRight" activeCell="J12" sqref="J12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6" t="s">
        <v>8</v>
      </c>
      <c r="B1" s="2"/>
    </row>
    <row r="2" spans="1:4">
      <c r="A2" s="76" t="s">
        <v>101</v>
      </c>
      <c r="B2" s="2"/>
    </row>
    <row r="3" spans="1:4" ht="15.75" thickBot="1">
      <c r="A3" s="121" t="s">
        <v>102</v>
      </c>
      <c r="B3" s="2"/>
    </row>
    <row r="4" spans="1:4" ht="78.75" customHeight="1" thickBot="1">
      <c r="A4" s="120" t="s">
        <v>5</v>
      </c>
      <c r="B4" s="111" t="s">
        <v>21</v>
      </c>
      <c r="C4" s="139" t="s">
        <v>99</v>
      </c>
      <c r="D4" s="139" t="s">
        <v>100</v>
      </c>
    </row>
    <row r="5" spans="1:4" s="6" customFormat="1" ht="60.75" customHeight="1">
      <c r="A5" s="122"/>
      <c r="B5" s="111"/>
      <c r="C5" s="151" t="s">
        <v>121</v>
      </c>
      <c r="D5" s="151" t="s">
        <v>121</v>
      </c>
    </row>
    <row r="6" spans="1:4" ht="15.75">
      <c r="A6" s="127" t="s">
        <v>51</v>
      </c>
      <c r="C6" s="107" t="s">
        <v>122</v>
      </c>
      <c r="D6" s="107" t="s">
        <v>122</v>
      </c>
    </row>
    <row r="7" spans="1:4" ht="15.75">
      <c r="A7" s="127" t="s">
        <v>66</v>
      </c>
      <c r="C7" s="107" t="s">
        <v>122</v>
      </c>
      <c r="D7" s="107" t="s">
        <v>122</v>
      </c>
    </row>
    <row r="8" spans="1:4" ht="15.75">
      <c r="A8" s="127" t="s">
        <v>54</v>
      </c>
      <c r="C8" s="107" t="s">
        <v>122</v>
      </c>
      <c r="D8" s="107" t="s">
        <v>122</v>
      </c>
    </row>
    <row r="9" spans="1:4" ht="15.75">
      <c r="A9" s="128" t="s">
        <v>55</v>
      </c>
      <c r="C9" s="107" t="s">
        <v>122</v>
      </c>
      <c r="D9" s="107" t="s">
        <v>122</v>
      </c>
    </row>
    <row r="10" spans="1:4" ht="15.75">
      <c r="A10" s="127" t="s">
        <v>28</v>
      </c>
      <c r="C10" s="107" t="s">
        <v>122</v>
      </c>
      <c r="D10" s="107" t="s">
        <v>122</v>
      </c>
    </row>
    <row r="11" spans="1:4" ht="15.75">
      <c r="A11" s="127" t="s">
        <v>56</v>
      </c>
      <c r="C11" s="107" t="s">
        <v>122</v>
      </c>
      <c r="D11" s="107" t="s">
        <v>122</v>
      </c>
    </row>
    <row r="12" spans="1:4" ht="15.75">
      <c r="A12" s="127" t="s">
        <v>22</v>
      </c>
      <c r="C12" s="107" t="s">
        <v>122</v>
      </c>
      <c r="D12" s="107" t="s">
        <v>122</v>
      </c>
    </row>
    <row r="13" spans="1:4" ht="15.75">
      <c r="A13" s="127" t="s">
        <v>23</v>
      </c>
      <c r="B13" s="138"/>
      <c r="C13" s="114" t="s">
        <v>53</v>
      </c>
      <c r="D13" s="114" t="s">
        <v>53</v>
      </c>
    </row>
    <row r="14" spans="1:4" ht="15.75">
      <c r="A14" s="127" t="s">
        <v>24</v>
      </c>
      <c r="C14" s="107" t="s">
        <v>122</v>
      </c>
      <c r="D14" s="107" t="s">
        <v>122</v>
      </c>
    </row>
    <row r="15" spans="1:4" ht="15.75">
      <c r="A15" s="127" t="s">
        <v>57</v>
      </c>
      <c r="C15" s="107" t="s">
        <v>122</v>
      </c>
      <c r="D15" s="107" t="s">
        <v>122</v>
      </c>
    </row>
    <row r="16" spans="1:4" ht="15.75">
      <c r="A16" s="127" t="s">
        <v>58</v>
      </c>
      <c r="C16" s="107" t="s">
        <v>122</v>
      </c>
      <c r="D16" s="107" t="s">
        <v>122</v>
      </c>
    </row>
    <row r="17" spans="1:4" ht="15.75">
      <c r="A17" s="127" t="s">
        <v>59</v>
      </c>
      <c r="C17" s="107" t="s">
        <v>122</v>
      </c>
      <c r="D17" s="107" t="s">
        <v>122</v>
      </c>
    </row>
    <row r="18" spans="1:4" ht="15.75">
      <c r="A18" s="127" t="s">
        <v>25</v>
      </c>
      <c r="C18" s="107" t="s">
        <v>122</v>
      </c>
      <c r="D18" s="107" t="s">
        <v>122</v>
      </c>
    </row>
    <row r="19" spans="1:4" ht="15.75">
      <c r="A19" s="127" t="s">
        <v>60</v>
      </c>
      <c r="C19" s="114" t="s">
        <v>53</v>
      </c>
      <c r="D19" s="114" t="s">
        <v>53</v>
      </c>
    </row>
    <row r="20" spans="1:4" ht="15.75">
      <c r="A20" s="127" t="s">
        <v>94</v>
      </c>
      <c r="C20" s="107" t="s">
        <v>122</v>
      </c>
      <c r="D20" s="107" t="s">
        <v>122</v>
      </c>
    </row>
    <row r="21" spans="1:4" ht="15.75">
      <c r="A21" s="127" t="s">
        <v>26</v>
      </c>
      <c r="C21" s="107" t="s">
        <v>122</v>
      </c>
      <c r="D21" s="107" t="s">
        <v>122</v>
      </c>
    </row>
    <row r="22" spans="1:4" ht="15.75">
      <c r="A22" s="127" t="s">
        <v>61</v>
      </c>
      <c r="C22" s="107" t="s">
        <v>122</v>
      </c>
      <c r="D22" s="107" t="s">
        <v>122</v>
      </c>
    </row>
    <row r="23" spans="1:4" ht="15.75">
      <c r="A23" s="127" t="s">
        <v>67</v>
      </c>
      <c r="C23" s="107" t="s">
        <v>122</v>
      </c>
      <c r="D23" s="107" t="s">
        <v>122</v>
      </c>
    </row>
    <row r="24" spans="1:4" ht="15.75">
      <c r="A24" s="127" t="s">
        <v>49</v>
      </c>
      <c r="C24" s="107" t="s">
        <v>122</v>
      </c>
      <c r="D24" s="107" t="s">
        <v>122</v>
      </c>
    </row>
    <row r="25" spans="1:4" ht="15.75">
      <c r="A25" s="127" t="s">
        <v>88</v>
      </c>
      <c r="C25" s="107" t="s">
        <v>122</v>
      </c>
      <c r="D25" s="107" t="s">
        <v>122</v>
      </c>
    </row>
    <row r="26" spans="1:4" ht="15.75">
      <c r="A26" s="127" t="s">
        <v>62</v>
      </c>
      <c r="C26" s="107" t="s">
        <v>122</v>
      </c>
      <c r="D26" s="107" t="s">
        <v>122</v>
      </c>
    </row>
    <row r="27" spans="1:4">
      <c r="C27" s="107" t="s">
        <v>122</v>
      </c>
      <c r="D27" s="107" t="s">
        <v>122</v>
      </c>
    </row>
    <row r="28" spans="1:4" ht="15.75">
      <c r="A28" s="15" t="s">
        <v>18</v>
      </c>
      <c r="B28" s="16">
        <f>COUNTIF(B6:B26,"sim")</f>
        <v>0</v>
      </c>
      <c r="C28" s="103">
        <f t="shared" ref="C28:D28" si="0">COUNTIF(C6:C26,"sim")</f>
        <v>19</v>
      </c>
      <c r="D28" s="103">
        <f t="shared" si="0"/>
        <v>19</v>
      </c>
    </row>
    <row r="29" spans="1:4" ht="15.75">
      <c r="A29" s="17" t="s">
        <v>19</v>
      </c>
      <c r="B29" s="18">
        <f>COUNTIF(B6:B26,"não")</f>
        <v>0</v>
      </c>
      <c r="C29" s="104">
        <f t="shared" ref="C29:D29" si="1">COUNTIF(C6:C26,"não")</f>
        <v>0</v>
      </c>
      <c r="D29" s="104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2</v>
      </c>
      <c r="D30" s="40">
        <f t="shared" si="2"/>
        <v>2</v>
      </c>
    </row>
    <row r="31" spans="1:4" ht="15.75">
      <c r="A31" s="19" t="s">
        <v>20</v>
      </c>
      <c r="B31" s="20">
        <f>COUNTIF(B6:B26,"abstenção")</f>
        <v>0</v>
      </c>
      <c r="C31" s="105">
        <f t="shared" ref="C31:D31" si="3">COUNTIF(C6:C26,"abstenção")</f>
        <v>0</v>
      </c>
      <c r="D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E5" sqref="E5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101</v>
      </c>
      <c r="B2" s="2"/>
      <c r="C2" s="54"/>
      <c r="D2" s="54"/>
      <c r="E2" s="54"/>
    </row>
    <row r="3" spans="1:10" ht="15.75" thickBot="1">
      <c r="A3" s="121" t="s">
        <v>102</v>
      </c>
      <c r="B3" s="2"/>
      <c r="C3" s="54"/>
      <c r="D3" s="54"/>
      <c r="E3" s="54"/>
    </row>
    <row r="4" spans="1:10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43" t="s">
        <v>89</v>
      </c>
      <c r="G4" s="143" t="s">
        <v>90</v>
      </c>
      <c r="H4" s="143" t="s">
        <v>91</v>
      </c>
      <c r="I4" s="143" t="s">
        <v>92</v>
      </c>
      <c r="J4" s="143" t="s">
        <v>93</v>
      </c>
    </row>
    <row r="5" spans="1:10" ht="60.75" customHeight="1">
      <c r="A5" s="48"/>
      <c r="B5" s="10"/>
      <c r="C5" s="132"/>
      <c r="D5" s="131"/>
      <c r="E5" s="131"/>
      <c r="F5" s="40"/>
      <c r="G5" s="40"/>
      <c r="H5" s="40"/>
      <c r="I5" s="40"/>
      <c r="J5" s="40"/>
    </row>
    <row r="6" spans="1:10" ht="18">
      <c r="A6" s="129" t="s">
        <v>51</v>
      </c>
      <c r="C6" s="133"/>
      <c r="D6" s="133"/>
      <c r="E6" s="133"/>
      <c r="F6" s="40"/>
      <c r="G6" s="40"/>
      <c r="H6" s="40"/>
      <c r="I6" s="40"/>
      <c r="J6" s="40"/>
    </row>
    <row r="7" spans="1:10" ht="18">
      <c r="A7" s="129" t="s">
        <v>66</v>
      </c>
      <c r="C7" s="133"/>
      <c r="D7" s="133"/>
      <c r="E7" s="133"/>
      <c r="F7" s="40"/>
      <c r="G7" s="40"/>
      <c r="H7" s="40"/>
      <c r="I7" s="40"/>
      <c r="J7" s="40"/>
    </row>
    <row r="8" spans="1:10" ht="18">
      <c r="A8" s="129" t="s">
        <v>54</v>
      </c>
      <c r="C8" s="133"/>
      <c r="D8" s="133"/>
      <c r="E8" s="133"/>
      <c r="F8" s="40"/>
      <c r="G8" s="40"/>
      <c r="H8" s="40"/>
      <c r="I8" s="40"/>
      <c r="J8" s="40"/>
    </row>
    <row r="9" spans="1:10" ht="18">
      <c r="A9" s="130" t="s">
        <v>55</v>
      </c>
      <c r="C9" s="133"/>
      <c r="D9" s="133"/>
      <c r="E9" s="133"/>
      <c r="F9" s="40"/>
      <c r="G9" s="40"/>
      <c r="H9" s="40"/>
      <c r="I9" s="40"/>
      <c r="J9" s="40"/>
    </row>
    <row r="10" spans="1:10" ht="18">
      <c r="A10" s="129" t="s">
        <v>28</v>
      </c>
      <c r="C10" s="133"/>
      <c r="D10" s="133"/>
      <c r="E10" s="133"/>
      <c r="F10" s="40"/>
      <c r="G10" s="40"/>
      <c r="H10" s="40"/>
      <c r="I10" s="40"/>
      <c r="J10" s="40"/>
    </row>
    <row r="11" spans="1:10" ht="18">
      <c r="A11" s="129" t="s">
        <v>56</v>
      </c>
      <c r="C11" s="133"/>
      <c r="D11" s="133"/>
      <c r="E11" s="133"/>
      <c r="F11" s="40"/>
      <c r="G11" s="40"/>
      <c r="H11" s="40"/>
      <c r="I11" s="40"/>
      <c r="J11" s="40"/>
    </row>
    <row r="12" spans="1:10" ht="18">
      <c r="A12" s="129" t="s">
        <v>22</v>
      </c>
      <c r="C12" s="133"/>
      <c r="D12" s="133"/>
      <c r="E12" s="133"/>
      <c r="F12" s="40"/>
      <c r="G12" s="40"/>
      <c r="H12" s="40"/>
      <c r="I12" s="40"/>
      <c r="J12" s="40"/>
    </row>
    <row r="13" spans="1:10" ht="18">
      <c r="A13" s="129" t="s">
        <v>23</v>
      </c>
      <c r="C13" s="133"/>
      <c r="D13" s="133"/>
      <c r="E13" s="133"/>
      <c r="F13" s="40"/>
      <c r="G13" s="40"/>
      <c r="H13" s="40"/>
      <c r="I13" s="40"/>
      <c r="J13" s="40"/>
    </row>
    <row r="14" spans="1:10" ht="18">
      <c r="A14" s="129" t="s">
        <v>24</v>
      </c>
      <c r="C14" s="133"/>
      <c r="D14" s="133"/>
      <c r="E14" s="133"/>
      <c r="F14" s="40"/>
      <c r="G14" s="40"/>
      <c r="H14" s="40"/>
      <c r="I14" s="40"/>
      <c r="J14" s="40"/>
    </row>
    <row r="15" spans="1:10" ht="18">
      <c r="A15" s="129" t="s">
        <v>57</v>
      </c>
      <c r="C15" s="133"/>
      <c r="D15" s="133"/>
      <c r="E15" s="133"/>
      <c r="F15" s="40"/>
      <c r="G15" s="40"/>
      <c r="H15" s="40"/>
      <c r="I15" s="40"/>
      <c r="J15" s="40"/>
    </row>
    <row r="16" spans="1:10" ht="18">
      <c r="A16" s="129" t="s">
        <v>58</v>
      </c>
      <c r="C16" s="133"/>
      <c r="D16" s="133"/>
      <c r="E16" s="133"/>
      <c r="F16" s="40"/>
      <c r="G16" s="40"/>
      <c r="H16" s="40"/>
      <c r="I16" s="40"/>
      <c r="J16" s="40"/>
    </row>
    <row r="17" spans="1:10" ht="18">
      <c r="A17" s="129" t="s">
        <v>59</v>
      </c>
      <c r="C17" s="133"/>
      <c r="D17" s="133"/>
      <c r="E17" s="133"/>
      <c r="F17" s="40"/>
      <c r="G17" s="40"/>
      <c r="H17" s="40"/>
      <c r="I17" s="40"/>
      <c r="J17" s="40"/>
    </row>
    <row r="18" spans="1:10" ht="18">
      <c r="A18" s="129" t="s">
        <v>25</v>
      </c>
      <c r="C18" s="133"/>
      <c r="D18" s="133"/>
      <c r="E18" s="133"/>
      <c r="F18" s="40"/>
      <c r="G18" s="40"/>
      <c r="H18" s="40"/>
      <c r="I18" s="40"/>
      <c r="J18" s="40"/>
    </row>
    <row r="19" spans="1:10" ht="18">
      <c r="A19" s="129" t="s">
        <v>60</v>
      </c>
      <c r="C19" s="133"/>
      <c r="D19" s="133"/>
      <c r="E19" s="133"/>
      <c r="F19" s="40"/>
      <c r="G19" s="40"/>
      <c r="H19" s="40"/>
      <c r="I19" s="40"/>
      <c r="J19" s="40"/>
    </row>
    <row r="20" spans="1:10" ht="18">
      <c r="A20" s="129" t="s">
        <v>94</v>
      </c>
      <c r="C20" s="133"/>
      <c r="D20" s="133"/>
      <c r="E20" s="133"/>
      <c r="F20" s="40"/>
      <c r="G20" s="40"/>
      <c r="H20" s="40"/>
      <c r="I20" s="40"/>
      <c r="J20" s="40"/>
    </row>
    <row r="21" spans="1:10" ht="18">
      <c r="A21" s="129" t="s">
        <v>26</v>
      </c>
      <c r="C21" s="133"/>
      <c r="D21" s="133"/>
      <c r="E21" s="133"/>
      <c r="F21" s="40"/>
      <c r="G21" s="40"/>
      <c r="H21" s="40"/>
      <c r="I21" s="40"/>
      <c r="J21" s="40"/>
    </row>
    <row r="22" spans="1:10" ht="18">
      <c r="A22" s="129" t="s">
        <v>61</v>
      </c>
      <c r="C22" s="133"/>
      <c r="D22" s="133"/>
      <c r="E22" s="133"/>
      <c r="F22" s="40"/>
      <c r="G22" s="40"/>
      <c r="H22" s="40"/>
      <c r="I22" s="40"/>
      <c r="J22" s="40"/>
    </row>
    <row r="23" spans="1:10" ht="18">
      <c r="A23" s="129" t="s">
        <v>67</v>
      </c>
      <c r="C23" s="133"/>
      <c r="D23" s="133"/>
      <c r="E23" s="133"/>
      <c r="F23" s="40"/>
      <c r="G23" s="40"/>
      <c r="H23" s="40"/>
      <c r="I23" s="40"/>
      <c r="J23" s="40"/>
    </row>
    <row r="24" spans="1:10" ht="18">
      <c r="A24" s="129" t="s">
        <v>49</v>
      </c>
      <c r="C24" s="133"/>
      <c r="D24" s="133"/>
      <c r="E24" s="133"/>
      <c r="F24" s="40"/>
      <c r="G24" s="40"/>
      <c r="H24" s="40"/>
      <c r="I24" s="40"/>
      <c r="J24" s="40"/>
    </row>
    <row r="25" spans="1:10" ht="18">
      <c r="A25" s="129" t="s">
        <v>88</v>
      </c>
      <c r="C25" s="133"/>
      <c r="D25" s="133"/>
      <c r="E25" s="133"/>
      <c r="F25" s="40"/>
      <c r="G25" s="40"/>
      <c r="H25" s="40"/>
      <c r="I25" s="40"/>
      <c r="J25" s="40"/>
    </row>
    <row r="26" spans="1:10" ht="18">
      <c r="A26" s="129" t="s">
        <v>62</v>
      </c>
      <c r="C26" s="133"/>
      <c r="D26" s="133"/>
      <c r="E26" s="133"/>
      <c r="F26" s="40"/>
      <c r="G26" s="40"/>
      <c r="H26" s="40"/>
      <c r="I26" s="40"/>
      <c r="J26" s="40"/>
    </row>
    <row r="27" spans="1:10">
      <c r="C27" s="133"/>
      <c r="D27" s="133"/>
      <c r="E27" s="133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4">
        <f t="shared" ref="C28:J28" si="0">COUNTIF(C6:C26,"sim")</f>
        <v>0</v>
      </c>
      <c r="D28" s="134">
        <f t="shared" si="0"/>
        <v>0</v>
      </c>
      <c r="E28" s="134">
        <f t="shared" si="0"/>
        <v>0</v>
      </c>
      <c r="F28" s="134"/>
      <c r="G28" s="134"/>
      <c r="H28" s="134"/>
      <c r="I28" s="134"/>
      <c r="J28" s="134">
        <f t="shared" si="0"/>
        <v>0</v>
      </c>
    </row>
    <row r="29" spans="1:10" ht="15.75">
      <c r="A29" s="17" t="s">
        <v>19</v>
      </c>
      <c r="B29" s="18"/>
      <c r="C29" s="135">
        <f t="shared" ref="C29:J29" si="1">COUNTIF(C6:C26,"não")</f>
        <v>0</v>
      </c>
      <c r="D29" s="135">
        <f t="shared" si="1"/>
        <v>0</v>
      </c>
      <c r="E29" s="135">
        <f t="shared" si="1"/>
        <v>0</v>
      </c>
      <c r="F29" s="135"/>
      <c r="G29" s="135"/>
      <c r="H29" s="135"/>
      <c r="I29" s="135"/>
      <c r="J29" s="135">
        <f t="shared" si="1"/>
        <v>0</v>
      </c>
    </row>
    <row r="30" spans="1:10" ht="15.75">
      <c r="A30" s="14" t="s">
        <v>11</v>
      </c>
      <c r="C30" s="133">
        <f t="shared" ref="C30:J30" si="2">COUNTIF(C6:C26,"ausente")</f>
        <v>0</v>
      </c>
      <c r="D30" s="133">
        <f t="shared" si="2"/>
        <v>0</v>
      </c>
      <c r="E30" s="133">
        <f t="shared" si="2"/>
        <v>0</v>
      </c>
      <c r="F30" s="133"/>
      <c r="G30" s="133"/>
      <c r="H30" s="133"/>
      <c r="I30" s="133"/>
      <c r="J30" s="133">
        <f t="shared" si="2"/>
        <v>0</v>
      </c>
    </row>
    <row r="31" spans="1:10" ht="15.75">
      <c r="A31" s="19" t="s">
        <v>20</v>
      </c>
      <c r="B31" s="20"/>
      <c r="C31" s="136">
        <f t="shared" ref="C31:J31" si="3">COUNTIF(C6:C26,"abstenção")</f>
        <v>0</v>
      </c>
      <c r="D31" s="136">
        <f t="shared" si="3"/>
        <v>0</v>
      </c>
      <c r="E31" s="136">
        <f t="shared" si="3"/>
        <v>0</v>
      </c>
      <c r="F31" s="136"/>
      <c r="G31" s="136"/>
      <c r="H31" s="136"/>
      <c r="I31" s="136"/>
      <c r="J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A2" sqref="A2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101</v>
      </c>
      <c r="B2" s="2"/>
    </row>
    <row r="3" spans="1:23">
      <c r="A3" s="76" t="s">
        <v>96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68</v>
      </c>
      <c r="E4" s="106" t="s">
        <v>69</v>
      </c>
      <c r="F4" s="106" t="s">
        <v>70</v>
      </c>
      <c r="G4" s="106" t="s">
        <v>71</v>
      </c>
      <c r="H4" s="106" t="s">
        <v>72</v>
      </c>
      <c r="I4" s="106" t="s">
        <v>73</v>
      </c>
      <c r="J4" s="106" t="s">
        <v>74</v>
      </c>
      <c r="K4" s="106" t="s">
        <v>75</v>
      </c>
      <c r="L4" s="106" t="s">
        <v>76</v>
      </c>
      <c r="M4" s="106" t="s">
        <v>77</v>
      </c>
      <c r="N4" s="106" t="s">
        <v>78</v>
      </c>
      <c r="O4" s="106" t="s">
        <v>79</v>
      </c>
      <c r="P4" s="106" t="s">
        <v>80</v>
      </c>
      <c r="Q4" s="106" t="s">
        <v>81</v>
      </c>
      <c r="R4" s="106" t="s">
        <v>82</v>
      </c>
      <c r="S4" s="106" t="s">
        <v>83</v>
      </c>
      <c r="T4" s="106" t="s">
        <v>84</v>
      </c>
      <c r="U4" s="106" t="s">
        <v>85</v>
      </c>
      <c r="V4" s="106" t="s">
        <v>86</v>
      </c>
      <c r="W4" s="106" t="s">
        <v>87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66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94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67</v>
      </c>
    </row>
    <row r="24" spans="1:23" ht="15.75">
      <c r="A24" s="127" t="s">
        <v>49</v>
      </c>
    </row>
    <row r="25" spans="1:23" ht="15.75">
      <c r="A25" s="127" t="s">
        <v>88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2026-03-03T21:05:09Z</dcterms:modified>
</cp:coreProperties>
</file>