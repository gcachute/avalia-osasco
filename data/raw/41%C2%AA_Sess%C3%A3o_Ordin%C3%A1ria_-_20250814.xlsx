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4FFD57D9-B6E4-471A-84FE-F29CE96A7A9E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A4" i="14"/>
  <c r="D27" i="3"/>
  <c r="D28" i="3"/>
  <c r="D29" i="3"/>
  <c r="D30" i="3"/>
  <c r="C28" i="10"/>
  <c r="C29" i="10"/>
  <c r="C30" i="10"/>
  <c r="C31" i="10"/>
  <c r="F27" i="2"/>
  <c r="F28" i="2"/>
  <c r="F29" i="2"/>
  <c r="F30" i="2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<sst xmlns="http://schemas.openxmlformats.org/spreadsheetml/2006/main" count="429" uniqueCount="123">
  <si>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</si>
  <si>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</si>
  <si>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</si>
  <si>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</si>
  <si>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</si>
  <si>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</si>
  <si>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</si>
  <si>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</si>
  <si>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</si>
  <si>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</si>
  <si>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</si>
  <si>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</si>
  <si>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</si>
  <si>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</si>
  <si>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</si>
  <si>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</si>
  <si>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</si>
  <si>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</si>
  <si>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</si>
  <si>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</si>
  <si>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</si>
  <si>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</si>
  <si>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</si>
  <si>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</si>
  <si>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</si>
  <si>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</si>
  <si>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</si>
  <si>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</si>
  <si>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</si>
  <si>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</si>
  <si>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</si>
  <si>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</si>
  <si>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</si>
  <si>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</si>
  <si>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</si>
  <si>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</si>
  <si>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</si>
  <si>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</si>
  <si>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</si>
  <si>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</si>
  <si>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</si>
  <si>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</si>
  <si>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</si>
  <si>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</si>
  <si>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</si>
  <si>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</si>
  <si>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</si>
  <si>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</si>
  <si>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</si>
  <si>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</si>
  <si>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</si>
  <si>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</si>
  <si>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</si>
  <si>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</si>
  <si>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</si>
  <si>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</si>
  <si>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</si>
  <si>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</si>
  <si>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</si>
  <si>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</si>
  <si>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</si>
  <si>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</si>
  <si>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</si>
  <si>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</si>
  <si>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</si>
  <si>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</si>
  <si>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</si>
  <si>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</si>
  <si>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</si>
  <si>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</si>
  <si>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</si>
  <si>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</si>
  <si>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</si>
  <si>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</si>
  <si>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</si>
  <si>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</si>
  <si>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</si>
  <si>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</si>
  <si>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</si>
  <si>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</si>
  <si>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</si>
  <si>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</si>
  <si>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</si>
  <si>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</si>
  <si>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</si>
  <si>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</si>
  <si>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</si>
  <si>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</si>
  <si>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</si>
  <si>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</si>
  <si>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</si>
  <si>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</si>
  <si>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</si>
  <si>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</si>
  <si>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</si>
  <si>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</si>
  <si>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 xml:space="preserve"> </t>
  </si>
  <si>
    <t>Batista Comunidade</t>
  </si>
  <si>
    <t>Lúcia da Saúde</t>
  </si>
  <si>
    <t>Ralfi Silva</t>
  </si>
  <si>
    <t>pela ausência da autora, será pautada na próxima sessão.</t>
  </si>
  <si>
    <r>
      <t xml:space="preserve">MOÇÃO DE RECONHECIMENTO Nº 350/2025 – LÚCIA DA SAÚDE - </t>
    </r>
    <r>
      <rPr>
        <sz val="11"/>
        <color theme="1"/>
        <rFont val="Arial"/>
        <family val="2"/>
      </rPr>
      <t>Ao Dr. Marcelo Correa Affonso, médico ginecologista, pelos relevantes serviços prestados à saúde e bem-estar da população de nossa cidade, com um trabalho exemplar e de extrema dedicação.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</si>
  <si>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</si>
  <si>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APROVADA
</t>
    </r>
    <r>
      <rPr>
        <b/>
        <sz val="12"/>
        <color rgb="FF00B050"/>
        <rFont val="Arial"/>
        <family val="2"/>
      </rPr>
      <t>VOTAÇÃO SIMBÓLICA</t>
    </r>
  </si>
  <si>
    <t>41ª SESSÃO ORDINÁRIA</t>
  </si>
  <si>
    <t>DIA 14 DE AGOSTO DE 2025 - QUINTA-FEIRA</t>
  </si>
  <si>
    <t>Projeto de Lei Complementar nº 08/2025 – Prefeito do Município de Osasco – Altera a Lei Complementar n° 428, de 22 de dezembro de 2023, que dispõe sobre a consolidação das atribuições e dos requisitos dos cargos de provimento efetivo da Prefeitura do Município de Osasco.</t>
  </si>
  <si>
    <r>
      <t xml:space="preserve">Decretos nº 14.756, 14.757, 14.759 a 14.762, 14.767 e 14.769 a 14.771 de agosto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</si>
  <si>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Decretos nº 14.758, 14.763 a 14.766 e 14.768 de agosto de 2025 - Prefeito do Município de Osasco – </t>
    </r>
    <r>
      <rPr>
        <sz val="12"/>
        <color rgb="FF000000"/>
        <rFont val="Calibri"/>
        <family val="2"/>
      </rPr>
      <t>Dispõe sobre abertura de crédito adicional especial ao orçamento vigente e dá outras providências.</t>
    </r>
  </si>
  <si>
    <r>
      <t xml:space="preserve">Projeto de Lei nº 75/2025 – Josias da Juco – </t>
    </r>
    <r>
      <rPr>
        <sz val="12"/>
        <color rgb="FF000000"/>
        <rFont val="Calibri"/>
        <family val="2"/>
      </rPr>
      <t>Dispõe sobre o atendimento prioritário aos pacientes com diabetes na rede pública de saúde do município.</t>
    </r>
  </si>
  <si>
    <r>
      <t xml:space="preserve">Projeto de Resolução nº 6/2025 – Josias da Juco – </t>
    </r>
    <r>
      <rPr>
        <sz val="12"/>
        <color rgb="FF000000"/>
        <rFont val="Calibri"/>
        <family val="2"/>
      </rPr>
      <t>Institui o Programa Nossa História no âmbito da Câmara Municipal de Osasco e dá outras providências.</t>
    </r>
  </si>
  <si>
    <r>
      <t xml:space="preserve">MOÇÃO DE APLAUSOS Nº 327/2025 – SÉRGIO FONTELLAS - </t>
    </r>
    <r>
      <rPr>
        <sz val="11"/>
        <color theme="1"/>
        <rFont val="Arial"/>
        <family val="2"/>
      </rPr>
      <t>Ao Grupo Saúde Universal (GSU), pela mobilização voluntária em prol da conscientização da doação de sangue, realizada em todo o território nacional, especialmente a atuação do grupo, na Unidade da Fundação Pró-Sangue, localizada no Hospital Regional da Cidade de Osasco, incentivando a população à prática da doação de sangue, promovendo a solidariedade e estimulando os voluntários a salvarem vidas através da doação de sangue.</t>
    </r>
  </si>
  <si>
    <r>
      <t xml:space="preserve">MOÇÃO DE APLAUSOS Nº 368/2025 – BATISTA COMUNIDADE - </t>
    </r>
    <r>
      <rPr>
        <sz val="11"/>
        <color theme="1"/>
        <rFont val="Arial"/>
        <family val="2"/>
      </rPr>
      <t>Ao senhor Márcio Almeida Campos, em reconhecimento à sua trajetória exemplar de dedicação à educação, à gestão empresarial e ao compromisso com causas sociais e comunitárias.</t>
    </r>
  </si>
  <si>
    <r>
      <t xml:space="preserve">MOÇÃO DE REPÚDIO Nº 374/2025 – EMERSON OSASCO - </t>
    </r>
    <r>
      <rPr>
        <sz val="11"/>
        <color theme="1"/>
        <rFont val="Arial"/>
        <family val="2"/>
      </rPr>
      <t>A todas as formas de violência digital e sexual.</t>
    </r>
  </si>
  <si>
    <r>
      <t xml:space="preserve">MOÇÃO DE CONGRATULAÇÕES Nº 375/2025 – ELSA OLIVEIRA - </t>
    </r>
    <r>
      <rPr>
        <sz val="11"/>
        <color theme="1"/>
        <rFont val="Arial"/>
        <family val="2"/>
      </rPr>
      <t>À Banda Marcial Biondo, pela brilhante realização do espetáculo “Onde o Sonho Mora”, em comemoração aos seus 14 anos de relevantes serviços prestados à cultura e à educação musical de nossa cidade.</t>
    </r>
  </si>
  <si>
    <r>
      <t xml:space="preserve">MOÇÃO DE CONGRATULAÇÕES Nº 376/2025 – ELSA OLIVEIRA - </t>
    </r>
    <r>
      <rPr>
        <sz val="11"/>
        <color theme="1"/>
        <rFont val="Arial"/>
        <family val="2"/>
      </rPr>
      <t>Ao Coletivo Chega de Silêncio, É Hora de nos Unirmos! pela relevante atuação no enfrentamento à violência contra as mulheres e na mobilização social em defesa da vida.</t>
    </r>
  </si>
  <si>
    <r>
      <t xml:space="preserve">MOÇÃO DE APLAUSOS Nº 377/2025 – GABRIEL SAÚDE - </t>
    </r>
    <r>
      <rPr>
        <sz val="11"/>
        <color theme="1"/>
        <rFont val="Arial"/>
        <family val="2"/>
      </rPr>
      <t>Ao podcast “O ReporterPod”, produzido pelo jornal “O Repórter Regional”, sob a apresentação do médico e economista José Alfredo Bosi e do jornalista Valter Wolff.</t>
    </r>
  </si>
  <si>
    <r>
      <t xml:space="preserve">MOÇÃO DE APLAUSOS Nº 378/2025 – PAULO JÚNIOR - </t>
    </r>
    <r>
      <rPr>
        <sz val="11"/>
        <color theme="1"/>
        <rFont val="Arial"/>
        <family val="2"/>
      </rPr>
      <t>Ao Osasquense Enzo Rodrigues por se tornar o mais jovem faixa preta da história do Hapkido, com apenas 11 anos de idade.</t>
    </r>
  </si>
  <si>
    <r>
      <t>MOÇÃO DE RECONHECIMENTO Nº 352/2025 – LÚCIA DA SAÚDE -</t>
    </r>
    <r>
      <rPr>
        <sz val="11"/>
        <color theme="1"/>
        <rFont val="Arial"/>
        <family val="2"/>
      </rPr>
      <t xml:space="preserve"> Ao Dr. Ricardo Cassio Mendes Júnior, médico generalista da nossa cidade, pelos relevantes serviços prestados à comunidade de Osasco, ao longo de sua carreira dedicada ao cuidado e bem-estar de nossos munícipes.</t>
    </r>
  </si>
  <si>
    <r>
      <t xml:space="preserve">PROJETO DE LEI Nº 72/2025 – ELSA OLIVEIRA – </t>
    </r>
    <r>
      <rPr>
        <sz val="14"/>
        <color theme="1"/>
        <rFont val="Arial"/>
        <family val="2"/>
      </rPr>
      <t xml:space="preserve">Institui a Semana da Comunidade Surda. </t>
    </r>
  </si>
  <si>
    <r>
      <t xml:space="preserve">PROJETO DE LEI Nº 56/2025 – PEDRINHO CANTAGESSI – </t>
    </r>
    <r>
      <rPr>
        <sz val="14"/>
        <color theme="1"/>
        <rFont val="Arial"/>
        <family val="2"/>
      </rPr>
      <t xml:space="preserve">Dispõe sobre alteração de denominação da Viela Janete Clair, localizada no Jardim Bandeiras, que passa a denominar-se Viela Willian Gomes de Sousa. </t>
    </r>
  </si>
  <si>
    <r>
      <t>PROJETO DE LEI Nº 28/2025 – LÚCIA DA SAÚDE -</t>
    </r>
    <r>
      <rPr>
        <sz val="11"/>
        <color theme="1"/>
        <rFont val="Arial"/>
        <family val="2"/>
      </rPr>
      <t xml:space="preserve"> Institui o Dia Municipal das Pessoas Centenárias. </t>
    </r>
  </si>
  <si>
    <t>EMENDA Nº 01/2025 AO PROJETO DE LEI Nº 28/2025 – LÚCIA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</si>
</sst>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5" sqref="A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1"/>
      <c r="O1" s="71"/>
      <c r="P1" s="71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4" t="s">
        <v>104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1"/>
      <c r="O2" s="71"/>
      <c r="P2" s="71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4" t="s">
        <v>105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1"/>
      <c r="O3" s="71"/>
      <c r="P3" s="71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9"/>
      <c r="U4" s="149"/>
      <c r="V4" s="149"/>
      <c r="W4" s="149"/>
      <c r="X4" s="149"/>
      <c r="Y4" s="149"/>
    </row>
    <row r="5" spans="1:28" ht="18" customHeight="1">
      <c r="A5" s="46" t="s">
        <v>54</v>
      </c>
      <c r="B5" s="89">
        <v>1</v>
      </c>
      <c r="C5" s="62" t="s">
        <v>55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9"/>
      <c r="U5" s="149"/>
      <c r="V5" s="149"/>
      <c r="W5" s="149"/>
      <c r="X5" s="149"/>
      <c r="Y5" s="149"/>
    </row>
    <row r="6" spans="1:28" ht="18" customHeight="1">
      <c r="A6" s="46" t="s">
        <v>97</v>
      </c>
      <c r="B6" s="89">
        <v>2</v>
      </c>
      <c r="C6" s="103" t="s">
        <v>56</v>
      </c>
      <c r="D6" s="63"/>
      <c r="E6" s="103"/>
      <c r="F6" s="89">
        <v>2</v>
      </c>
      <c r="G6" s="103" t="s">
        <v>56</v>
      </c>
      <c r="H6" s="63"/>
      <c r="I6" s="62"/>
      <c r="J6" s="63">
        <v>1</v>
      </c>
      <c r="K6" s="62" t="s">
        <v>55</v>
      </c>
      <c r="L6" s="67"/>
      <c r="M6" s="65"/>
      <c r="N6" s="63"/>
      <c r="O6" s="103"/>
      <c r="P6" s="63"/>
      <c r="Q6" s="63"/>
      <c r="R6" s="103"/>
      <c r="S6" s="90"/>
      <c r="T6" s="149"/>
      <c r="U6" s="149"/>
      <c r="V6" s="149"/>
      <c r="W6" s="149"/>
      <c r="X6" s="149"/>
      <c r="Y6" s="149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9"/>
      <c r="U7" s="149"/>
      <c r="V7" s="149"/>
      <c r="W7" s="149"/>
      <c r="X7" s="149"/>
      <c r="Y7" s="149"/>
    </row>
    <row r="8" spans="1:28" ht="18" customHeight="1">
      <c r="A8" s="83" t="s">
        <v>58</v>
      </c>
      <c r="B8" s="89">
        <v>1</v>
      </c>
      <c r="C8" s="62" t="s">
        <v>55</v>
      </c>
      <c r="D8" s="63"/>
      <c r="E8" s="62"/>
      <c r="F8" s="89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90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9">
        <v>2</v>
      </c>
      <c r="C9" s="103" t="s">
        <v>56</v>
      </c>
      <c r="D9" s="63"/>
      <c r="E9" s="62"/>
      <c r="F9" s="89">
        <v>2</v>
      </c>
      <c r="G9" s="103" t="s">
        <v>56</v>
      </c>
      <c r="H9" s="63"/>
      <c r="I9" s="62"/>
      <c r="J9" s="63">
        <v>2</v>
      </c>
      <c r="K9" s="103" t="s">
        <v>56</v>
      </c>
      <c r="L9" s="67"/>
      <c r="M9" s="65"/>
      <c r="N9" s="63"/>
      <c r="O9" s="103"/>
      <c r="P9" s="63"/>
      <c r="Q9" s="63"/>
      <c r="R9" s="103"/>
      <c r="S9" s="90"/>
      <c r="T9" s="149"/>
      <c r="U9" s="149"/>
      <c r="V9" s="149"/>
      <c r="W9" s="149"/>
      <c r="X9" s="149"/>
      <c r="Y9" s="149"/>
    </row>
    <row r="10" spans="1:28" ht="18" customHeight="1">
      <c r="A10" s="46" t="s">
        <v>59</v>
      </c>
      <c r="B10" s="89">
        <v>1</v>
      </c>
      <c r="C10" s="62" t="s">
        <v>55</v>
      </c>
      <c r="D10" s="63"/>
      <c r="E10" s="62"/>
      <c r="F10" s="89">
        <v>1</v>
      </c>
      <c r="G10" s="62" t="s">
        <v>55</v>
      </c>
      <c r="H10" s="63"/>
      <c r="I10" s="62"/>
      <c r="J10" s="63">
        <v>1</v>
      </c>
      <c r="K10" s="62" t="s">
        <v>55</v>
      </c>
      <c r="L10" s="67"/>
      <c r="M10" s="65"/>
      <c r="N10" s="63"/>
      <c r="O10" s="62"/>
      <c r="P10" s="63"/>
      <c r="Q10" s="63"/>
      <c r="R10" s="62"/>
      <c r="S10" s="90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9">
        <v>1</v>
      </c>
      <c r="C11" s="62" t="s">
        <v>55</v>
      </c>
      <c r="D11" s="63"/>
      <c r="E11" s="62"/>
      <c r="F11" s="89">
        <v>1</v>
      </c>
      <c r="G11" s="62" t="s">
        <v>55</v>
      </c>
      <c r="H11" s="63"/>
      <c r="I11" s="62"/>
      <c r="J11" s="63">
        <v>1</v>
      </c>
      <c r="K11" s="62" t="s">
        <v>55</v>
      </c>
      <c r="L11" s="67"/>
      <c r="M11" s="65"/>
      <c r="N11" s="63"/>
      <c r="O11" s="103"/>
      <c r="P11" s="63"/>
      <c r="Q11" s="63"/>
      <c r="R11" s="62"/>
      <c r="S11" s="91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9">
        <v>2</v>
      </c>
      <c r="C12" s="103" t="s">
        <v>56</v>
      </c>
      <c r="D12" s="63"/>
      <c r="E12" s="103"/>
      <c r="F12" s="89">
        <v>2</v>
      </c>
      <c r="G12" s="103" t="s">
        <v>56</v>
      </c>
      <c r="H12" s="63"/>
      <c r="I12" s="68"/>
      <c r="J12" s="63">
        <v>1</v>
      </c>
      <c r="K12" s="62" t="s">
        <v>55</v>
      </c>
      <c r="L12" s="67"/>
      <c r="M12" s="65"/>
      <c r="N12" s="63"/>
      <c r="O12" s="103"/>
      <c r="P12" s="63"/>
      <c r="Q12" s="63"/>
      <c r="R12" s="103"/>
      <c r="S12" s="92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9">
        <v>1</v>
      </c>
      <c r="C13" s="62" t="s">
        <v>55</v>
      </c>
      <c r="D13" s="63"/>
      <c r="E13" s="62"/>
      <c r="F13" s="89">
        <v>1</v>
      </c>
      <c r="G13" s="62" t="s">
        <v>55</v>
      </c>
      <c r="H13" s="63"/>
      <c r="I13" s="62"/>
      <c r="J13" s="63">
        <v>2</v>
      </c>
      <c r="K13" s="103" t="s">
        <v>56</v>
      </c>
      <c r="L13" s="67"/>
      <c r="M13" s="65"/>
      <c r="N13" s="63"/>
      <c r="O13" s="62"/>
      <c r="P13" s="63"/>
      <c r="Q13" s="63"/>
      <c r="R13" s="103"/>
      <c r="S13" s="92"/>
      <c r="T13" s="149"/>
      <c r="U13" s="149"/>
      <c r="V13" s="149"/>
      <c r="W13" s="149"/>
      <c r="X13" s="149"/>
      <c r="Y13" s="149"/>
    </row>
    <row r="14" spans="1:28" ht="18" customHeight="1">
      <c r="A14" s="46" t="s">
        <v>60</v>
      </c>
      <c r="B14" s="89">
        <v>1</v>
      </c>
      <c r="C14" s="62" t="s">
        <v>55</v>
      </c>
      <c r="D14" s="63"/>
      <c r="E14" s="62"/>
      <c r="F14" s="89">
        <v>1</v>
      </c>
      <c r="G14" s="62" t="s">
        <v>55</v>
      </c>
      <c r="H14" s="63"/>
      <c r="I14" s="62"/>
      <c r="J14" s="63">
        <v>2</v>
      </c>
      <c r="K14" s="103" t="s">
        <v>56</v>
      </c>
      <c r="L14" s="67"/>
      <c r="M14" s="65"/>
      <c r="N14" s="63"/>
      <c r="O14" s="62"/>
      <c r="P14" s="63"/>
      <c r="Q14" s="63"/>
      <c r="R14" s="103"/>
      <c r="S14" s="92"/>
      <c r="T14" s="149"/>
      <c r="U14" s="149"/>
      <c r="V14" s="149"/>
      <c r="W14" s="149"/>
      <c r="X14" s="149"/>
      <c r="Y14" s="149"/>
    </row>
    <row r="15" spans="1:28" ht="18" customHeight="1">
      <c r="A15" s="46" t="s">
        <v>61</v>
      </c>
      <c r="B15" s="89">
        <v>1</v>
      </c>
      <c r="C15" s="62" t="s">
        <v>55</v>
      </c>
      <c r="D15" s="63"/>
      <c r="E15" s="62"/>
      <c r="F15" s="89">
        <v>1</v>
      </c>
      <c r="G15" s="62" t="s">
        <v>55</v>
      </c>
      <c r="H15" s="63"/>
      <c r="I15" s="62"/>
      <c r="J15" s="63">
        <v>2</v>
      </c>
      <c r="K15" s="103" t="s">
        <v>56</v>
      </c>
      <c r="L15" s="67"/>
      <c r="M15" s="65"/>
      <c r="N15" s="63"/>
      <c r="O15" s="62"/>
      <c r="P15" s="63"/>
      <c r="Q15" s="63"/>
      <c r="R15" s="103"/>
      <c r="S15" s="92"/>
      <c r="T15" s="149"/>
      <c r="U15" s="149"/>
      <c r="V15" s="149"/>
      <c r="W15" s="149"/>
      <c r="X15" s="149"/>
      <c r="Y15" s="149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9">
        <v>2</v>
      </c>
      <c r="C17" s="103" t="s">
        <v>56</v>
      </c>
      <c r="D17" s="63"/>
      <c r="E17" s="62"/>
      <c r="F17" s="89">
        <v>2</v>
      </c>
      <c r="G17" s="103" t="s">
        <v>56</v>
      </c>
      <c r="H17" s="63"/>
      <c r="I17" s="68"/>
      <c r="J17" s="63">
        <v>2</v>
      </c>
      <c r="K17" s="103" t="s">
        <v>56</v>
      </c>
      <c r="L17" s="67"/>
      <c r="M17" s="65"/>
      <c r="N17" s="63"/>
      <c r="O17" s="62"/>
      <c r="P17" s="63"/>
      <c r="Q17" s="63"/>
      <c r="R17" s="103"/>
      <c r="S17" s="92"/>
      <c r="T17" s="149"/>
      <c r="U17" s="149"/>
      <c r="V17" s="149"/>
      <c r="W17" s="149"/>
      <c r="X17" s="149"/>
      <c r="Y17" s="149"/>
    </row>
    <row r="18" spans="1:28" ht="17.25" customHeight="1">
      <c r="A18" s="46" t="s">
        <v>63</v>
      </c>
      <c r="B18" s="89">
        <v>2</v>
      </c>
      <c r="C18" s="103" t="s">
        <v>56</v>
      </c>
      <c r="D18" s="63"/>
      <c r="E18" s="62"/>
      <c r="F18" s="89">
        <v>1</v>
      </c>
      <c r="G18" s="62" t="s">
        <v>55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3"/>
      <c r="S18" s="92"/>
      <c r="T18" s="149"/>
      <c r="U18" s="149"/>
      <c r="V18" s="149"/>
      <c r="W18" s="149"/>
      <c r="X18" s="149"/>
      <c r="Y18" s="149"/>
    </row>
    <row r="19" spans="1:28" ht="18" customHeight="1">
      <c r="A19" s="46" t="s">
        <v>98</v>
      </c>
      <c r="B19" s="89">
        <v>2</v>
      </c>
      <c r="C19" s="103" t="s">
        <v>56</v>
      </c>
      <c r="D19" s="63"/>
      <c r="E19" s="103"/>
      <c r="F19" s="89">
        <v>2</v>
      </c>
      <c r="G19" s="103" t="s">
        <v>56</v>
      </c>
      <c r="H19" s="63"/>
      <c r="I19" s="62"/>
      <c r="J19" s="63">
        <v>1</v>
      </c>
      <c r="K19" s="62" t="s">
        <v>55</v>
      </c>
      <c r="L19" s="67"/>
      <c r="M19" s="65"/>
      <c r="N19" s="63"/>
      <c r="O19" s="62"/>
      <c r="P19" s="63"/>
      <c r="Q19" s="63"/>
      <c r="R19" s="103"/>
      <c r="S19" s="92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9">
        <v>1</v>
      </c>
      <c r="C20" s="62" t="s">
        <v>55</v>
      </c>
      <c r="D20" s="63"/>
      <c r="E20" s="62"/>
      <c r="F20" s="89">
        <v>1</v>
      </c>
      <c r="G20" s="62" t="s">
        <v>55</v>
      </c>
      <c r="H20" s="63"/>
      <c r="I20" s="68"/>
      <c r="J20" s="63">
        <v>1</v>
      </c>
      <c r="K20" s="62" t="s">
        <v>55</v>
      </c>
      <c r="L20" s="67"/>
      <c r="M20" s="65"/>
      <c r="N20" s="63"/>
      <c r="O20" s="62"/>
      <c r="P20" s="63"/>
      <c r="Q20" s="63"/>
      <c r="R20" s="103"/>
      <c r="S20" s="92"/>
      <c r="T20" s="149"/>
      <c r="U20" s="149"/>
      <c r="V20" s="149"/>
      <c r="W20" s="149"/>
      <c r="X20" s="149"/>
      <c r="Y20" s="149"/>
    </row>
    <row r="21" spans="1:28" ht="18.75" customHeight="1">
      <c r="A21" s="46" t="s">
        <v>64</v>
      </c>
      <c r="B21" s="89">
        <v>2</v>
      </c>
      <c r="C21" s="103" t="s">
        <v>56</v>
      </c>
      <c r="D21" s="63"/>
      <c r="E21" s="62"/>
      <c r="F21" s="89">
        <v>2</v>
      </c>
      <c r="G21" s="103" t="s">
        <v>56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2"/>
      <c r="T21" s="149"/>
      <c r="U21" s="149"/>
      <c r="V21" s="149"/>
      <c r="W21" s="149"/>
      <c r="X21" s="149"/>
      <c r="Y21" s="149"/>
    </row>
    <row r="22" spans="1:28" ht="18" customHeight="1">
      <c r="A22" s="46" t="s">
        <v>99</v>
      </c>
      <c r="B22" s="89">
        <v>2</v>
      </c>
      <c r="C22" s="103" t="s">
        <v>56</v>
      </c>
      <c r="D22" s="63"/>
      <c r="E22" s="103"/>
      <c r="F22" s="89">
        <v>2</v>
      </c>
      <c r="G22" s="103" t="s">
        <v>56</v>
      </c>
      <c r="H22" s="63"/>
      <c r="I22" s="68"/>
      <c r="J22" s="63">
        <v>2</v>
      </c>
      <c r="K22" s="103" t="s">
        <v>56</v>
      </c>
      <c r="L22" s="67"/>
      <c r="M22" s="65"/>
      <c r="N22" s="63"/>
      <c r="O22" s="103"/>
      <c r="P22" s="63"/>
      <c r="Q22" s="63"/>
      <c r="R22" s="103"/>
      <c r="S22" s="92"/>
      <c r="T22" s="149"/>
      <c r="U22" s="149"/>
      <c r="V22" s="149"/>
      <c r="W22" s="149"/>
      <c r="X22" s="149"/>
      <c r="Y22" s="149"/>
    </row>
    <row r="23" spans="1:28" ht="18" customHeight="1">
      <c r="A23" s="46" t="s">
        <v>52</v>
      </c>
      <c r="B23" s="89">
        <v>2</v>
      </c>
      <c r="C23" s="103" t="s">
        <v>56</v>
      </c>
      <c r="D23" s="63"/>
      <c r="E23" s="62"/>
      <c r="F23" s="89">
        <v>2</v>
      </c>
      <c r="G23" s="103" t="s">
        <v>56</v>
      </c>
      <c r="H23" s="63"/>
      <c r="I23" s="62"/>
      <c r="J23" s="63">
        <v>1</v>
      </c>
      <c r="K23" s="62" t="s">
        <v>55</v>
      </c>
      <c r="L23" s="67"/>
      <c r="M23" s="65"/>
      <c r="N23" s="63"/>
      <c r="O23" s="62"/>
      <c r="P23" s="63"/>
      <c r="Q23" s="63"/>
      <c r="R23" s="62"/>
      <c r="S23" s="92"/>
      <c r="T23" s="149"/>
      <c r="U23" s="149"/>
      <c r="V23" s="149"/>
      <c r="W23" s="149"/>
      <c r="X23" s="149"/>
      <c r="Y23" s="149"/>
    </row>
    <row r="24" spans="1:28" ht="20.25">
      <c r="A24" s="46" t="s">
        <v>65</v>
      </c>
      <c r="B24" s="89">
        <v>2</v>
      </c>
      <c r="C24" s="103" t="s">
        <v>56</v>
      </c>
      <c r="D24" s="63"/>
      <c r="E24" s="62"/>
      <c r="F24" s="89">
        <v>1</v>
      </c>
      <c r="G24" s="62" t="s">
        <v>55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3"/>
      <c r="S24" s="92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66</v>
      </c>
      <c r="B25" s="89">
        <v>1</v>
      </c>
      <c r="C25" s="62" t="s">
        <v>55</v>
      </c>
      <c r="D25" s="63"/>
      <c r="E25" s="62"/>
      <c r="F25" s="89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3"/>
      <c r="S25" s="92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9">
        <v>11</v>
      </c>
      <c r="C26" s="97" t="s">
        <v>49</v>
      </c>
      <c r="D26" s="99"/>
      <c r="E26" s="97"/>
      <c r="F26" s="99">
        <v>13</v>
      </c>
      <c r="G26" s="97" t="s">
        <v>49</v>
      </c>
      <c r="H26" s="101"/>
      <c r="I26" s="102"/>
      <c r="J26" s="99">
        <v>15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10</v>
      </c>
      <c r="C27" s="97" t="s">
        <v>50</v>
      </c>
      <c r="D27" s="99"/>
      <c r="E27" s="97"/>
      <c r="F27" s="99">
        <v>8</v>
      </c>
      <c r="G27" s="97" t="s">
        <v>50</v>
      </c>
      <c r="H27" s="101"/>
      <c r="I27" s="97"/>
      <c r="J27" s="99">
        <v>6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96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63</v>
      </c>
      <c r="V32" s="12"/>
      <c r="W32" s="12"/>
    </row>
    <row r="33" spans="1:23" ht="18">
      <c r="A33" s="34" t="s">
        <v>65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 t="s">
        <v>25</v>
      </c>
      <c r="V41" s="12"/>
      <c r="W41" s="12"/>
    </row>
    <row r="42" spans="1:23" ht="18">
      <c r="A42" s="34" t="s">
        <v>28</v>
      </c>
      <c r="V42" s="12"/>
      <c r="W42" s="12"/>
    </row>
    <row r="43" spans="1:23" ht="18">
      <c r="A43" s="34" t="s">
        <v>64</v>
      </c>
      <c r="V43" s="12"/>
      <c r="W43" s="12"/>
    </row>
    <row r="44" spans="1:23" ht="18">
      <c r="A44" s="34" t="s">
        <v>98</v>
      </c>
      <c r="V44" s="12"/>
      <c r="W44" s="12"/>
    </row>
    <row r="45" spans="1:23" ht="18">
      <c r="A45" s="34" t="s">
        <v>23</v>
      </c>
      <c r="B45" s="7"/>
      <c r="V45" s="12"/>
      <c r="W45" s="32"/>
    </row>
    <row r="46" spans="1:23" ht="18">
      <c r="A46" s="34" t="s">
        <v>97</v>
      </c>
      <c r="W46" s="12"/>
    </row>
    <row r="47" spans="1:23" ht="18">
      <c r="A47" s="34" t="s">
        <v>52</v>
      </c>
      <c r="W47" s="12"/>
    </row>
    <row r="48" spans="1:23" ht="18">
      <c r="A48" s="34" t="s">
        <v>99</v>
      </c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28</v>
      </c>
    </row>
    <row r="52" spans="1:23" ht="18">
      <c r="A52" s="34" t="s">
        <v>24</v>
      </c>
    </row>
    <row r="53" spans="1:23" ht="18">
      <c r="A53" s="34" t="s">
        <v>60</v>
      </c>
    </row>
    <row r="54" spans="1:23" ht="18">
      <c r="A54" s="34" t="s">
        <v>61</v>
      </c>
    </row>
    <row r="55" spans="1:23" ht="18">
      <c r="A55" s="34" t="s">
        <v>99</v>
      </c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S10" sqref="S10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9" width="22.7109375" style="22" customWidth="1"/>
    <col min="20" max="16384" width="9.140625" style="22"/>
  </cols>
  <sheetData>
    <row r="1" spans="1:19" ht="15">
      <c r="A1" s="77" t="s">
        <v>8</v>
      </c>
      <c r="B1" s="21"/>
      <c r="C1" s="21"/>
      <c r="D1" s="21"/>
      <c r="E1" s="21"/>
      <c r="F1" s="21"/>
      <c r="G1" s="21"/>
      <c r="H1" s="21"/>
      <c r="I1" s="21"/>
    </row>
    <row r="2" spans="1:19" ht="15">
      <c r="A2" s="77" t="s">
        <v>104</v>
      </c>
      <c r="B2" s="21"/>
      <c r="C2" s="21"/>
      <c r="D2" s="21"/>
      <c r="E2" s="21"/>
      <c r="F2" s="21"/>
      <c r="G2" s="21"/>
      <c r="H2" s="21"/>
      <c r="I2" s="21"/>
    </row>
    <row r="3" spans="1:19" ht="17.25" customHeight="1">
      <c r="A3" s="77" t="s">
        <v>105</v>
      </c>
      <c r="B3" s="21"/>
      <c r="C3" s="21"/>
      <c r="D3" s="21"/>
      <c r="E3" s="21"/>
      <c r="F3" s="21"/>
      <c r="G3" s="21"/>
      <c r="H3" s="21"/>
      <c r="I3" s="21"/>
    </row>
    <row r="4" spans="1:19" ht="63" customHeight="1">
      <c r="A4" s="51" t="str">
        <f>'[1]MOÇÃO E REQUERIMENTO'!B7</f>
        <v>EXPEDIENTE</v>
      </c>
      <c r="B4" s="50" t="s">
        <v>48</v>
      </c>
      <c r="C4" s="118" t="s">
        <v>106</v>
      </c>
      <c r="D4" s="118" t="s">
        <v>107</v>
      </c>
      <c r="E4" s="118" t="s">
        <v>108</v>
      </c>
      <c r="F4" s="118" t="s">
        <v>109</v>
      </c>
      <c r="G4" s="118" t="s">
        <v>110</v>
      </c>
      <c r="H4" s="113" t="s">
        <v>34</v>
      </c>
      <c r="I4" s="125"/>
      <c r="J4" s="50" t="s">
        <v>27</v>
      </c>
      <c r="K4" s="85" t="s">
        <v>111</v>
      </c>
      <c r="L4" s="85" t="s">
        <v>112</v>
      </c>
      <c r="M4" s="85" t="s">
        <v>113</v>
      </c>
      <c r="N4" s="85" t="s">
        <v>114</v>
      </c>
      <c r="O4" s="85" t="s">
        <v>115</v>
      </c>
      <c r="P4" s="69" t="s">
        <v>116</v>
      </c>
      <c r="Q4" s="69" t="s">
        <v>117</v>
      </c>
      <c r="R4" s="69" t="s">
        <v>101</v>
      </c>
      <c r="S4" s="69" t="s">
        <v>118</v>
      </c>
    </row>
    <row r="5" spans="1:19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114"/>
      <c r="K5" s="114" t="s">
        <v>92</v>
      </c>
      <c r="L5" s="119" t="s">
        <v>93</v>
      </c>
      <c r="M5" s="114" t="s">
        <v>92</v>
      </c>
      <c r="N5" s="119" t="s">
        <v>100</v>
      </c>
      <c r="O5" s="114" t="s">
        <v>92</v>
      </c>
      <c r="P5" s="114" t="s">
        <v>92</v>
      </c>
      <c r="Q5" s="114" t="s">
        <v>92</v>
      </c>
      <c r="R5" s="114" t="s">
        <v>92</v>
      </c>
      <c r="S5" s="114" t="s">
        <v>92</v>
      </c>
    </row>
    <row r="6" spans="1:19" ht="15.75">
      <c r="A6" s="128" t="s">
        <v>54</v>
      </c>
      <c r="J6" s="23"/>
    </row>
    <row r="7" spans="1:19" ht="15.75">
      <c r="A7" s="128" t="s">
        <v>97</v>
      </c>
      <c r="J7" s="23"/>
    </row>
    <row r="8" spans="1:19" ht="15.75">
      <c r="A8" s="128" t="s">
        <v>57</v>
      </c>
      <c r="J8" s="23"/>
    </row>
    <row r="9" spans="1:19" ht="15.75">
      <c r="A9" s="129" t="s">
        <v>58</v>
      </c>
      <c r="J9" s="23"/>
    </row>
    <row r="10" spans="1:19" ht="15.75">
      <c r="A10" s="128" t="s">
        <v>28</v>
      </c>
      <c r="J10" s="23"/>
    </row>
    <row r="11" spans="1:19" ht="15.75">
      <c r="A11" s="128" t="s">
        <v>59</v>
      </c>
      <c r="J11" s="23"/>
    </row>
    <row r="12" spans="1:19" ht="15.75">
      <c r="A12" s="128" t="s">
        <v>22</v>
      </c>
      <c r="J12" s="23"/>
    </row>
    <row r="13" spans="1:19" ht="15.75">
      <c r="A13" s="128" t="s">
        <v>23</v>
      </c>
      <c r="J13" s="23"/>
    </row>
    <row r="14" spans="1:19" ht="15.75">
      <c r="A14" s="128" t="s">
        <v>24</v>
      </c>
      <c r="J14" s="23"/>
    </row>
    <row r="15" spans="1:19" ht="15.75">
      <c r="A15" s="128" t="s">
        <v>60</v>
      </c>
      <c r="J15" s="23"/>
    </row>
    <row r="16" spans="1:19" ht="15.75">
      <c r="A16" s="128" t="s">
        <v>61</v>
      </c>
      <c r="J16" s="23"/>
    </row>
    <row r="17" spans="1:10" ht="15.75">
      <c r="A17" s="128" t="s">
        <v>62</v>
      </c>
      <c r="J17" s="23"/>
    </row>
    <row r="18" spans="1:10" ht="15.75">
      <c r="A18" s="128" t="s">
        <v>25</v>
      </c>
      <c r="J18" s="23"/>
    </row>
    <row r="19" spans="1:10" ht="15.75">
      <c r="A19" s="128" t="s">
        <v>63</v>
      </c>
      <c r="J19" s="23"/>
    </row>
    <row r="20" spans="1:10" ht="15.75">
      <c r="A20" s="128" t="s">
        <v>98</v>
      </c>
      <c r="J20" s="23"/>
    </row>
    <row r="21" spans="1:10" ht="15.75">
      <c r="A21" s="128" t="s">
        <v>26</v>
      </c>
      <c r="J21" s="23"/>
    </row>
    <row r="22" spans="1:10" ht="15.75">
      <c r="A22" s="128" t="s">
        <v>64</v>
      </c>
      <c r="J22" s="23"/>
    </row>
    <row r="23" spans="1:10" ht="15.75">
      <c r="A23" s="128" t="s">
        <v>99</v>
      </c>
      <c r="J23" s="23"/>
    </row>
    <row r="24" spans="1:10" ht="15.75">
      <c r="A24" s="128" t="s">
        <v>52</v>
      </c>
      <c r="J24" s="23"/>
    </row>
    <row r="25" spans="1:10" ht="15.75">
      <c r="A25" s="128" t="s">
        <v>65</v>
      </c>
      <c r="J25" s="23"/>
    </row>
    <row r="26" spans="1:10" ht="15.75">
      <c r="A26" s="128" t="s">
        <v>66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104</v>
      </c>
      <c r="B2" s="49"/>
      <c r="C2" s="75"/>
    </row>
    <row r="3" spans="1:46" ht="17.25" customHeight="1">
      <c r="A3" s="77" t="s">
        <v>105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31</v>
      </c>
      <c r="C4" s="140"/>
      <c r="D4" s="110" t="s">
        <v>6</v>
      </c>
      <c r="E4" s="143" t="s">
        <v>119</v>
      </c>
      <c r="F4" s="143" t="s">
        <v>120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37</v>
      </c>
      <c r="B5" s="79"/>
      <c r="C5" s="114"/>
      <c r="D5" s="80"/>
      <c r="E5" s="114" t="s">
        <v>102</v>
      </c>
      <c r="F5" s="114" t="s">
        <v>94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54</v>
      </c>
      <c r="C6" s="108"/>
      <c r="E6" s="108"/>
      <c r="F6" s="108" t="s">
        <v>95</v>
      </c>
    </row>
    <row r="7" spans="1:46" ht="20.25">
      <c r="A7" s="46" t="s">
        <v>97</v>
      </c>
      <c r="C7" s="108"/>
      <c r="E7" s="115"/>
      <c r="F7" s="108" t="s">
        <v>95</v>
      </c>
    </row>
    <row r="8" spans="1:46" ht="20.25">
      <c r="A8" s="46" t="s">
        <v>57</v>
      </c>
      <c r="C8" s="108"/>
      <c r="E8" s="108"/>
      <c r="F8" s="108" t="s">
        <v>95</v>
      </c>
    </row>
    <row r="9" spans="1:46" ht="20.25">
      <c r="A9" s="83" t="s">
        <v>58</v>
      </c>
      <c r="C9" s="115"/>
      <c r="E9" s="115"/>
      <c r="F9" s="108" t="s">
        <v>95</v>
      </c>
    </row>
    <row r="10" spans="1:46" ht="20.25">
      <c r="A10" s="46" t="s">
        <v>28</v>
      </c>
      <c r="C10" s="108"/>
      <c r="E10" s="108"/>
      <c r="F10" s="108" t="s">
        <v>95</v>
      </c>
    </row>
    <row r="11" spans="1:46" ht="20.25">
      <c r="A11" s="46" t="s">
        <v>59</v>
      </c>
      <c r="C11" s="108"/>
      <c r="E11" s="115"/>
      <c r="F11" s="108" t="s">
        <v>95</v>
      </c>
    </row>
    <row r="12" spans="1:46" ht="20.25">
      <c r="A12" s="46" t="s">
        <v>22</v>
      </c>
      <c r="C12" s="108"/>
      <c r="E12" s="108"/>
      <c r="F12" s="108" t="s">
        <v>95</v>
      </c>
    </row>
    <row r="13" spans="1:46" ht="20.25">
      <c r="A13" s="46" t="s">
        <v>23</v>
      </c>
      <c r="C13" s="115"/>
      <c r="E13" s="108"/>
      <c r="F13" s="108" t="s">
        <v>95</v>
      </c>
    </row>
    <row r="14" spans="1:46" ht="20.25">
      <c r="A14" s="46" t="s">
        <v>24</v>
      </c>
      <c r="C14" s="108"/>
      <c r="E14" s="108"/>
      <c r="F14" s="108" t="s">
        <v>95</v>
      </c>
    </row>
    <row r="15" spans="1:46" ht="20.25">
      <c r="A15" s="46" t="s">
        <v>60</v>
      </c>
      <c r="C15" s="144"/>
      <c r="E15" s="108"/>
      <c r="F15" s="108" t="s">
        <v>95</v>
      </c>
    </row>
    <row r="16" spans="1:46" ht="20.25">
      <c r="A16" s="46" t="s">
        <v>61</v>
      </c>
      <c r="C16" s="108"/>
      <c r="E16" s="108"/>
      <c r="F16" s="108" t="s">
        <v>95</v>
      </c>
    </row>
    <row r="17" spans="1:131" ht="20.25">
      <c r="A17" s="46" t="s">
        <v>62</v>
      </c>
      <c r="C17" s="144"/>
      <c r="E17" s="108"/>
      <c r="F17" s="108" t="s">
        <v>95</v>
      </c>
    </row>
    <row r="18" spans="1:131" ht="20.25">
      <c r="A18" s="46" t="s">
        <v>25</v>
      </c>
      <c r="C18" s="108"/>
      <c r="E18" s="108"/>
      <c r="F18" s="115" t="s">
        <v>56</v>
      </c>
    </row>
    <row r="19" spans="1:131" ht="20.25">
      <c r="A19" s="46" t="s">
        <v>63</v>
      </c>
      <c r="C19" s="108"/>
      <c r="E19" s="108"/>
      <c r="F19" s="108" t="s">
        <v>95</v>
      </c>
    </row>
    <row r="20" spans="1:131" ht="20.25">
      <c r="A20" s="46" t="s">
        <v>98</v>
      </c>
      <c r="C20" s="108"/>
      <c r="E20" s="115"/>
      <c r="F20" s="108" t="s">
        <v>95</v>
      </c>
    </row>
    <row r="21" spans="1:131" ht="20.25">
      <c r="A21" s="46" t="s">
        <v>26</v>
      </c>
      <c r="C21" s="108"/>
      <c r="E21" s="108"/>
      <c r="F21" s="108" t="s">
        <v>95</v>
      </c>
    </row>
    <row r="22" spans="1:131" ht="20.25">
      <c r="A22" s="46" t="s">
        <v>64</v>
      </c>
      <c r="C22" s="144"/>
      <c r="E22" s="108"/>
      <c r="F22" s="108" t="s">
        <v>95</v>
      </c>
    </row>
    <row r="23" spans="1:131" ht="20.25">
      <c r="A23" s="46" t="s">
        <v>99</v>
      </c>
      <c r="C23" s="108"/>
      <c r="E23" s="115"/>
      <c r="F23" s="108" t="s">
        <v>95</v>
      </c>
    </row>
    <row r="24" spans="1:131" ht="20.25">
      <c r="A24" s="46" t="s">
        <v>52</v>
      </c>
      <c r="C24" s="108"/>
      <c r="E24" s="108"/>
      <c r="F24" s="108" t="s">
        <v>95</v>
      </c>
    </row>
    <row r="25" spans="1:131" ht="20.25">
      <c r="A25" s="46" t="s">
        <v>65</v>
      </c>
      <c r="C25" s="115"/>
      <c r="E25" s="108"/>
      <c r="F25" s="108" t="s">
        <v>95</v>
      </c>
    </row>
    <row r="26" spans="1:131" ht="20.25">
      <c r="A26" s="46" t="s">
        <v>66</v>
      </c>
      <c r="C26" s="144"/>
      <c r="E26" s="108"/>
      <c r="F26" s="108" t="s">
        <v>95</v>
      </c>
    </row>
    <row r="27" spans="1:131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:F27" si="0">COUNTIF(E6:E26,"sim")</f>
        <v>0</v>
      </c>
      <c r="F27" s="104">
        <f t="shared" si="0"/>
        <v>20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:F28" si="1">COUNTIF(E6:E26,"não")</f>
        <v>0</v>
      </c>
      <c r="F28" s="105">
        <f t="shared" si="1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 t="shared" ref="E29:F29" si="2">COUNTIF(E6:E26,"ausente")</f>
        <v>0</v>
      </c>
      <c r="F29" s="40">
        <f t="shared" si="2"/>
        <v>1</v>
      </c>
    </row>
    <row r="30" spans="1:131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:F30" si="3">COUNTIF(E6:E26,"abstenção")</f>
        <v>0</v>
      </c>
      <c r="F30" s="106">
        <f t="shared" si="3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6"/>
      <c r="D31"/>
      <c r="E31" s="106"/>
      <c r="F31" s="10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F8" sqref="F8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42" t="s">
        <v>121</v>
      </c>
      <c r="D4" s="142" t="s">
        <v>122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102</v>
      </c>
      <c r="D5" s="114" t="s">
        <v>103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54</v>
      </c>
      <c r="C6" s="108"/>
      <c r="D6" s="108"/>
      <c r="V6" s="7"/>
      <c r="W6" s="7"/>
    </row>
    <row r="7" spans="1:30" ht="18">
      <c r="A7" s="130" t="s">
        <v>97</v>
      </c>
      <c r="C7" s="115"/>
      <c r="D7" s="115"/>
      <c r="V7" s="7"/>
      <c r="W7" s="7"/>
    </row>
    <row r="8" spans="1:30" ht="18">
      <c r="A8" s="130" t="s">
        <v>57</v>
      </c>
      <c r="C8" s="108"/>
      <c r="D8" s="108"/>
      <c r="V8" s="7"/>
      <c r="W8" s="7"/>
    </row>
    <row r="9" spans="1:30" ht="18">
      <c r="A9" s="131" t="s">
        <v>58</v>
      </c>
      <c r="C9" s="115"/>
      <c r="D9" s="115"/>
      <c r="V9" s="7"/>
      <c r="W9" s="7"/>
    </row>
    <row r="10" spans="1:30" ht="18">
      <c r="A10" s="130" t="s">
        <v>28</v>
      </c>
      <c r="C10" s="108"/>
      <c r="D10" s="108"/>
      <c r="V10" s="7"/>
      <c r="W10" s="7"/>
    </row>
    <row r="11" spans="1:30" ht="18">
      <c r="A11" s="130" t="s">
        <v>59</v>
      </c>
      <c r="C11" s="115"/>
      <c r="D11" s="115"/>
      <c r="V11" s="7"/>
      <c r="W11" s="7"/>
    </row>
    <row r="12" spans="1:30" ht="18">
      <c r="A12" s="130" t="s">
        <v>22</v>
      </c>
      <c r="C12" s="115"/>
      <c r="D12" s="115"/>
      <c r="V12" s="7"/>
      <c r="W12" s="7"/>
    </row>
    <row r="13" spans="1:30" ht="18">
      <c r="A13" s="130" t="s">
        <v>23</v>
      </c>
      <c r="C13" s="108"/>
      <c r="D13" s="108"/>
      <c r="V13" s="7"/>
      <c r="W13" s="7"/>
    </row>
    <row r="14" spans="1:30" ht="18">
      <c r="A14" s="130" t="s">
        <v>24</v>
      </c>
      <c r="C14" s="108"/>
      <c r="D14" s="108"/>
      <c r="V14" s="7"/>
      <c r="W14" s="7"/>
    </row>
    <row r="15" spans="1:30" ht="18">
      <c r="A15" s="130" t="s">
        <v>60</v>
      </c>
      <c r="C15" s="108"/>
      <c r="D15" s="108"/>
      <c r="V15" s="7"/>
      <c r="W15" s="7"/>
    </row>
    <row r="16" spans="1:30" ht="18">
      <c r="A16" s="130" t="s">
        <v>61</v>
      </c>
      <c r="C16" s="108"/>
      <c r="D16" s="108"/>
      <c r="V16" s="7"/>
      <c r="W16" s="7"/>
    </row>
    <row r="17" spans="1:124" ht="15" customHeight="1">
      <c r="A17" s="130" t="s">
        <v>62</v>
      </c>
      <c r="C17" s="108"/>
      <c r="D17" s="108"/>
      <c r="U17" s="8"/>
      <c r="V17" s="7"/>
      <c r="W17" s="7"/>
    </row>
    <row r="18" spans="1:124" ht="18">
      <c r="A18" s="130" t="s">
        <v>25</v>
      </c>
      <c r="C18" s="108"/>
      <c r="D18" s="108"/>
      <c r="V18" s="7"/>
      <c r="W18" s="7"/>
    </row>
    <row r="19" spans="1:124" ht="18">
      <c r="A19" s="130" t="s">
        <v>63</v>
      </c>
      <c r="C19" s="115"/>
      <c r="D19" s="115"/>
      <c r="V19" s="7"/>
      <c r="W19" s="7"/>
    </row>
    <row r="20" spans="1:124" ht="18">
      <c r="A20" s="130" t="s">
        <v>98</v>
      </c>
      <c r="C20" s="115"/>
      <c r="D20" s="115"/>
      <c r="V20" s="7"/>
      <c r="W20" s="7"/>
    </row>
    <row r="21" spans="1:124" ht="18">
      <c r="A21" s="130" t="s">
        <v>26</v>
      </c>
      <c r="C21" s="108"/>
      <c r="D21" s="108"/>
      <c r="V21" s="7"/>
      <c r="W21" s="7"/>
    </row>
    <row r="22" spans="1:124" ht="18">
      <c r="A22" s="130" t="s">
        <v>64</v>
      </c>
      <c r="C22" s="108"/>
      <c r="D22" s="108"/>
      <c r="V22" s="7"/>
      <c r="W22" s="7"/>
    </row>
    <row r="23" spans="1:124" ht="18">
      <c r="A23" s="130" t="s">
        <v>99</v>
      </c>
      <c r="C23" s="108"/>
      <c r="D23" s="108"/>
      <c r="V23" s="7"/>
      <c r="W23" s="7"/>
    </row>
    <row r="24" spans="1:124" ht="18">
      <c r="A24" s="130" t="s">
        <v>52</v>
      </c>
      <c r="C24" s="115"/>
      <c r="D24" s="115"/>
      <c r="V24" s="7"/>
      <c r="W24" s="7"/>
    </row>
    <row r="25" spans="1:124" ht="18">
      <c r="A25" s="130" t="s">
        <v>65</v>
      </c>
      <c r="C25" s="108"/>
      <c r="D25" s="108"/>
      <c r="V25" s="7"/>
      <c r="W25" s="7"/>
    </row>
    <row r="26" spans="1:124" ht="18">
      <c r="A26" s="130" t="s">
        <v>66</v>
      </c>
      <c r="C26" s="108"/>
      <c r="D26" s="108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4">
        <f t="shared" ref="C27:D27" si="1">COUNTIF(C6:C26,"sim")</f>
        <v>0</v>
      </c>
      <c r="D27" s="104">
        <f t="shared" si="1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5">
        <f t="shared" ref="C28:D28" si="7">COUNTIF(C6:C26,"não")</f>
        <v>0</v>
      </c>
      <c r="D28" s="105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0</v>
      </c>
      <c r="D29" s="40">
        <f t="shared" si="13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D30" si="19">COUNTIF(C6:C26,"abstenção")</f>
        <v>0</v>
      </c>
      <c r="D30" s="106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F14" sqref="F1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104</v>
      </c>
      <c r="B2" s="2"/>
    </row>
    <row r="3" spans="1:3" ht="15.75" thickBot="1">
      <c r="A3" s="122" t="s">
        <v>105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54</v>
      </c>
      <c r="C6" s="108"/>
    </row>
    <row r="7" spans="1:3" ht="15.75">
      <c r="A7" s="128" t="s">
        <v>97</v>
      </c>
      <c r="C7" s="108"/>
    </row>
    <row r="8" spans="1:3" ht="15.75">
      <c r="A8" s="128" t="s">
        <v>57</v>
      </c>
      <c r="C8" s="108"/>
    </row>
    <row r="9" spans="1:3" ht="15.75">
      <c r="A9" s="129" t="s">
        <v>58</v>
      </c>
      <c r="C9" s="108"/>
    </row>
    <row r="10" spans="1:3" ht="15.75">
      <c r="A10" s="128" t="s">
        <v>28</v>
      </c>
      <c r="C10" s="108"/>
    </row>
    <row r="11" spans="1:3" ht="15.75">
      <c r="A11" s="128" t="s">
        <v>59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15"/>
    </row>
    <row r="14" spans="1:3" ht="15.75">
      <c r="A14" s="128" t="s">
        <v>24</v>
      </c>
      <c r="C14" s="108"/>
    </row>
    <row r="15" spans="1:3" ht="15.75">
      <c r="A15" s="128" t="s">
        <v>60</v>
      </c>
      <c r="C15" s="108"/>
    </row>
    <row r="16" spans="1:3" ht="15.75">
      <c r="A16" s="128" t="s">
        <v>61</v>
      </c>
      <c r="C16" s="108"/>
    </row>
    <row r="17" spans="1:3" ht="15.75">
      <c r="A17" s="128" t="s">
        <v>62</v>
      </c>
      <c r="C17" s="108"/>
    </row>
    <row r="18" spans="1:3" ht="15.75">
      <c r="A18" s="128" t="s">
        <v>25</v>
      </c>
      <c r="C18" s="108"/>
    </row>
    <row r="19" spans="1:3" ht="15.75">
      <c r="A19" s="128" t="s">
        <v>63</v>
      </c>
      <c r="C19" s="108"/>
    </row>
    <row r="20" spans="1:3" ht="15.75">
      <c r="A20" s="128" t="s">
        <v>98</v>
      </c>
      <c r="C20" s="108"/>
    </row>
    <row r="21" spans="1:3" ht="15.75">
      <c r="A21" s="128" t="s">
        <v>26</v>
      </c>
      <c r="C21" s="108"/>
    </row>
    <row r="22" spans="1:3" ht="15.75">
      <c r="A22" s="128" t="s">
        <v>64</v>
      </c>
      <c r="C22" s="108"/>
    </row>
    <row r="23" spans="1:3" ht="15.75">
      <c r="A23" s="128" t="s">
        <v>99</v>
      </c>
      <c r="C23" s="108"/>
    </row>
    <row r="24" spans="1:3" ht="15.75">
      <c r="A24" s="128" t="s">
        <v>52</v>
      </c>
      <c r="C24" s="108"/>
    </row>
    <row r="25" spans="1:3" ht="15.75">
      <c r="A25" s="128" t="s">
        <v>65</v>
      </c>
      <c r="C25" s="108"/>
    </row>
    <row r="26" spans="1:3" ht="15.75">
      <c r="A26" s="128" t="s">
        <v>66</v>
      </c>
      <c r="C26" s="115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104</v>
      </c>
      <c r="B2" s="2"/>
      <c r="C2" s="54"/>
      <c r="D2" s="54"/>
      <c r="E2" s="54"/>
    </row>
    <row r="3" spans="1:9" ht="15.75" thickBot="1">
      <c r="A3" s="122" t="s">
        <v>105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97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99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104</v>
      </c>
      <c r="B2" s="2"/>
    </row>
    <row r="3" spans="1:25">
      <c r="A3" s="77" t="s">
        <v>105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97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98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99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2025-08-15T19:39:34Z</dcterms:modified>
</cp:coreProperties>
</file>