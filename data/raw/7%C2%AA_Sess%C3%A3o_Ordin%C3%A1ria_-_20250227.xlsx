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058E2F7-5971-47F2-B67B-F88EAC22E0C9}" xr6:coauthVersionLast="47" xr6:coauthVersionMax="47" xr10:uidLastSave="{00000000-0000-0000-0000-000000000000}"/>
  <bookViews>
    <workbookView xWindow="-120" yWindow="-120" windowWidth="29040" windowHeight="15720" tabRatio="849" activeTab="2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3"/>
  <c r="C28" i="3"/>
  <c r="C29" i="3"/>
  <c r="C30" i="3"/>
  <c r="E27" i="2"/>
  <c r="E28" i="2"/>
  <c r="E29" i="2"/>
  <c r="E30" i="2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<sst xmlns="http://schemas.openxmlformats.org/spreadsheetml/2006/main" count="454" uniqueCount="122">
  <si>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</si>
  <si>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</si>
  <si>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</si>
  <si>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</si>
  <si>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</si>
  <si>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</si>
  <si>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</si>
  <si>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</si>
  <si>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</si>
  <si>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</si>
  <si>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</si>
  <si>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</si>
  <si>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</si>
  <si>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</si>
  <si>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</si>
  <si>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</si>
  <si>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</si>
  <si>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</si>
  <si>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</si>
  <si>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</si>
  <si>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</si>
  <si>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</si>
  <si>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</si>
  <si>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</si>
  <si>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</si>
  <si>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</si>
  <si>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</si>
  <si>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</si>
  <si>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</si>
  <si>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</si>
  <si>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</si>
  <si>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</si>
  <si>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</si>
  <si>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</si>
  <si>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</si>
  <si>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</si>
  <si>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</si>
  <si>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</si>
  <si>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</si>
  <si>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</si>
  <si>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</si>
  <si>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</si>
  <si>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</si>
  <si>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</si>
  <si>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</si>
  <si>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</si>
  <si>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</si>
  <si>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</si>
  <si>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</si>
  <si>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</si>
  <si>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</si>
  <si>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</si>
  <si>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</si>
  <si>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</si>
  <si>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</si>
  <si>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</si>
  <si>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</si>
  <si>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</si>
  <si>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</si>
  <si>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</si>
  <si>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</si>
  <si>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</si>
  <si>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</si>
  <si>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</si>
  <si>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</si>
  <si>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</si>
  <si>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</si>
  <si>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</si>
  <si>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</si>
  <si>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</si>
  <si>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</si>
  <si>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</si>
  <si>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</si>
  <si>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</si>
  <si>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</si>
  <si>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</si>
  <si>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</si>
  <si>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</si>
  <si>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</si>
  <si>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</si>
  <si>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</si>
  <si>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</si>
  <si>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</si>
  <si>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</si>
  <si>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</si>
  <si>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</si>
  <si>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</si>
  <si>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</si>
  <si>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</si>
  <si>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</si>
  <si>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</si>
  <si>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</si>
  <si>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</si>
  <si>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</si>
  <si>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</si>
  <si>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</si>
  <si>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</si>
  <si>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</si>
  <si>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</si>
  <si>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r>
      <t xml:space="preserve">MOÇÃO DE APLAUSO Nº 43/2025 – ELSA OLIVEIRA – </t>
    </r>
    <r>
      <rPr>
        <sz val="11"/>
        <color theme="1"/>
        <rFont val="Arial"/>
        <family val="2"/>
      </rPr>
      <t>Para o Instituto Casa Neri, uma organização sem fins lucrativos sediada em Osasco, que tem se destacado pelo compromisso exemplar com a saúde e o bem-estar da comunidade.</t>
    </r>
  </si>
  <si>
    <t>na presidência</t>
  </si>
  <si>
    <t>pela ausência da autora, será pautada na próxima sessão</t>
  </si>
  <si>
    <r>
      <t xml:space="preserve">MOÇÃO DE APELO Nº 48/2025 – PEDRO CANTAGESSI – </t>
    </r>
    <r>
      <rPr>
        <sz val="11"/>
        <color theme="1"/>
        <rFont val="Arial"/>
        <family val="2"/>
      </rPr>
      <t>Ao Prefeito Gerson Pessoa e a Secretaria da Saúde, para que sejam feitas Reforma e Melhorias na UBS Darcy Alves Evangelista Robalinho e no PS Vila Ayrosa.</t>
    </r>
  </si>
  <si>
    <t>7ª SESSÃO ORDINÁRIA</t>
  </si>
  <si>
    <t>DIA 27 DE FEVEREIRO DE 2025 - QUINTA-FEIRA</t>
  </si>
  <si>
    <t xml:space="preserve">Justificativa de ausência do Vereador Paulo Junior </t>
  </si>
  <si>
    <t>Justificativa de ausência do Vereador Alexandre Capriotti</t>
  </si>
  <si>
    <t>Justificativa de ausência da Vereadora Stephane Rossi</t>
  </si>
  <si>
    <t>Justificativa de ausência da Vereadora Lúcia da Saúde</t>
  </si>
  <si>
    <t>DIA 27 DE FEVEREIRO DE 2025 - QUINTA–FEIRA</t>
  </si>
  <si>
    <r>
      <t xml:space="preserve">Decretos 14.557, 14.559, 14.560 de fevereiro de 2025 – Prefeito do Município de Osasco – </t>
    </r>
    <r>
      <rPr>
        <sz val="12"/>
        <color rgb="FF000000"/>
        <rFont val="Calibri"/>
        <family val="2"/>
      </rPr>
      <t>Dispõe sobre a abertura de crédito adicional suplementar ao orçamento vigente e dá outras providências.</t>
    </r>
  </si>
  <si>
    <r>
      <t xml:space="preserve">Projeto de Lei nº 15/2025 – Heber do JuntOz – </t>
    </r>
    <r>
      <rPr>
        <sz val="12"/>
        <color rgb="FF000000"/>
        <rFont val="Calibri"/>
        <family val="2"/>
      </rPr>
      <t xml:space="preserve">Permite a criação de pomares urbanos para a execução da política de plantio, manejo, preservação e expansão da arborização frutífera nativa em espaços públicos do município. </t>
    </r>
  </si>
  <si>
    <r>
      <t xml:space="preserve">Projeto de Lei nº 23/2025 – Heber do JuntOz – </t>
    </r>
    <r>
      <rPr>
        <sz val="12"/>
        <color rgb="FF000000"/>
        <rFont val="Calibri"/>
        <family val="2"/>
      </rPr>
      <t>Dispõe da criação, no município de Osasco, de cursos extensivos preparatórios para o ingresso no ensino superior e escolas técnicas.</t>
    </r>
  </si>
  <si>
    <r>
      <t xml:space="preserve">MOÇÃO DE APLAUSO Nº 2/2025, do Sr. JOSIAS DA JUCO -  </t>
    </r>
    <r>
      <rPr>
        <sz val="11"/>
        <color theme="1"/>
        <rFont val="Arial"/>
        <family val="2"/>
      </rPr>
      <t>aos Policiais Militares da Viatura M-14407, Soldado PM Noberto Nunes da Silva Junior e Soldado PM Wictoria Thomaz Alexandre, pelo resgate da vítima de acidente de trânsito que caiu em córrego na Av. Onix que corta o bairro Vila Ayrosa e Jd. Rochdalle.</t>
    </r>
  </si>
  <si>
    <r>
      <t>MOÇÃO DE APLAUSO Nº 52/2025 – ALEXANDRE CAPRIOTTI –</t>
    </r>
    <r>
      <rPr>
        <sz val="11"/>
        <color theme="1"/>
        <rFont val="Arial"/>
        <family val="2"/>
      </rPr>
      <t xml:space="preserve"> Para o Supremo Tribunal Federal, pela decisão de autorizar Guardas Municipais de todo o país a atuar como polícia.</t>
    </r>
  </si>
  <si>
    <r>
      <t>MOÇÃO DE CONGRATULAÇÕES Nº 53/2025 – SÉRGIO FONTELLAS –</t>
    </r>
    <r>
      <rPr>
        <sz val="11"/>
        <color theme="1"/>
        <rFont val="Arial"/>
        <family val="2"/>
      </rPr>
      <t xml:space="preserve"> Para Fundação Republicana Brasileira (FRB), pelos 18 anos de existência, e pela posse da sua nova presidente a Sra. Renata Sene, ex-prefeita da cidade de Francisco Morato.</t>
    </r>
  </si>
  <si>
    <r>
      <t xml:space="preserve">MOÇÃO DE APLAUSO Nº 55/2025 – STEPHANE ROSSI – </t>
    </r>
    <r>
      <rPr>
        <sz val="11"/>
        <color theme="1"/>
        <rFont val="Arial"/>
        <family val="2"/>
      </rPr>
      <t>Para os quatro bombeiros, os soldados Cirino, Santana, Rafael e Xavier, que se arriscaram para salvar a vida do menino Matheus Araújo, de 12 anos, que estava se afogando em uma praia do Guarujá.</t>
    </r>
  </si>
  <si>
    <r>
      <t xml:space="preserve">MOÇÃO DE APLAUSO Nº 56/2025 – BATISTA COMUNIDADE – </t>
    </r>
    <r>
      <rPr>
        <sz val="11"/>
        <color theme="1"/>
        <rFont val="Arial"/>
        <family val="2"/>
      </rPr>
      <t>A Bruno Tavares Santana, morador e liderança do Bairro Munhoz Junior.</t>
    </r>
  </si>
  <si>
    <r>
      <t xml:space="preserve">MOÇÃO DE APELO Nº 58/2025 – CANTOR GOLEIRO – </t>
    </r>
    <r>
      <rPr>
        <sz val="11"/>
        <color theme="1"/>
        <rFont val="Arial"/>
        <family val="2"/>
      </rPr>
      <t>Ao Prefeito Gerson Pessoa para que sejam realizadas obras de combate às enchentes na Avenida Bandeirantes.</t>
    </r>
  </si>
  <si>
    <r>
      <t xml:space="preserve">VETO TOTAL AO PROJETO DE LEI Nº 30/2022 – PAULO JÚNIOR – </t>
    </r>
    <r>
      <rPr>
        <sz val="12"/>
        <color theme="1"/>
        <rFont val="Arial"/>
        <family val="2"/>
      </rPr>
      <t xml:space="preserve">Estabelece procedimentos para os serviços de entrega de compras ao consumidor final. </t>
    </r>
  </si>
  <si>
    <t>VETO ACEITO</t>
  </si>
  <si>
    <r>
      <t xml:space="preserve">PROJETO DE RESOLUÇÃO Nº 2/2025 – MESA DIRETORA DA CÂMARA MUNICIPAL DE OSASCO – </t>
    </r>
    <r>
      <rPr>
        <sz val="14"/>
        <color theme="1"/>
        <rFont val="Arial"/>
        <family val="2"/>
      </rPr>
      <t>Dispõe sobre a reestruturação de cargos de servidores efetivos, cria diretorias, reorganiza a estrutura da Escola do Parlamento,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</si>
</sst>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Q28" sqref="Q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1" t="s">
        <v>30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71"/>
      <c r="O1" s="71"/>
      <c r="P1" s="71"/>
      <c r="Q1" s="40">
        <v>1</v>
      </c>
      <c r="R1" s="36" t="s">
        <v>10</v>
      </c>
      <c r="T1" s="145"/>
      <c r="U1" s="145"/>
      <c r="V1" s="145"/>
      <c r="W1" s="145"/>
      <c r="X1" s="145"/>
      <c r="Y1" s="145"/>
      <c r="Z1" s="7" t="s">
        <v>16</v>
      </c>
    </row>
    <row r="2" spans="1:28" ht="19.5" customHeight="1">
      <c r="A2" s="84" t="s">
        <v>103</v>
      </c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71"/>
      <c r="O2" s="71"/>
      <c r="P2" s="71"/>
      <c r="Q2" s="35">
        <v>2</v>
      </c>
      <c r="R2" s="36" t="s">
        <v>11</v>
      </c>
      <c r="T2" s="145"/>
      <c r="U2" s="145"/>
      <c r="V2" s="145"/>
      <c r="W2" s="145"/>
      <c r="X2" s="145"/>
      <c r="Y2" s="145"/>
      <c r="Z2" s="7" t="s">
        <v>17</v>
      </c>
    </row>
    <row r="3" spans="1:28" ht="19.5" customHeight="1" thickBot="1">
      <c r="A3" s="84" t="s">
        <v>104</v>
      </c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71"/>
      <c r="O3" s="71"/>
      <c r="P3" s="71"/>
      <c r="Q3" s="41">
        <v>3</v>
      </c>
      <c r="R3" s="37" t="s">
        <v>12</v>
      </c>
      <c r="T3" s="145"/>
      <c r="U3" s="145"/>
      <c r="V3" s="145"/>
      <c r="W3" s="145"/>
      <c r="X3" s="145"/>
      <c r="Y3" s="145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5"/>
      <c r="U4" s="145"/>
      <c r="V4" s="145"/>
      <c r="W4" s="145"/>
      <c r="X4" s="145"/>
      <c r="Y4" s="145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2</v>
      </c>
      <c r="G5" s="103" t="s">
        <v>59</v>
      </c>
      <c r="H5" s="63"/>
      <c r="I5" s="62"/>
      <c r="J5" s="63">
        <v>2</v>
      </c>
      <c r="K5" s="103" t="s">
        <v>59</v>
      </c>
      <c r="L5" s="126"/>
      <c r="M5" s="127"/>
      <c r="N5" s="63"/>
      <c r="O5" s="62"/>
      <c r="P5" s="63"/>
      <c r="Q5" s="63">
        <v>2</v>
      </c>
      <c r="R5" s="103" t="s">
        <v>59</v>
      </c>
      <c r="S5" s="116"/>
      <c r="T5" s="145"/>
      <c r="U5" s="145"/>
      <c r="V5" s="145"/>
      <c r="W5" s="145"/>
      <c r="X5" s="145"/>
      <c r="Y5" s="145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>
        <v>2</v>
      </c>
      <c r="R6" s="103" t="s">
        <v>59</v>
      </c>
      <c r="S6" s="90"/>
      <c r="T6" s="145"/>
      <c r="U6" s="145"/>
      <c r="V6" s="145"/>
      <c r="W6" s="145"/>
      <c r="X6" s="145"/>
      <c r="Y6" s="145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>
        <v>2</v>
      </c>
      <c r="R7" s="103" t="s">
        <v>59</v>
      </c>
      <c r="S7" s="90"/>
      <c r="T7" s="145"/>
      <c r="U7" s="145"/>
      <c r="V7" s="145"/>
      <c r="W7" s="145"/>
      <c r="X7" s="145"/>
      <c r="Y7" s="145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>
        <v>1</v>
      </c>
      <c r="R8" s="62" t="s">
        <v>58</v>
      </c>
      <c r="S8" s="90"/>
      <c r="T8" s="145"/>
      <c r="U8" s="145"/>
      <c r="V8" s="145"/>
      <c r="W8" s="145"/>
      <c r="X8" s="145"/>
      <c r="Y8" s="145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>
        <v>2</v>
      </c>
      <c r="R9" s="103" t="s">
        <v>59</v>
      </c>
      <c r="S9" s="90"/>
      <c r="T9" s="145"/>
      <c r="U9" s="145"/>
      <c r="V9" s="145"/>
      <c r="W9" s="145"/>
      <c r="X9" s="145"/>
      <c r="Y9" s="145"/>
    </row>
    <row r="10" spans="1:28" ht="18" customHeight="1">
      <c r="A10" s="46" t="s">
        <v>62</v>
      </c>
      <c r="B10" s="89">
        <v>1</v>
      </c>
      <c r="C10" s="62" t="s">
        <v>58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>
        <v>1</v>
      </c>
      <c r="R10" s="62" t="s">
        <v>58</v>
      </c>
      <c r="S10" s="90"/>
      <c r="T10" s="145"/>
      <c r="U10" s="145"/>
      <c r="V10" s="145"/>
      <c r="W10" s="145"/>
      <c r="X10" s="145"/>
      <c r="Y10" s="145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>
        <v>1</v>
      </c>
      <c r="R11" s="62" t="s">
        <v>58</v>
      </c>
      <c r="S11" s="91"/>
      <c r="T11" s="145"/>
      <c r="U11" s="145"/>
      <c r="V11" s="145"/>
      <c r="W11" s="145"/>
      <c r="X11" s="145"/>
      <c r="Y11" s="145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1</v>
      </c>
      <c r="K12" s="62" t="s">
        <v>58</v>
      </c>
      <c r="L12" s="67"/>
      <c r="M12" s="65"/>
      <c r="N12" s="63"/>
      <c r="O12" s="103"/>
      <c r="P12" s="63"/>
      <c r="Q12" s="63">
        <v>2</v>
      </c>
      <c r="R12" s="103" t="s">
        <v>59</v>
      </c>
      <c r="S12" s="92"/>
      <c r="T12" s="145"/>
      <c r="U12" s="145"/>
      <c r="V12" s="145"/>
      <c r="W12" s="145"/>
      <c r="X12" s="145"/>
      <c r="Y12" s="145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>
        <v>2</v>
      </c>
      <c r="R13" s="103" t="s">
        <v>59</v>
      </c>
      <c r="S13" s="92"/>
      <c r="T13" s="145"/>
      <c r="U13" s="145"/>
      <c r="V13" s="145"/>
      <c r="W13" s="145"/>
      <c r="X13" s="145"/>
      <c r="Y13" s="145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>
        <v>2</v>
      </c>
      <c r="R14" s="103" t="s">
        <v>59</v>
      </c>
      <c r="S14" s="92"/>
      <c r="T14" s="145"/>
      <c r="U14" s="145"/>
      <c r="V14" s="145"/>
      <c r="W14" s="145"/>
      <c r="X14" s="145"/>
      <c r="Y14" s="145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>
        <v>2</v>
      </c>
      <c r="R15" s="103" t="s">
        <v>59</v>
      </c>
      <c r="S15" s="92"/>
      <c r="T15" s="145"/>
      <c r="U15" s="145"/>
      <c r="V15" s="145"/>
      <c r="W15" s="145"/>
      <c r="X15" s="145"/>
      <c r="Y15" s="145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>
        <v>2</v>
      </c>
      <c r="R16" s="103" t="s">
        <v>59</v>
      </c>
      <c r="S16" s="92"/>
      <c r="T16" s="145"/>
      <c r="U16" s="145"/>
      <c r="V16" s="145"/>
      <c r="W16" s="145"/>
      <c r="X16" s="145"/>
      <c r="Y16" s="145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>
        <v>2</v>
      </c>
      <c r="R17" s="103" t="s">
        <v>59</v>
      </c>
      <c r="S17" s="92"/>
      <c r="T17" s="145"/>
      <c r="U17" s="145"/>
      <c r="V17" s="145"/>
      <c r="W17" s="145"/>
      <c r="X17" s="145"/>
      <c r="Y17" s="145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>
        <v>2</v>
      </c>
      <c r="R18" s="103" t="s">
        <v>59</v>
      </c>
      <c r="S18" s="92"/>
      <c r="T18" s="145"/>
      <c r="U18" s="145"/>
      <c r="V18" s="145"/>
      <c r="W18" s="145"/>
      <c r="X18" s="145"/>
      <c r="Y18" s="145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>
        <v>2</v>
      </c>
      <c r="R19" s="103" t="s">
        <v>59</v>
      </c>
      <c r="S19" s="92"/>
      <c r="T19" s="145"/>
      <c r="U19" s="145"/>
      <c r="V19" s="145"/>
      <c r="W19" s="145"/>
      <c r="X19" s="145"/>
      <c r="Y19" s="145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>
        <v>2</v>
      </c>
      <c r="R20" s="103" t="s">
        <v>59</v>
      </c>
      <c r="S20" s="92"/>
      <c r="T20" s="145"/>
      <c r="U20" s="145"/>
      <c r="V20" s="145"/>
      <c r="W20" s="145"/>
      <c r="X20" s="145"/>
      <c r="Y20" s="145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>
        <v>1</v>
      </c>
      <c r="R21" s="62" t="s">
        <v>58</v>
      </c>
      <c r="S21" s="92"/>
      <c r="T21" s="145"/>
      <c r="U21" s="145"/>
      <c r="V21" s="145"/>
      <c r="W21" s="145"/>
      <c r="X21" s="145"/>
      <c r="Y21" s="145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>
        <v>2</v>
      </c>
      <c r="R22" s="103" t="s">
        <v>59</v>
      </c>
      <c r="S22" s="92"/>
      <c r="T22" s="145"/>
      <c r="U22" s="145"/>
      <c r="V22" s="145"/>
      <c r="W22" s="145"/>
      <c r="X22" s="145"/>
      <c r="Y22" s="145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>
        <v>1</v>
      </c>
      <c r="R23" s="62" t="s">
        <v>58</v>
      </c>
      <c r="S23" s="92"/>
      <c r="T23" s="145"/>
      <c r="U23" s="145"/>
      <c r="V23" s="145"/>
      <c r="W23" s="145"/>
      <c r="X23" s="145"/>
      <c r="Y23" s="145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>
        <v>2</v>
      </c>
      <c r="R24" s="103" t="s">
        <v>59</v>
      </c>
      <c r="S24" s="92"/>
      <c r="T24" s="145"/>
      <c r="U24" s="145"/>
      <c r="V24" s="145"/>
      <c r="W24" s="145"/>
      <c r="X24" s="145"/>
      <c r="Y24" s="145"/>
    </row>
    <row r="25" spans="1:25" ht="18" customHeight="1" thickBot="1">
      <c r="A25" s="46" t="s">
        <v>69</v>
      </c>
      <c r="B25" s="89">
        <v>2</v>
      </c>
      <c r="C25" s="103" t="s">
        <v>59</v>
      </c>
      <c r="D25" s="63"/>
      <c r="E25" s="62"/>
      <c r="F25" s="89">
        <v>2</v>
      </c>
      <c r="G25" s="103" t="s">
        <v>59</v>
      </c>
      <c r="H25" s="63"/>
      <c r="I25" s="68"/>
      <c r="J25" s="63">
        <v>2</v>
      </c>
      <c r="K25" s="103" t="s">
        <v>59</v>
      </c>
      <c r="L25" s="67"/>
      <c r="M25" s="65"/>
      <c r="N25" s="63"/>
      <c r="O25" s="62"/>
      <c r="P25" s="63"/>
      <c r="Q25" s="66">
        <v>2</v>
      </c>
      <c r="R25" s="103" t="s">
        <v>59</v>
      </c>
      <c r="S25" s="92"/>
      <c r="T25" s="145"/>
      <c r="U25" s="145"/>
      <c r="V25" s="145"/>
      <c r="W25" s="145"/>
      <c r="X25" s="145"/>
      <c r="Y25" s="145"/>
    </row>
    <row r="26" spans="1:25" ht="16.5" thickBot="1">
      <c r="A26" s="38" t="s">
        <v>13</v>
      </c>
      <c r="B26" s="99">
        <v>12</v>
      </c>
      <c r="C26" s="97" t="s">
        <v>51</v>
      </c>
      <c r="D26" s="99"/>
      <c r="E26" s="97"/>
      <c r="F26" s="99">
        <v>13</v>
      </c>
      <c r="G26" s="97" t="s">
        <v>51</v>
      </c>
      <c r="H26" s="101"/>
      <c r="I26" s="102"/>
      <c r="J26" s="99">
        <v>15</v>
      </c>
      <c r="K26" s="96" t="s">
        <v>51</v>
      </c>
      <c r="L26" s="86"/>
      <c r="M26" s="95"/>
      <c r="N26" s="99"/>
      <c r="O26" s="97" t="s">
        <v>51</v>
      </c>
      <c r="P26" s="99"/>
      <c r="Q26" s="99">
        <v>5</v>
      </c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9</v>
      </c>
      <c r="C27" s="97" t="s">
        <v>52</v>
      </c>
      <c r="D27" s="99"/>
      <c r="E27" s="97"/>
      <c r="F27" s="99">
        <v>8</v>
      </c>
      <c r="G27" s="97" t="s">
        <v>52</v>
      </c>
      <c r="H27" s="101"/>
      <c r="I27" s="97"/>
      <c r="J27" s="99">
        <v>6</v>
      </c>
      <c r="K27" s="96" t="s">
        <v>52</v>
      </c>
      <c r="L27" s="86"/>
      <c r="M27" s="95"/>
      <c r="N27" s="99"/>
      <c r="O27" s="97" t="s">
        <v>52</v>
      </c>
      <c r="P27" s="99"/>
      <c r="Q27" s="99">
        <v>16</v>
      </c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29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53</v>
      </c>
      <c r="V41" s="12"/>
      <c r="W41" s="12"/>
    </row>
    <row r="42" spans="1:23" ht="18">
      <c r="A42" s="34" t="s">
        <v>23</v>
      </c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T39"/>
  <sheetViews>
    <sheetView workbookViewId="0">
      <pane xSplit="1" topLeftCell="B1" activePane="topRight" state="frozen"/>
      <selection pane="topRight" activeCell="AA8" sqref="AA8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0" width="22.7109375" style="22" customWidth="1"/>
    <col min="21" max="16384" width="9.140625" style="22"/>
  </cols>
  <sheetData>
    <row r="1" spans="1:20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0" ht="15">
      <c r="A2" s="77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0" ht="17.25" customHeight="1">
      <c r="A3" s="77" t="s">
        <v>109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0" ht="63" customHeight="1">
      <c r="A4" s="51" t="str">
        <f>'[1]MOÇÃO E REQUERIMENTO'!B7</f>
        <v>EXPEDIENTE</v>
      </c>
      <c r="B4" s="50" t="s">
        <v>50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8" t="s">
        <v>110</v>
      </c>
      <c r="H4" s="118" t="s">
        <v>111</v>
      </c>
      <c r="I4" s="118" t="s">
        <v>112</v>
      </c>
      <c r="J4" s="113" t="s">
        <v>35</v>
      </c>
      <c r="K4" s="125"/>
      <c r="L4" s="50" t="s">
        <v>28</v>
      </c>
      <c r="M4" s="85" t="s">
        <v>113</v>
      </c>
      <c r="N4" s="85" t="s">
        <v>99</v>
      </c>
      <c r="O4" s="85" t="s">
        <v>102</v>
      </c>
      <c r="P4" s="85" t="s">
        <v>114</v>
      </c>
      <c r="Q4" s="69" t="s">
        <v>115</v>
      </c>
      <c r="R4" s="69" t="s">
        <v>116</v>
      </c>
      <c r="S4" s="69" t="s">
        <v>117</v>
      </c>
      <c r="T4" s="69" t="s">
        <v>118</v>
      </c>
    </row>
    <row r="5" spans="1:20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55"/>
      <c r="K5" s="114"/>
      <c r="M5" s="114" t="s">
        <v>95</v>
      </c>
      <c r="N5" s="114" t="s">
        <v>95</v>
      </c>
      <c r="O5" s="114" t="s">
        <v>95</v>
      </c>
      <c r="P5" s="119" t="s">
        <v>94</v>
      </c>
      <c r="Q5" s="119" t="s">
        <v>94</v>
      </c>
      <c r="R5" s="119" t="s">
        <v>101</v>
      </c>
      <c r="S5" s="114" t="s">
        <v>95</v>
      </c>
      <c r="T5" s="114" t="s">
        <v>95</v>
      </c>
    </row>
    <row r="6" spans="1:20" ht="15.75">
      <c r="A6" s="128" t="s">
        <v>57</v>
      </c>
      <c r="L6" s="23"/>
    </row>
    <row r="7" spans="1:20" ht="15.75">
      <c r="A7" s="128" t="s">
        <v>53</v>
      </c>
      <c r="L7" s="23"/>
    </row>
    <row r="8" spans="1:20" ht="15.75">
      <c r="A8" s="128" t="s">
        <v>60</v>
      </c>
      <c r="L8" s="23"/>
    </row>
    <row r="9" spans="1:20" ht="15.75">
      <c r="A9" s="129" t="s">
        <v>61</v>
      </c>
      <c r="L9" s="23"/>
    </row>
    <row r="10" spans="1:20" ht="15.75">
      <c r="A10" s="128" t="s">
        <v>29</v>
      </c>
      <c r="L10" s="23"/>
    </row>
    <row r="11" spans="1:20" ht="15.75">
      <c r="A11" s="128" t="s">
        <v>62</v>
      </c>
      <c r="L11" s="23"/>
    </row>
    <row r="12" spans="1:20" ht="15.75">
      <c r="A12" s="128" t="s">
        <v>22</v>
      </c>
      <c r="L12" s="23"/>
    </row>
    <row r="13" spans="1:20" ht="15.75">
      <c r="A13" s="128" t="s">
        <v>23</v>
      </c>
      <c r="L13" s="23"/>
    </row>
    <row r="14" spans="1:20" ht="15.75">
      <c r="A14" s="128" t="s">
        <v>24</v>
      </c>
      <c r="L14" s="23"/>
    </row>
    <row r="15" spans="1:20" ht="15.75">
      <c r="A15" s="128" t="s">
        <v>63</v>
      </c>
      <c r="L15" s="23"/>
    </row>
    <row r="16" spans="1:20" ht="15.75">
      <c r="A16" s="128" t="s">
        <v>64</v>
      </c>
      <c r="L16" s="23"/>
    </row>
    <row r="17" spans="1:12" ht="15.75">
      <c r="A17" s="128" t="s">
        <v>65</v>
      </c>
      <c r="L17" s="23"/>
    </row>
    <row r="18" spans="1:12" ht="15.75">
      <c r="A18" s="128" t="s">
        <v>25</v>
      </c>
      <c r="L18" s="23"/>
    </row>
    <row r="19" spans="1:12" ht="15.75">
      <c r="A19" s="128" t="s">
        <v>66</v>
      </c>
      <c r="L19" s="23"/>
    </row>
    <row r="20" spans="1:12" ht="15.75">
      <c r="A20" s="128" t="s">
        <v>38</v>
      </c>
      <c r="L20" s="23"/>
    </row>
    <row r="21" spans="1:12" ht="15.75">
      <c r="A21" s="128" t="s">
        <v>26</v>
      </c>
      <c r="L21" s="23"/>
    </row>
    <row r="22" spans="1:12" ht="15.75">
      <c r="A22" s="128" t="s">
        <v>67</v>
      </c>
      <c r="L22" s="23"/>
    </row>
    <row r="23" spans="1:12" ht="15.75">
      <c r="A23" s="128" t="s">
        <v>27</v>
      </c>
      <c r="L23" s="23"/>
    </row>
    <row r="24" spans="1:12" ht="15.75">
      <c r="A24" s="128" t="s">
        <v>55</v>
      </c>
      <c r="L24" s="23"/>
    </row>
    <row r="25" spans="1:12" ht="15.75">
      <c r="A25" s="128" t="s">
        <v>68</v>
      </c>
      <c r="L25" s="23"/>
    </row>
    <row r="26" spans="1:12" ht="15.75">
      <c r="A26" s="128" t="s">
        <v>69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tabSelected="1" zoomScale="80" zoomScaleNormal="80" workbookViewId="0">
      <pane xSplit="1" topLeftCell="B1" activePane="topRight" state="frozen"/>
      <selection activeCell="A4" sqref="A4"/>
      <selection pane="topRight" activeCell="E26" activeCellId="5" sqref="E6 E18 E20 E21 E23 E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103</v>
      </c>
      <c r="B2" s="49"/>
      <c r="C2" s="75"/>
    </row>
    <row r="3" spans="1:45" ht="17.25" customHeight="1">
      <c r="A3" s="77" t="s">
        <v>109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6" t="s">
        <v>119</v>
      </c>
      <c r="D4" s="110" t="s">
        <v>6</v>
      </c>
      <c r="E4" s="140" t="s">
        <v>121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 t="s">
        <v>120</v>
      </c>
      <c r="D5" s="80"/>
      <c r="E5" s="114" t="s">
        <v>96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 t="s">
        <v>59</v>
      </c>
      <c r="E6" s="115" t="s">
        <v>59</v>
      </c>
    </row>
    <row r="7" spans="1:45" ht="20.25">
      <c r="A7" s="46" t="s">
        <v>53</v>
      </c>
      <c r="C7" s="108" t="s">
        <v>97</v>
      </c>
      <c r="E7" s="108" t="s">
        <v>97</v>
      </c>
    </row>
    <row r="8" spans="1:45" ht="20.25">
      <c r="A8" s="46" t="s">
        <v>60</v>
      </c>
      <c r="C8" s="108" t="s">
        <v>97</v>
      </c>
      <c r="E8" s="108" t="s">
        <v>97</v>
      </c>
    </row>
    <row r="9" spans="1:45" ht="20.25">
      <c r="A9" s="83" t="s">
        <v>61</v>
      </c>
      <c r="C9" s="115" t="s">
        <v>100</v>
      </c>
      <c r="E9" s="115" t="s">
        <v>100</v>
      </c>
    </row>
    <row r="10" spans="1:45" ht="20.25">
      <c r="A10" s="46" t="s">
        <v>29</v>
      </c>
      <c r="C10" s="108" t="s">
        <v>97</v>
      </c>
      <c r="E10" s="108" t="s">
        <v>97</v>
      </c>
    </row>
    <row r="11" spans="1:45" ht="20.25">
      <c r="A11" s="46" t="s">
        <v>62</v>
      </c>
      <c r="C11" s="108" t="s">
        <v>97</v>
      </c>
      <c r="E11" s="108" t="s">
        <v>97</v>
      </c>
    </row>
    <row r="12" spans="1:45" ht="20.25">
      <c r="A12" s="46" t="s">
        <v>22</v>
      </c>
      <c r="C12" s="108" t="s">
        <v>97</v>
      </c>
      <c r="E12" s="108" t="s">
        <v>97</v>
      </c>
    </row>
    <row r="13" spans="1:45" ht="20.25">
      <c r="A13" s="46" t="s">
        <v>23</v>
      </c>
      <c r="C13" s="108" t="s">
        <v>97</v>
      </c>
      <c r="E13" s="108" t="s">
        <v>97</v>
      </c>
    </row>
    <row r="14" spans="1:45" ht="20.25">
      <c r="A14" s="46" t="s">
        <v>24</v>
      </c>
      <c r="C14" s="108" t="s">
        <v>97</v>
      </c>
      <c r="E14" s="108" t="s">
        <v>97</v>
      </c>
    </row>
    <row r="15" spans="1:45" ht="20.25">
      <c r="A15" s="46" t="s">
        <v>63</v>
      </c>
      <c r="C15" s="108" t="s">
        <v>97</v>
      </c>
      <c r="E15" s="108" t="s">
        <v>97</v>
      </c>
    </row>
    <row r="16" spans="1:45" ht="20.25">
      <c r="A16" s="46" t="s">
        <v>64</v>
      </c>
      <c r="C16" s="108" t="s">
        <v>97</v>
      </c>
      <c r="E16" s="108" t="s">
        <v>97</v>
      </c>
    </row>
    <row r="17" spans="1:130" ht="20.25">
      <c r="A17" s="46" t="s">
        <v>65</v>
      </c>
      <c r="C17" s="108" t="s">
        <v>97</v>
      </c>
      <c r="E17" s="108" t="s">
        <v>97</v>
      </c>
    </row>
    <row r="18" spans="1:130" ht="20.25">
      <c r="A18" s="46" t="s">
        <v>25</v>
      </c>
      <c r="C18" s="115" t="s">
        <v>59</v>
      </c>
      <c r="E18" s="115" t="s">
        <v>59</v>
      </c>
    </row>
    <row r="19" spans="1:130" ht="20.25">
      <c r="A19" s="46" t="s">
        <v>66</v>
      </c>
      <c r="C19" s="108" t="s">
        <v>97</v>
      </c>
      <c r="E19" s="108" t="s">
        <v>97</v>
      </c>
    </row>
    <row r="20" spans="1:130" ht="20.25">
      <c r="A20" s="46" t="s">
        <v>38</v>
      </c>
      <c r="C20" s="115" t="s">
        <v>59</v>
      </c>
      <c r="E20" s="115" t="s">
        <v>59</v>
      </c>
    </row>
    <row r="21" spans="1:130" ht="20.25">
      <c r="A21" s="46" t="s">
        <v>26</v>
      </c>
      <c r="C21" s="115" t="s">
        <v>59</v>
      </c>
      <c r="E21" s="115" t="s">
        <v>59</v>
      </c>
    </row>
    <row r="22" spans="1:130" ht="20.25">
      <c r="A22" s="46" t="s">
        <v>67</v>
      </c>
      <c r="C22" s="108" t="s">
        <v>97</v>
      </c>
      <c r="E22" s="108" t="s">
        <v>97</v>
      </c>
    </row>
    <row r="23" spans="1:130" ht="20.25">
      <c r="A23" s="46" t="s">
        <v>27</v>
      </c>
      <c r="C23" s="115" t="s">
        <v>59</v>
      </c>
      <c r="E23" s="115" t="s">
        <v>59</v>
      </c>
    </row>
    <row r="24" spans="1:130" ht="20.25">
      <c r="A24" s="46" t="s">
        <v>55</v>
      </c>
      <c r="C24" s="108" t="s">
        <v>97</v>
      </c>
      <c r="E24" s="108" t="s">
        <v>97</v>
      </c>
    </row>
    <row r="25" spans="1:130" ht="20.25">
      <c r="A25" s="46" t="s">
        <v>68</v>
      </c>
      <c r="C25" s="108" t="s">
        <v>97</v>
      </c>
      <c r="E25" s="108" t="s">
        <v>97</v>
      </c>
    </row>
    <row r="26" spans="1:130" ht="20.25">
      <c r="A26" s="46" t="s">
        <v>69</v>
      </c>
      <c r="C26" s="115" t="s">
        <v>59</v>
      </c>
      <c r="E26" s="115" t="s">
        <v>59</v>
      </c>
    </row>
    <row r="27" spans="1:130" s="16" customFormat="1" ht="15.75">
      <c r="A27" s="15" t="s">
        <v>18</v>
      </c>
      <c r="B27"/>
      <c r="C27" s="104">
        <f>COUNTIF(C6:C26,"sim")</f>
        <v>14</v>
      </c>
      <c r="D27"/>
      <c r="E27" s="104">
        <f>COUNTIF(E6:E26,"sim")</f>
        <v>14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6</v>
      </c>
      <c r="E29" s="40">
        <f>COUNTIF(E6:E26,"ausente")</f>
        <v>6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G7" sqref="G7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15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F5" sqref="F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103</v>
      </c>
      <c r="B2" s="2"/>
    </row>
    <row r="3" spans="1:3" ht="15.75" thickBot="1">
      <c r="A3" s="122" t="s">
        <v>109</v>
      </c>
      <c r="B3" s="2"/>
    </row>
    <row r="4" spans="1:3" ht="78.75" customHeight="1" thickBot="1">
      <c r="A4" s="121" t="s">
        <v>5</v>
      </c>
      <c r="B4" s="112" t="s">
        <v>21</v>
      </c>
      <c r="C4" s="107"/>
    </row>
    <row r="5" spans="1:3" s="6" customFormat="1" ht="60.75" customHeight="1">
      <c r="A5" s="123"/>
      <c r="B5" s="112"/>
      <c r="C5" s="114"/>
    </row>
    <row r="6" spans="1:3" ht="15.75">
      <c r="A6" s="128" t="s">
        <v>57</v>
      </c>
      <c r="C6" s="108"/>
    </row>
    <row r="7" spans="1:3" ht="15.75">
      <c r="A7" s="128" t="s">
        <v>53</v>
      </c>
      <c r="C7" s="108"/>
    </row>
    <row r="8" spans="1:3" ht="15.75">
      <c r="A8" s="128" t="s">
        <v>60</v>
      </c>
      <c r="C8" s="108"/>
    </row>
    <row r="9" spans="1:3" ht="15.75">
      <c r="A9" s="129" t="s">
        <v>61</v>
      </c>
      <c r="C9" s="108"/>
    </row>
    <row r="10" spans="1:3" ht="15.75">
      <c r="A10" s="128" t="s">
        <v>29</v>
      </c>
      <c r="C10" s="115"/>
    </row>
    <row r="11" spans="1:3" ht="15.75">
      <c r="A11" s="128" t="s">
        <v>62</v>
      </c>
      <c r="C11" s="115"/>
    </row>
    <row r="12" spans="1:3" ht="15.75">
      <c r="A12" s="128" t="s">
        <v>22</v>
      </c>
      <c r="C12" s="115"/>
    </row>
    <row r="13" spans="1:3" ht="15.75">
      <c r="A13" s="128" t="s">
        <v>23</v>
      </c>
      <c r="C13" s="108"/>
    </row>
    <row r="14" spans="1:3" ht="15.75">
      <c r="A14" s="128" t="s">
        <v>24</v>
      </c>
      <c r="C14" s="108"/>
    </row>
    <row r="15" spans="1:3" ht="15.75">
      <c r="A15" s="128" t="s">
        <v>63</v>
      </c>
      <c r="C15" s="108"/>
    </row>
    <row r="16" spans="1:3" ht="15.75">
      <c r="A16" s="128" t="s">
        <v>64</v>
      </c>
      <c r="C16" s="108"/>
    </row>
    <row r="17" spans="1:3" ht="15.75">
      <c r="A17" s="128" t="s">
        <v>65</v>
      </c>
      <c r="C17" s="108"/>
    </row>
    <row r="18" spans="1:3" ht="15.75">
      <c r="A18" s="128" t="s">
        <v>25</v>
      </c>
      <c r="C18" s="108"/>
    </row>
    <row r="19" spans="1:3" ht="15.75">
      <c r="A19" s="128" t="s">
        <v>66</v>
      </c>
      <c r="C19" s="108"/>
    </row>
    <row r="20" spans="1:3" ht="15.75">
      <c r="A20" s="128" t="s">
        <v>38</v>
      </c>
      <c r="C20" s="108"/>
    </row>
    <row r="21" spans="1:3" ht="15.75">
      <c r="A21" s="128" t="s">
        <v>26</v>
      </c>
      <c r="C21" s="108"/>
    </row>
    <row r="22" spans="1:3" ht="15.75">
      <c r="A22" s="128" t="s">
        <v>67</v>
      </c>
      <c r="C22" s="108"/>
    </row>
    <row r="23" spans="1:3" ht="15.75">
      <c r="A23" s="128" t="s">
        <v>27</v>
      </c>
      <c r="C23" s="115"/>
    </row>
    <row r="24" spans="1:3" ht="15.75">
      <c r="A24" s="128" t="s">
        <v>55</v>
      </c>
      <c r="C24" s="108"/>
    </row>
    <row r="25" spans="1:3" ht="15.75">
      <c r="A25" s="128" t="s">
        <v>68</v>
      </c>
      <c r="C25" s="108"/>
    </row>
    <row r="26" spans="1:3" ht="15.75">
      <c r="A26" s="128" t="s">
        <v>69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2" t="s">
        <v>109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B5" sqref="B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109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2025-03-07T21:35:35Z</dcterms:modified>
</cp:coreProperties>
</file>