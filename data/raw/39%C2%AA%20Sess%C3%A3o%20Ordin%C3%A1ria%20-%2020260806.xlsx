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460DF70-FF71-439D-89FF-178440400B0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E27" i="3"/>
  <c r="C28" i="3"/>
  <c r="D28" i="3"/>
  <c r="E28" i="3"/>
  <c r="C29" i="3"/>
  <c r="D29" i="3"/>
  <c r="E29" i="3"/>
  <c r="C30" i="3"/>
  <c r="D30" i="3"/>
  <c r="E30" i="3"/>
  <c r="E27" i="2"/>
  <c r="E28" i="2"/>
  <c r="E29" i="2"/>
  <c r="E30" i="2"/>
  <c r="C28" i="10"/>
  <c r="C29" i="10"/>
  <c r="C30" i="10"/>
  <c r="C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<sst xmlns="http://schemas.openxmlformats.org/spreadsheetml/2006/main" count="495" uniqueCount="128">
  <si>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</si>
  <si>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</si>
  <si>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</si>
  <si>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</si>
  <si>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</si>
  <si>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</si>
  <si>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</si>
  <si>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</si>
  <si>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</si>
  <si>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</si>
  <si>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</si>
  <si>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</si>
  <si>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</si>
  <si>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</si>
  <si>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</si>
  <si>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</si>
  <si>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</si>
  <si>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</si>
  <si>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</si>
  <si>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</si>
  <si>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</si>
  <si>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</si>
  <si>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</si>
  <si>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</si>
  <si>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</si>
  <si>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</si>
  <si>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</si>
  <si>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</si>
  <si>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</si>
  <si>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</si>
  <si>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</si>
  <si>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</si>
  <si>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</si>
  <si>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</si>
  <si>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</si>
  <si>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</si>
  <si>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</si>
  <si>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</si>
  <si>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</si>
  <si>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</si>
  <si>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</si>
  <si>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</si>
  <si>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</si>
  <si>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</si>
  <si>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</si>
  <si>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</si>
  <si>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</si>
  <si>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</si>
  <si>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</si>
  <si>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</si>
  <si>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</si>
  <si>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</si>
  <si>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</si>
  <si>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</si>
  <si>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</si>
  <si>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</si>
  <si>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</si>
  <si>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</si>
  <si>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</si>
  <si>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</si>
  <si>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</si>
  <si>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</si>
  <si>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</si>
  <si>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</si>
  <si>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</si>
  <si>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</si>
  <si>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</si>
  <si>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</si>
  <si>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</si>
  <si>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</si>
  <si>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</si>
  <si>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</si>
  <si>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</si>
  <si>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</si>
  <si>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</si>
  <si>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</si>
  <si>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</si>
  <si>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</si>
  <si>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</si>
  <si>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</si>
  <si>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</si>
  <si>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</si>
  <si>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</si>
  <si>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</si>
  <si>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</si>
  <si>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</si>
  <si>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</si>
  <si>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</si>
  <si>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</si>
  <si>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</si>
  <si>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</si>
  <si>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</si>
  <si>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</si>
  <si>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</si>
  <si>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</si>
  <si>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</si>
  <si>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</si>
  <si>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</si>
  <si>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r>
      <t xml:space="preserve">MOÇÃO DE APLAUSOS Nº 196/2026 – RALFI – </t>
    </r>
    <r>
      <rPr>
        <sz val="11"/>
        <color theme="1"/>
        <rFont val="Arial"/>
        <family val="2"/>
      </rPr>
      <t>À atleta Jamilly Pereira, pela conquista do Campeonato Brasileiro de Kickboxing de 2026.</t>
    </r>
  </si>
  <si>
    <t>pela ausência do autor, será pautada na próxima sessão.</t>
  </si>
  <si>
    <r>
      <t xml:space="preserve">MOÇÃO DE RECONHECIMENTO Nº 200/2026 – RALFI – </t>
    </r>
    <r>
      <rPr>
        <sz val="11"/>
        <color theme="1"/>
        <rFont val="Arial"/>
        <family val="2"/>
      </rPr>
      <t>À Sra. Renata Cassoli, pela exemplar trajetória profissional e dedicação à sociedade através do Instituto Vozes que Renascem.</t>
    </r>
  </si>
  <si>
    <r>
      <t xml:space="preserve">MOÇÃO DE APLAUSOS Nº 201/2026 – RALFI – </t>
    </r>
    <r>
      <rPr>
        <sz val="11"/>
        <color theme="1"/>
        <rFont val="Arial"/>
        <family val="2"/>
      </rPr>
      <t>Ao Rotary Club de Osasco, pelos 67 anos de história, união e dedicação ao próximo.</t>
    </r>
  </si>
  <si>
    <r>
      <t xml:space="preserve">MOÇÃO DE APOIO Nº 202/2026 – ELSA OLIVEIRA – </t>
    </r>
    <r>
      <rPr>
        <sz val="11"/>
        <color theme="1"/>
        <rFont val="Arial"/>
        <family val="2"/>
      </rPr>
      <t>À Secretaria de Saúde, em apoio à Semana Mundial de Aleitamento Materno, celebrada anualmente de 1º a 7 de agosto.</t>
    </r>
  </si>
  <si>
    <t>39ª SESSÃO ORDINÁRIA</t>
  </si>
  <si>
    <t>DIA 6 DE AGOSTO DE 2026 - QUINTA-FEIRA</t>
  </si>
  <si>
    <t>Decreto nº 15.180, de 22 de julho de 2026 - Prefeito do Município de Osasco - Dispõe sobre o credenciamento e contratação de instituições financeiras para a prestação de serviços de arrecadação de receitas municipais.</t>
  </si>
  <si>
    <t>Decreto nº 15.181, de 22 de julho de 2026 - Prefeito do Município de Osasco - Altera o Decreto nº 12.753, de 22 de janeiro de 2021, que regulamenta aspectos das unidades internas das Secretarias da Saúde e de Educação, conforme nova arquitetura organizacional e administrativa da estrutura de pessoal da hierarquia superior da Administração Direta do Executivo Municipal de Osasco.</t>
  </si>
  <si>
    <t>Decretos nº 15.176 a 15.179; 15.182 a 15.188; 15.190 a 15.193 e 15.195 a 15.199   de julho de 2026 – Prefeito do Município de Osasco - Dispõem sobre a abertura de crédito adicional suplementar ao orçamento vigente e dão outras providências.</t>
  </si>
  <si>
    <t>Decretos nº 15.189 e 15.194 de julho de 2026 – Prefeito do Município de Osasco - Dispõem sobre a abertura de crédito adicional especial ao orçamento vigente e dão outras providências.</t>
  </si>
  <si>
    <t xml:space="preserve">Decreto nº 15.200 de agosto de 2026 – Prefeito do Município de Osasco – Dispõe sobre a abertura de crédito adicional suplementar ao orçamento vigente e dá outras providências. </t>
  </si>
  <si>
    <t>PROJETO DE LEI Nº172/2026 – Prefeito do Município de Osasco - Dispõe sobre abertura de crédito adicional especial ao orçamento vigente e dá outras providências.</t>
  </si>
  <si>
    <t>PROJETO DE LEI Nº173/2026 – Prefeito do Município de Osasco - Dispõe sobre abertura de crédito adicional especial ao orçamento vigente e dá outras providências.</t>
  </si>
  <si>
    <t>PROJETO DE LEI Nº174/2026 – Prefeito do Município de Osasco - Dispõe sobre abertura de crédito adicional especial ao orçamento vigente e dá outras providências.</t>
  </si>
  <si>
    <t>PROJETO DE LEI Nº 119/2026 – Elânia Silva - Dispõe sobre a concessão de Título de Utilidade Pública ao Instituto Inovar Solução Sustentável.</t>
  </si>
  <si>
    <t>PROJETO DE LEI Nº 169/2026 – Ralfi Silva - Institui o Programa Municipal Passeio Limpo destinado à conscientização sobre a guarda responsável de animais domésticos e à disponibilização de sacos biodegradáveis para o recolhimento de dejetos de animais em vias e espaços públicos do Município de Osasco, e dá outras providências.</t>
  </si>
  <si>
    <t>PROJETO DE LEI Nº 170/2026 – Gabriel Saúde - Institui, no âmbito do Município de Osasco, a Política Municipal de Identificação, Acolhimento e Encaminhamento de Pessoas com Transtorno de Acumulação.</t>
  </si>
  <si>
    <t>PROJETO DE DECRETO LEGISLATIVO Nº 36/2026 – Guilherme Prado - Dispõe sobre a concessão de Cartão de Prata ao Sr. Odair Zago.</t>
  </si>
  <si>
    <r>
      <t>MOÇÃO DE APLAUSOS Nº 199/2026 – ALEXANDRE CAPRIOTTI –</t>
    </r>
    <r>
      <rPr>
        <sz val="11"/>
        <color theme="1"/>
        <rFont val="Arial"/>
        <family val="2"/>
      </rPr>
      <t xml:space="preserve"> À Hellena Gama de Oliveira por levar o nome de Osasco ao topo da natação mirim.</t>
    </r>
  </si>
  <si>
    <r>
      <t xml:space="preserve">MOÇÃO DE RECONHECIMENTO Nº 204/2026 – ALEXANDRE CAPRIOTTI – </t>
    </r>
    <r>
      <rPr>
        <sz val="11"/>
        <color theme="1"/>
        <rFont val="Arial"/>
        <family val="2"/>
      </rPr>
      <t>À Campanha Todos Contra a FIV e a FELV, doenças virais que afetam os gatos e podem causar sérios problemas de saúde.</t>
    </r>
  </si>
  <si>
    <r>
      <t xml:space="preserve">MOÇÃO DE APLAUSOS Nº 207/2026 – STEPHANE ROSSI – </t>
    </r>
    <r>
      <rPr>
        <sz val="11"/>
        <color theme="1"/>
        <rFont val="Arial"/>
        <family val="2"/>
      </rPr>
      <t>À estudante Brenda Victoria Rodrigues Lopes, por conquistar a 4ª colocação no 22º Concurso de Poesia, promovido durante a 30ª edição do Festival Nacional de Teatro (FESCETE).</t>
    </r>
  </si>
  <si>
    <t>pela ausência da autora, será pautada na próxima sessão.</t>
  </si>
  <si>
    <r>
      <t xml:space="preserve">PROJETO DE LEI Nº 22/2026 – GABRIEL SAÚDE - </t>
    </r>
    <r>
      <rPr>
        <sz val="14"/>
        <color theme="1"/>
        <rFont val="Arial"/>
        <family val="2"/>
      </rPr>
      <t xml:space="preserve">Institui a Meia Maratona de Osasco – 21K no Calendário Oficial de Eventos do Município de Osasco, a ser realizada anualmente no último domingo do mês de fevereiro, e dá outras providências. </t>
    </r>
  </si>
  <si>
    <t>pela ausência do autor, será pautado na próxima sessão.</t>
  </si>
  <si>
    <r>
      <t>PROJETO DE LEI Nº 135/2026 - PREFEITO DO MUNICÍPIO DE OSASCO –</t>
    </r>
    <r>
      <rPr>
        <sz val="11"/>
        <color theme="1"/>
        <rFont val="Arial"/>
        <family val="2"/>
      </rPr>
      <t xml:space="preserve"> Dispõe sobre a abertura de crédito adicional especial ao orçamento vigente e dá outras providências</t>
    </r>
  </si>
  <si>
    <t>na presidência</t>
  </si>
  <si>
    <r>
      <t xml:space="preserve">PROJETO DE LEI Nº 26/2026 - PEDRINHO CANTAGESSI - </t>
    </r>
    <r>
      <rPr>
        <sz val="11"/>
        <color theme="1"/>
        <rFont val="Arial"/>
        <family val="2"/>
      </rPr>
      <t xml:space="preserve">Institui o Dia Municipal da Alfabetização e cria o Programa Municipal de Soletração no Município de Osasco, e dá outras providências. </t>
    </r>
  </si>
  <si>
    <t>EMENDA N. 1/26, DA CCJ AO PROJETO DE LEI Nº 26/2026.</t>
  </si>
  <si>
    <r>
      <t xml:space="preserve">PROJETO DE DECRETO LEGISLATIVO 20/2026 – CANTOR GOLEIRO - </t>
    </r>
    <r>
      <rPr>
        <sz val="11"/>
        <color theme="1"/>
        <rFont val="Arial"/>
        <family val="2"/>
      </rPr>
      <t>Concede Medalha Antônio Raposo Tavares e Diploma Cidade de Osasco à Suzete Souza Franco.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</si>
</sst>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K23" sqref="K2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103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104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96</v>
      </c>
      <c r="B5" s="88">
        <v>2</v>
      </c>
      <c r="C5" s="102" t="s">
        <v>48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2</v>
      </c>
      <c r="C6" s="102" t="s">
        <v>48</v>
      </c>
      <c r="D6" s="63"/>
      <c r="E6" s="62"/>
      <c r="F6" s="88">
        <v>1</v>
      </c>
      <c r="G6" s="62" t="s">
        <v>47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2</v>
      </c>
      <c r="K9" s="102" t="s">
        <v>48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2</v>
      </c>
      <c r="G10" s="102" t="s">
        <v>48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2</v>
      </c>
      <c r="K14" s="102" t="s">
        <v>48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1</v>
      </c>
      <c r="G15" s="62" t="s">
        <v>47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2</v>
      </c>
      <c r="K16" s="102" t="s">
        <v>48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2</v>
      </c>
      <c r="K17" s="102" t="s">
        <v>48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90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95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97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>
        <v>11</v>
      </c>
      <c r="C26" s="96" t="s">
        <v>43</v>
      </c>
      <c r="D26" s="98"/>
      <c r="E26" s="96" t="s">
        <v>43</v>
      </c>
      <c r="F26" s="98">
        <v>15</v>
      </c>
      <c r="G26" s="96" t="s">
        <v>43</v>
      </c>
      <c r="H26" s="100"/>
      <c r="I26" s="101"/>
      <c r="J26" s="98">
        <v>12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44</v>
      </c>
      <c r="D27" s="98"/>
      <c r="E27" s="96" t="s">
        <v>44</v>
      </c>
      <c r="F27" s="98">
        <v>6</v>
      </c>
      <c r="G27" s="96" t="s">
        <v>44</v>
      </c>
      <c r="H27" s="100"/>
      <c r="I27" s="96"/>
      <c r="J27" s="98">
        <v>9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96</v>
      </c>
      <c r="V32" s="12"/>
      <c r="W32" s="12"/>
    </row>
    <row r="33" spans="1:23" ht="18">
      <c r="A33" s="34" t="s">
        <v>55</v>
      </c>
      <c r="V33" s="12"/>
      <c r="W33" s="12"/>
    </row>
    <row r="34" spans="1:23" ht="18">
      <c r="A34" s="34" t="s">
        <v>54</v>
      </c>
      <c r="V34" s="12"/>
      <c r="W34" s="12"/>
    </row>
    <row r="35" spans="1:23" ht="18">
      <c r="A35" s="34" t="s">
        <v>60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83</v>
      </c>
      <c r="V44" s="12"/>
      <c r="W44" s="12"/>
    </row>
    <row r="45" spans="1:23" ht="18">
      <c r="A45" s="34" t="s">
        <v>82</v>
      </c>
      <c r="V45" s="12"/>
      <c r="W45" s="12"/>
    </row>
    <row r="46" spans="1:23" ht="18">
      <c r="A46" s="34" t="s">
        <v>23</v>
      </c>
      <c r="V46" s="12"/>
      <c r="W46" s="12"/>
    </row>
    <row r="47" spans="1:23" ht="18">
      <c r="A47" s="34" t="s">
        <v>51</v>
      </c>
      <c r="V47" s="12"/>
      <c r="W47" s="12"/>
    </row>
    <row r="48" spans="1:23" ht="18">
      <c r="A48" s="34" t="s">
        <v>53</v>
      </c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52</v>
      </c>
    </row>
    <row r="56" spans="1:23" ht="18">
      <c r="A56" s="34" t="s">
        <v>53</v>
      </c>
    </row>
    <row r="57" spans="1:23" ht="18">
      <c r="A57" s="34" t="s">
        <v>51</v>
      </c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39"/>
  <sheetViews>
    <sheetView workbookViewId="0">
      <pane xSplit="1" topLeftCell="B1" activePane="topRight" state="frozen"/>
      <selection pane="topRight" activeCell="R5" sqref="R5"/>
    </sheetView>
  </sheetViews>
  <sheetFormatPr defaultColWidth="9.140625" defaultRowHeight="12.75"/>
  <cols>
    <col min="1" max="1" width="47.7109375" style="22" customWidth="1"/>
    <col min="2" max="14" width="23.7109375" style="22" customWidth="1"/>
    <col min="15" max="15" width="19" style="22" customWidth="1"/>
    <col min="16" max="16" width="26.28515625" style="22" customWidth="1"/>
    <col min="17" max="17" width="22.140625" style="22" customWidth="1"/>
    <col min="18" max="24" width="22.7109375" style="22" customWidth="1"/>
    <col min="25" max="16384" width="9.140625" style="22"/>
  </cols>
  <sheetData>
    <row r="1" spans="1:2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24" ht="15">
      <c r="A2" s="76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24" ht="17.25" customHeight="1">
      <c r="A3" s="76" t="s">
        <v>104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24" ht="63" customHeight="1">
      <c r="A4" s="51" t="str">
        <f>'[1]MOÇÃO E REQUERIMENTO'!B7</f>
        <v>EXPEDIENTE</v>
      </c>
      <c r="B4" s="50" t="s">
        <v>42</v>
      </c>
      <c r="C4" s="117" t="s">
        <v>105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7" t="s">
        <v>112</v>
      </c>
      <c r="K4" s="117" t="s">
        <v>113</v>
      </c>
      <c r="L4" s="117" t="s">
        <v>114</v>
      </c>
      <c r="M4" s="117" t="s">
        <v>115</v>
      </c>
      <c r="N4" s="117" t="s">
        <v>116</v>
      </c>
      <c r="O4" s="112" t="s">
        <v>32</v>
      </c>
      <c r="P4" s="123"/>
      <c r="Q4" s="50" t="s">
        <v>25</v>
      </c>
      <c r="R4" s="84" t="s">
        <v>98</v>
      </c>
      <c r="S4" s="84" t="s">
        <v>117</v>
      </c>
      <c r="T4" s="84" t="s">
        <v>100</v>
      </c>
      <c r="U4" s="84" t="s">
        <v>101</v>
      </c>
      <c r="V4" s="84" t="s">
        <v>102</v>
      </c>
      <c r="W4" s="84" t="s">
        <v>118</v>
      </c>
      <c r="X4" s="84" t="s">
        <v>119</v>
      </c>
    </row>
    <row r="5" spans="1:24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113"/>
      <c r="R5" s="149" t="s">
        <v>99</v>
      </c>
      <c r="S5" s="113" t="s">
        <v>84</v>
      </c>
      <c r="T5" s="149" t="s">
        <v>99</v>
      </c>
      <c r="U5" s="149" t="s">
        <v>99</v>
      </c>
      <c r="V5" s="113" t="s">
        <v>84</v>
      </c>
      <c r="W5" s="113" t="s">
        <v>84</v>
      </c>
      <c r="X5" s="149" t="s">
        <v>120</v>
      </c>
    </row>
    <row r="6" spans="1:24" ht="15.75">
      <c r="A6" s="126" t="s">
        <v>96</v>
      </c>
      <c r="Q6" s="23"/>
    </row>
    <row r="7" spans="1:24" ht="15.75">
      <c r="A7" s="126" t="s">
        <v>60</v>
      </c>
      <c r="Q7" s="23"/>
    </row>
    <row r="8" spans="1:24" ht="15.75">
      <c r="A8" s="126" t="s">
        <v>49</v>
      </c>
      <c r="Q8" s="23"/>
    </row>
    <row r="9" spans="1:24" ht="15.75">
      <c r="A9" s="127" t="s">
        <v>50</v>
      </c>
      <c r="Q9" s="23"/>
    </row>
    <row r="10" spans="1:24" ht="15.75">
      <c r="A10" s="126" t="s">
        <v>26</v>
      </c>
      <c r="Q10" s="23"/>
    </row>
    <row r="11" spans="1:24" ht="15.75">
      <c r="A11" s="126" t="s">
        <v>51</v>
      </c>
      <c r="Q11" s="23"/>
    </row>
    <row r="12" spans="1:24" ht="15.75">
      <c r="A12" s="126" t="s">
        <v>22</v>
      </c>
      <c r="Q12" s="23"/>
    </row>
    <row r="13" spans="1:24" ht="15.75">
      <c r="A13" s="126" t="s">
        <v>23</v>
      </c>
      <c r="Q13" s="23"/>
    </row>
    <row r="14" spans="1:24" ht="15.75">
      <c r="A14" s="126" t="s">
        <v>52</v>
      </c>
      <c r="Q14" s="23"/>
    </row>
    <row r="15" spans="1:24" ht="15.75">
      <c r="A15" s="126" t="s">
        <v>53</v>
      </c>
      <c r="Q15" s="23"/>
    </row>
    <row r="16" spans="1:24" ht="15.75">
      <c r="A16" s="126" t="s">
        <v>54</v>
      </c>
      <c r="Q16" s="23"/>
    </row>
    <row r="17" spans="1:17" ht="15.75">
      <c r="A17" s="126" t="s">
        <v>89</v>
      </c>
      <c r="Q17" s="23"/>
    </row>
    <row r="18" spans="1:17" ht="15.75">
      <c r="A18" s="126" t="s">
        <v>24</v>
      </c>
      <c r="Q18" s="23"/>
    </row>
    <row r="19" spans="1:17" ht="15.75">
      <c r="A19" s="126" t="s">
        <v>55</v>
      </c>
      <c r="Q19" s="23"/>
    </row>
    <row r="20" spans="1:17" ht="15.75">
      <c r="A20" s="126" t="s">
        <v>90</v>
      </c>
      <c r="Q20" s="23"/>
    </row>
    <row r="21" spans="1:17" ht="15.75">
      <c r="A21" s="126" t="s">
        <v>83</v>
      </c>
      <c r="Q21" s="23"/>
    </row>
    <row r="22" spans="1:17" ht="15.75">
      <c r="A22" s="126" t="s">
        <v>95</v>
      </c>
      <c r="Q22" s="23"/>
    </row>
    <row r="23" spans="1:17" ht="15.75">
      <c r="A23" s="126" t="s">
        <v>97</v>
      </c>
      <c r="Q23" s="23"/>
    </row>
    <row r="24" spans="1:17" ht="15.75">
      <c r="A24" s="126" t="s">
        <v>61</v>
      </c>
      <c r="Q24" s="23"/>
    </row>
    <row r="25" spans="1:17" ht="15.75">
      <c r="A25" s="126" t="s">
        <v>82</v>
      </c>
      <c r="Q25" s="23"/>
    </row>
    <row r="26" spans="1:17" ht="15.75">
      <c r="A26" s="126" t="s">
        <v>56</v>
      </c>
      <c r="Q26" s="23"/>
    </row>
    <row r="27" spans="1:17" s="25" customFormat="1">
      <c r="A27" s="24" t="s">
        <v>18</v>
      </c>
    </row>
    <row r="28" spans="1:17" s="27" customFormat="1">
      <c r="A28" s="26" t="s">
        <v>19</v>
      </c>
    </row>
    <row r="29" spans="1:17">
      <c r="A29" s="28" t="s">
        <v>11</v>
      </c>
    </row>
    <row r="30" spans="1:17" s="30" customFormat="1">
      <c r="A30" s="29" t="s">
        <v>20</v>
      </c>
    </row>
    <row r="32" spans="1:17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4" sqref="G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103</v>
      </c>
      <c r="B2" s="49"/>
      <c r="C2" s="74"/>
    </row>
    <row r="3" spans="1:45" ht="17.25" customHeight="1">
      <c r="A3" s="76" t="s">
        <v>104</v>
      </c>
      <c r="B3" s="49"/>
      <c r="C3" s="74"/>
      <c r="E3" s="116"/>
    </row>
    <row r="4" spans="1:45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121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35</v>
      </c>
      <c r="B5" s="78"/>
      <c r="C5" s="113"/>
      <c r="D5" s="79"/>
      <c r="E5" s="155" t="s">
        <v>122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96</v>
      </c>
      <c r="C6" s="107"/>
      <c r="E6" s="107"/>
      <c r="F6" s="142"/>
    </row>
    <row r="7" spans="1:45" ht="20.25">
      <c r="A7" s="46" t="s">
        <v>60</v>
      </c>
      <c r="C7" s="107"/>
      <c r="E7" s="107"/>
    </row>
    <row r="8" spans="1:45" ht="20.25">
      <c r="A8" s="46" t="s">
        <v>49</v>
      </c>
      <c r="C8" s="107"/>
      <c r="E8" s="107"/>
    </row>
    <row r="9" spans="1:45" ht="20.25">
      <c r="A9" s="82" t="s">
        <v>50</v>
      </c>
      <c r="C9" s="114"/>
      <c r="E9" s="114"/>
    </row>
    <row r="10" spans="1:45" ht="20.25">
      <c r="A10" s="46" t="s">
        <v>26</v>
      </c>
      <c r="C10" s="107"/>
      <c r="E10" s="107"/>
    </row>
    <row r="11" spans="1:45" ht="20.25">
      <c r="A11" s="46" t="s">
        <v>51</v>
      </c>
      <c r="C11" s="114"/>
      <c r="E11" s="114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07"/>
    </row>
    <row r="14" spans="1:45" ht="20.25">
      <c r="A14" s="46" t="s">
        <v>52</v>
      </c>
      <c r="C14" s="114"/>
      <c r="E14" s="107"/>
    </row>
    <row r="15" spans="1:45" ht="20.25">
      <c r="A15" s="46" t="s">
        <v>53</v>
      </c>
      <c r="C15" s="107"/>
      <c r="E15" s="107"/>
    </row>
    <row r="16" spans="1:45" ht="20.25">
      <c r="A16" s="46" t="s">
        <v>54</v>
      </c>
      <c r="C16" s="143"/>
      <c r="E16" s="107"/>
    </row>
    <row r="17" spans="1:130" ht="20.25">
      <c r="A17" s="46" t="s">
        <v>89</v>
      </c>
      <c r="C17" s="107"/>
      <c r="E17" s="107"/>
    </row>
    <row r="18" spans="1:130" ht="20.25">
      <c r="A18" s="46" t="s">
        <v>24</v>
      </c>
      <c r="C18" s="107"/>
      <c r="E18" s="107"/>
    </row>
    <row r="19" spans="1:130" ht="20.25">
      <c r="A19" s="46" t="s">
        <v>55</v>
      </c>
      <c r="C19" s="114"/>
      <c r="E19" s="107"/>
    </row>
    <row r="20" spans="1:130" ht="20.25">
      <c r="A20" s="46" t="s">
        <v>90</v>
      </c>
      <c r="C20" s="107"/>
      <c r="E20" s="107"/>
    </row>
    <row r="21" spans="1:130" ht="20.25">
      <c r="A21" s="46" t="s">
        <v>83</v>
      </c>
      <c r="C21" s="114"/>
      <c r="E21" s="107"/>
    </row>
    <row r="22" spans="1:130" ht="20.25">
      <c r="A22" s="46" t="s">
        <v>95</v>
      </c>
      <c r="C22" s="107"/>
      <c r="E22" s="107"/>
    </row>
    <row r="23" spans="1:130" ht="20.25">
      <c r="A23" s="46" t="s">
        <v>97</v>
      </c>
      <c r="C23" s="107"/>
      <c r="E23" s="107"/>
    </row>
    <row r="24" spans="1:130" ht="20.25">
      <c r="A24" s="46" t="s">
        <v>61</v>
      </c>
      <c r="C24" s="107"/>
      <c r="E24" s="107"/>
    </row>
    <row r="25" spans="1:130" ht="20.25">
      <c r="A25" s="46" t="s">
        <v>82</v>
      </c>
      <c r="C25" s="107"/>
      <c r="E25" s="107"/>
    </row>
    <row r="26" spans="1:130" ht="20.25">
      <c r="A26" s="46" t="s">
        <v>56</v>
      </c>
      <c r="C26" s="143"/>
      <c r="E26" s="114"/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E26" sqref="E26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19" t="s">
        <v>5</v>
      </c>
      <c r="B4" s="118" t="s">
        <v>7</v>
      </c>
      <c r="C4" s="138" t="s">
        <v>123</v>
      </c>
      <c r="D4" s="138" t="s">
        <v>125</v>
      </c>
      <c r="E4" s="138" t="s">
        <v>126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44" t="s">
        <v>87</v>
      </c>
      <c r="D5" s="144" t="s">
        <v>87</v>
      </c>
      <c r="E5" s="144" t="s">
        <v>84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8" t="s">
        <v>96</v>
      </c>
      <c r="C6" s="107" t="s">
        <v>88</v>
      </c>
      <c r="D6" s="107" t="s">
        <v>88</v>
      </c>
      <c r="E6" s="107" t="s">
        <v>88</v>
      </c>
      <c r="W6" s="7"/>
      <c r="X6" s="7"/>
    </row>
    <row r="7" spans="1:31" ht="18">
      <c r="A7" s="128" t="s">
        <v>60</v>
      </c>
      <c r="C7" s="107" t="s">
        <v>88</v>
      </c>
      <c r="D7" s="107" t="s">
        <v>88</v>
      </c>
      <c r="E7" s="107" t="s">
        <v>88</v>
      </c>
      <c r="W7" s="7"/>
      <c r="X7" s="7"/>
    </row>
    <row r="8" spans="1:31" ht="18">
      <c r="A8" s="128" t="s">
        <v>49</v>
      </c>
      <c r="C8" s="107" t="s">
        <v>88</v>
      </c>
      <c r="D8" s="107" t="s">
        <v>88</v>
      </c>
      <c r="E8" s="107" t="s">
        <v>88</v>
      </c>
      <c r="W8" s="7"/>
      <c r="X8" s="7"/>
    </row>
    <row r="9" spans="1:31" ht="18">
      <c r="A9" s="129" t="s">
        <v>50</v>
      </c>
      <c r="C9" s="114" t="s">
        <v>124</v>
      </c>
      <c r="D9" s="114" t="s">
        <v>124</v>
      </c>
      <c r="E9" s="114" t="s">
        <v>124</v>
      </c>
      <c r="W9" s="7"/>
      <c r="X9" s="7"/>
    </row>
    <row r="10" spans="1:31" ht="18">
      <c r="A10" s="128" t="s">
        <v>26</v>
      </c>
      <c r="C10" s="114" t="s">
        <v>48</v>
      </c>
      <c r="D10" s="114" t="s">
        <v>48</v>
      </c>
      <c r="E10" s="114" t="s">
        <v>48</v>
      </c>
      <c r="W10" s="7"/>
      <c r="X10" s="7"/>
    </row>
    <row r="11" spans="1:31" ht="18">
      <c r="A11" s="128" t="s">
        <v>51</v>
      </c>
      <c r="C11" s="114" t="s">
        <v>48</v>
      </c>
      <c r="D11" s="114" t="s">
        <v>48</v>
      </c>
      <c r="E11" s="114" t="s">
        <v>48</v>
      </c>
      <c r="W11" s="7"/>
      <c r="X11" s="7"/>
    </row>
    <row r="12" spans="1:31" ht="18">
      <c r="A12" s="128" t="s">
        <v>22</v>
      </c>
      <c r="C12" s="107" t="s">
        <v>88</v>
      </c>
      <c r="D12" s="107" t="s">
        <v>88</v>
      </c>
      <c r="E12" s="107" t="s">
        <v>88</v>
      </c>
      <c r="W12" s="7"/>
      <c r="X12" s="7"/>
    </row>
    <row r="13" spans="1:31" ht="18">
      <c r="A13" s="128" t="s">
        <v>23</v>
      </c>
      <c r="C13" s="114" t="s">
        <v>48</v>
      </c>
      <c r="D13" s="114" t="s">
        <v>48</v>
      </c>
      <c r="E13" s="114" t="s">
        <v>48</v>
      </c>
      <c r="W13" s="7"/>
      <c r="X13" s="7"/>
    </row>
    <row r="14" spans="1:31" ht="18">
      <c r="A14" s="128" t="s">
        <v>52</v>
      </c>
      <c r="C14" s="107" t="s">
        <v>88</v>
      </c>
      <c r="D14" s="107" t="s">
        <v>88</v>
      </c>
      <c r="E14" s="107" t="s">
        <v>88</v>
      </c>
      <c r="W14" s="7"/>
      <c r="X14" s="7"/>
    </row>
    <row r="15" spans="1:31" ht="18">
      <c r="A15" s="128" t="s">
        <v>53</v>
      </c>
      <c r="C15" s="107" t="s">
        <v>88</v>
      </c>
      <c r="D15" s="107" t="s">
        <v>88</v>
      </c>
      <c r="E15" s="107" t="s">
        <v>88</v>
      </c>
      <c r="W15" s="7"/>
      <c r="X15" s="7"/>
    </row>
    <row r="16" spans="1:31" ht="18">
      <c r="A16" s="128" t="s">
        <v>54</v>
      </c>
      <c r="C16" s="114" t="s">
        <v>48</v>
      </c>
      <c r="D16" s="114" t="s">
        <v>48</v>
      </c>
      <c r="E16" s="114" t="s">
        <v>48</v>
      </c>
      <c r="W16" s="7"/>
      <c r="X16" s="7"/>
    </row>
    <row r="17" spans="1:125" ht="18">
      <c r="A17" s="128" t="s">
        <v>89</v>
      </c>
      <c r="C17" s="114" t="s">
        <v>48</v>
      </c>
      <c r="D17" s="114" t="s">
        <v>48</v>
      </c>
      <c r="E17" s="114" t="s">
        <v>48</v>
      </c>
      <c r="W17" s="7"/>
      <c r="X17" s="7"/>
    </row>
    <row r="18" spans="1:125" ht="15" customHeight="1">
      <c r="A18" s="128" t="s">
        <v>24</v>
      </c>
      <c r="C18" s="114" t="s">
        <v>48</v>
      </c>
      <c r="D18" s="114" t="s">
        <v>48</v>
      </c>
      <c r="E18" s="114" t="s">
        <v>48</v>
      </c>
      <c r="V18" s="8"/>
      <c r="W18" s="7"/>
      <c r="X18" s="7"/>
    </row>
    <row r="19" spans="1:125" ht="18">
      <c r="A19" s="128" t="s">
        <v>55</v>
      </c>
      <c r="C19" s="107" t="s">
        <v>88</v>
      </c>
      <c r="D19" s="107" t="s">
        <v>88</v>
      </c>
      <c r="E19" s="107" t="s">
        <v>88</v>
      </c>
      <c r="W19" s="7"/>
      <c r="X19" s="7"/>
    </row>
    <row r="20" spans="1:125" ht="18">
      <c r="A20" s="128" t="s">
        <v>90</v>
      </c>
      <c r="C20" s="107" t="s">
        <v>88</v>
      </c>
      <c r="D20" s="107" t="s">
        <v>88</v>
      </c>
      <c r="E20" s="107" t="s">
        <v>88</v>
      </c>
      <c r="W20" s="7"/>
      <c r="X20" s="7"/>
    </row>
    <row r="21" spans="1:125" ht="18">
      <c r="A21" s="128" t="s">
        <v>83</v>
      </c>
      <c r="C21" s="107" t="s">
        <v>88</v>
      </c>
      <c r="D21" s="107" t="s">
        <v>88</v>
      </c>
      <c r="E21" s="107" t="s">
        <v>88</v>
      </c>
      <c r="W21" s="7"/>
      <c r="X21" s="7"/>
    </row>
    <row r="22" spans="1:125" ht="18">
      <c r="A22" s="128" t="s">
        <v>95</v>
      </c>
      <c r="C22" s="107" t="s">
        <v>88</v>
      </c>
      <c r="D22" s="107" t="s">
        <v>88</v>
      </c>
      <c r="E22" s="107" t="s">
        <v>88</v>
      </c>
      <c r="W22" s="7"/>
      <c r="X22" s="7"/>
    </row>
    <row r="23" spans="1:125" ht="18">
      <c r="A23" s="128" t="s">
        <v>97</v>
      </c>
      <c r="C23" s="107" t="s">
        <v>88</v>
      </c>
      <c r="D23" s="107" t="s">
        <v>88</v>
      </c>
      <c r="E23" s="107" t="s">
        <v>88</v>
      </c>
      <c r="W23" s="7"/>
      <c r="X23" s="7"/>
    </row>
    <row r="24" spans="1:125" ht="18">
      <c r="A24" s="128" t="s">
        <v>61</v>
      </c>
      <c r="C24" s="114" t="s">
        <v>48</v>
      </c>
      <c r="D24" s="114" t="s">
        <v>48</v>
      </c>
      <c r="E24" s="114" t="s">
        <v>48</v>
      </c>
      <c r="W24" s="7"/>
      <c r="X24" s="7"/>
    </row>
    <row r="25" spans="1:125" ht="18">
      <c r="A25" s="128" t="s">
        <v>82</v>
      </c>
      <c r="C25" s="107" t="s">
        <v>88</v>
      </c>
      <c r="D25" s="107" t="s">
        <v>88</v>
      </c>
      <c r="E25" s="107" t="s">
        <v>88</v>
      </c>
      <c r="W25" s="7"/>
      <c r="X25" s="7"/>
    </row>
    <row r="26" spans="1:125" ht="18">
      <c r="A26" s="128" t="s">
        <v>56</v>
      </c>
      <c r="C26" s="107" t="s">
        <v>88</v>
      </c>
      <c r="D26" s="107" t="s">
        <v>88</v>
      </c>
      <c r="E26" s="107" t="s">
        <v>88</v>
      </c>
      <c r="W26" s="7"/>
      <c r="X26" s="7"/>
    </row>
    <row r="27" spans="1:125" s="16" customFormat="1" ht="15.75">
      <c r="A27" s="15" t="s">
        <v>18</v>
      </c>
      <c r="B27" s="145">
        <f>COUNTIF(B6:B26,"sim")</f>
        <v>0</v>
      </c>
      <c r="C27" s="103">
        <f t="shared" ref="C27:E27" si="0">COUNTIF(C6:C26,"sim")</f>
        <v>13</v>
      </c>
      <c r="D27" s="103">
        <f t="shared" si="0"/>
        <v>13</v>
      </c>
      <c r="E27" s="103">
        <f t="shared" si="0"/>
        <v>13</v>
      </c>
      <c r="L27" s="16">
        <f t="shared" ref="L27:AQ27" si="1">COUNTIF(L6:L26,"sim")</f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si="1"/>
        <v>0</v>
      </c>
      <c r="AR27" s="16">
        <f t="shared" ref="AR27:BW27" si="2">COUNTIF(AR6:AR26,"sim")</f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si="2"/>
        <v>0</v>
      </c>
      <c r="BX27" s="16">
        <f t="shared" ref="BX27:DC27" si="3">COUNTIF(BX6:BX26,"sim")</f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si="3"/>
        <v>0</v>
      </c>
      <c r="DD27" s="16">
        <f t="shared" ref="DD27:DU27" si="4">COUNTIF(DD6:DD26,"sim")</f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  <c r="DU27" s="16">
        <f t="shared" si="4"/>
        <v>0</v>
      </c>
    </row>
    <row r="28" spans="1:125" s="18" customFormat="1" ht="15.75">
      <c r="A28" s="17" t="s">
        <v>19</v>
      </c>
      <c r="B28" s="146">
        <f>COUNTIF(B6:B26,"não")</f>
        <v>0</v>
      </c>
      <c r="C28" s="104">
        <f t="shared" ref="C28:E28" si="5">COUNTIF(C6:C26,"não")</f>
        <v>0</v>
      </c>
      <c r="D28" s="104">
        <f t="shared" si="5"/>
        <v>0</v>
      </c>
      <c r="E28" s="104">
        <f t="shared" si="5"/>
        <v>0</v>
      </c>
      <c r="L28" s="18">
        <f t="shared" ref="L28:AQ28" si="6">COUNTIF(L6:L27,"não")</f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si="6"/>
        <v>0</v>
      </c>
      <c r="AR28" s="18">
        <f t="shared" ref="AR28:BW28" si="7">COUNTIF(AR6:AR27,"não")</f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si="7"/>
        <v>0</v>
      </c>
      <c r="BX28" s="18">
        <f t="shared" ref="BX28:DC28" si="8">COUNTIF(BX6:BX27,"não")</f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si="8"/>
        <v>0</v>
      </c>
      <c r="DD28" s="18">
        <f t="shared" ref="DD28:DU28" si="9">COUNTIF(DD6:DD27,"não")</f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  <c r="DU28" s="18">
        <f t="shared" si="9"/>
        <v>0</v>
      </c>
    </row>
    <row r="29" spans="1:125" ht="15.75">
      <c r="A29" s="14" t="s">
        <v>11</v>
      </c>
      <c r="B29" s="147">
        <f>COUNTIF(B6:B26,"ausente")</f>
        <v>0</v>
      </c>
      <c r="C29" s="40">
        <f t="shared" ref="C29:E29" si="10">COUNTIF(C6:C26,"ausente")</f>
        <v>7</v>
      </c>
      <c r="D29" s="40">
        <f t="shared" si="10"/>
        <v>7</v>
      </c>
      <c r="E29" s="40">
        <f t="shared" si="10"/>
        <v>7</v>
      </c>
      <c r="L29">
        <f t="shared" ref="L29:AQ29" si="11">COUNTIF(L6:L28,"ausente")</f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ref="AR29:BW29" si="12">COUNTIF(AR6:AR28,"ausente")</f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ref="BX29:DC29" si="13">COUNTIF(BX6:BX28,"ausente")</f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ref="DD29:DU29" si="14">COUNTIF(DD6:DD28,"ausente")</f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</row>
    <row r="30" spans="1:125" s="20" customFormat="1" ht="15.75">
      <c r="A30" s="19" t="s">
        <v>20</v>
      </c>
      <c r="B30" s="148">
        <f>COUNTIF(B6:B26,"abstenção")</f>
        <v>0</v>
      </c>
      <c r="C30" s="105">
        <f t="shared" ref="C30:E30" si="15">COUNTIF(C6:C26,"abstenção")</f>
        <v>0</v>
      </c>
      <c r="D30" s="105">
        <f t="shared" si="15"/>
        <v>0</v>
      </c>
      <c r="E30" s="105">
        <f t="shared" si="15"/>
        <v>0</v>
      </c>
      <c r="L30" s="20">
        <f t="shared" ref="L30:AQ30" si="16">COUNTIF(L10:L29,"abstenção")</f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si="16"/>
        <v>0</v>
      </c>
      <c r="AR30" s="20">
        <f t="shared" ref="AR30:BW30" si="17">COUNTIF(AR10:AR29,"abstenção")</f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si="17"/>
        <v>0</v>
      </c>
      <c r="BX30" s="20">
        <f t="shared" ref="BX30:DC30" si="18">COUNTIF(BX10:BX29,"abstenção")</f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ref="DD30:DU30" si="19">COUNTIF(DD10:DD29,"abstenção")</f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  <c r="DU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abSelected="1" workbookViewId="0">
      <pane xSplit="1" topLeftCell="B1" activePane="topRight" state="frozen"/>
      <selection pane="topRight" activeCell="I5" sqref="I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103</v>
      </c>
      <c r="B2" s="2"/>
    </row>
    <row r="3" spans="1:3" ht="15.75" thickBot="1">
      <c r="A3" s="120" t="s">
        <v>104</v>
      </c>
      <c r="B3" s="2"/>
    </row>
    <row r="4" spans="1:3" ht="78.75" customHeight="1" thickBot="1">
      <c r="A4" s="119" t="s">
        <v>5</v>
      </c>
      <c r="B4" s="111" t="s">
        <v>21</v>
      </c>
      <c r="C4" s="138" t="s">
        <v>127</v>
      </c>
    </row>
    <row r="5" spans="1:3" s="6" customFormat="1" ht="60.75" customHeight="1">
      <c r="A5" s="121"/>
      <c r="B5" s="111"/>
      <c r="C5" s="113" t="s">
        <v>87</v>
      </c>
    </row>
    <row r="6" spans="1:3" ht="15.75">
      <c r="A6" s="126" t="s">
        <v>96</v>
      </c>
      <c r="C6" s="107" t="s">
        <v>88</v>
      </c>
    </row>
    <row r="7" spans="1:3" ht="15.75">
      <c r="A7" s="126" t="s">
        <v>60</v>
      </c>
      <c r="C7" s="107" t="s">
        <v>88</v>
      </c>
    </row>
    <row r="8" spans="1:3" ht="15.75">
      <c r="A8" s="126" t="s">
        <v>49</v>
      </c>
      <c r="C8" s="107" t="s">
        <v>88</v>
      </c>
    </row>
    <row r="9" spans="1:3" ht="15.75">
      <c r="A9" s="127" t="s">
        <v>50</v>
      </c>
      <c r="C9" s="107" t="s">
        <v>88</v>
      </c>
    </row>
    <row r="10" spans="1:3" ht="15.75">
      <c r="A10" s="126" t="s">
        <v>26</v>
      </c>
      <c r="C10" s="114" t="s">
        <v>48</v>
      </c>
    </row>
    <row r="11" spans="1:3" ht="15.75">
      <c r="A11" s="126" t="s">
        <v>51</v>
      </c>
      <c r="C11" s="107" t="s">
        <v>88</v>
      </c>
    </row>
    <row r="12" spans="1:3" ht="15.75">
      <c r="A12" s="126" t="s">
        <v>22</v>
      </c>
      <c r="C12" s="107" t="s">
        <v>88</v>
      </c>
    </row>
    <row r="13" spans="1:3" ht="15.75">
      <c r="A13" s="126" t="s">
        <v>23</v>
      </c>
      <c r="C13" s="114" t="s">
        <v>48</v>
      </c>
    </row>
    <row r="14" spans="1:3" ht="15.75">
      <c r="A14" s="126" t="s">
        <v>52</v>
      </c>
      <c r="C14" s="107" t="s">
        <v>88</v>
      </c>
    </row>
    <row r="15" spans="1:3" ht="15.75">
      <c r="A15" s="126" t="s">
        <v>53</v>
      </c>
      <c r="B15" s="137"/>
      <c r="C15" s="107" t="s">
        <v>88</v>
      </c>
    </row>
    <row r="16" spans="1:3" ht="15.75">
      <c r="A16" s="126" t="s">
        <v>54</v>
      </c>
      <c r="C16" s="114" t="s">
        <v>48</v>
      </c>
    </row>
    <row r="17" spans="1:3" ht="15.75">
      <c r="A17" s="126" t="s">
        <v>89</v>
      </c>
      <c r="C17" s="114" t="s">
        <v>48</v>
      </c>
    </row>
    <row r="18" spans="1:3" ht="15.75">
      <c r="A18" s="126" t="s">
        <v>24</v>
      </c>
      <c r="C18" s="114" t="s">
        <v>48</v>
      </c>
    </row>
    <row r="19" spans="1:3" ht="15.75">
      <c r="A19" s="126" t="s">
        <v>55</v>
      </c>
      <c r="C19" s="107" t="s">
        <v>88</v>
      </c>
    </row>
    <row r="20" spans="1:3" ht="15.75">
      <c r="A20" s="126" t="s">
        <v>90</v>
      </c>
      <c r="C20" s="107" t="s">
        <v>88</v>
      </c>
    </row>
    <row r="21" spans="1:3" ht="15.75">
      <c r="A21" s="126" t="s">
        <v>83</v>
      </c>
      <c r="C21" s="107" t="s">
        <v>88</v>
      </c>
    </row>
    <row r="22" spans="1:3" ht="15.75">
      <c r="A22" s="126" t="s">
        <v>95</v>
      </c>
      <c r="C22" s="107" t="s">
        <v>88</v>
      </c>
    </row>
    <row r="23" spans="1:3" ht="15.75">
      <c r="A23" s="126" t="s">
        <v>97</v>
      </c>
      <c r="C23" s="107" t="s">
        <v>88</v>
      </c>
    </row>
    <row r="24" spans="1:3" ht="15.75">
      <c r="A24" s="126" t="s">
        <v>61</v>
      </c>
      <c r="C24" s="114" t="s">
        <v>48</v>
      </c>
    </row>
    <row r="25" spans="1:3" ht="15.75">
      <c r="A25" s="126" t="s">
        <v>82</v>
      </c>
      <c r="C25" s="107" t="s">
        <v>88</v>
      </c>
    </row>
    <row r="26" spans="1:3" ht="15.75">
      <c r="A26" s="126" t="s">
        <v>56</v>
      </c>
      <c r="C26" s="107" t="s">
        <v>88</v>
      </c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15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6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103</v>
      </c>
      <c r="B2" s="2"/>
      <c r="C2" s="54"/>
      <c r="D2" s="54"/>
      <c r="E2" s="54"/>
    </row>
    <row r="3" spans="1:9" ht="15.75" thickBot="1">
      <c r="A3" s="120" t="s">
        <v>104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96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95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97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96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95</v>
      </c>
    </row>
    <row r="23" spans="1:23" ht="18">
      <c r="A23" s="128" t="s">
        <v>97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2026-08-11T15:04:39Z</dcterms:modified>
</cp:coreProperties>
</file>