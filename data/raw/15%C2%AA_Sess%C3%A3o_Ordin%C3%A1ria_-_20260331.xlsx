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C0931DB2-06AC-4D60-9010-C585CCD0F73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D28" i="10"/>
  <c r="E28" i="10"/>
  <c r="C29" i="10"/>
  <c r="D29" i="10"/>
  <c r="E29" i="10"/>
  <c r="C30" i="10"/>
  <c r="D30" i="10"/>
  <c r="E30" i="10"/>
  <c r="C31" i="10"/>
  <c r="D31" i="10"/>
  <c r="E31" i="10"/>
  <c r="C27" i="3"/>
  <c r="C28" i="3"/>
  <c r="C29" i="3"/>
  <c r="C30" i="3"/>
  <c r="E27" i="2"/>
  <c r="E28" i="2"/>
  <c r="E29" i="2"/>
  <c r="E30" i="2"/>
  <c r="D27" i="3"/>
  <c r="D28" i="3"/>
  <c r="D29" i="3"/>
  <c r="D30" i="3"/>
  <c r="C27" i="2"/>
  <c r="C28" i="2"/>
  <c r="C29" i="2"/>
  <c r="C30" i="2"/>
  <c r="F28" i="10"/>
  <c r="F29" i="10"/>
  <c r="F30" i="10"/>
  <c r="F31" i="10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<sst xmlns="http://schemas.openxmlformats.org/spreadsheetml/2006/main" count="523" uniqueCount="128">
  <si>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</si>
  <si>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</si>
  <si>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</si>
  <si>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</si>
  <si>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</si>
  <si>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</si>
  <si>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</si>
  <si>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</si>
  <si>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</si>
  <si>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</si>
  <si>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</si>
  <si>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</si>
  <si>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</si>
  <si>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</si>
  <si>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</si>
  <si>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</si>
  <si>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</si>
  <si>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</si>
  <si>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</si>
  <si>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</si>
  <si>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</si>
  <si>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</si>
  <si>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</si>
  <si>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</si>
  <si>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</si>
  <si>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</si>
  <si>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</si>
  <si>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</si>
  <si>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</si>
  <si>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</si>
  <si>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</si>
  <si>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</si>
  <si>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</si>
  <si>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</si>
  <si>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</si>
  <si>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</si>
  <si>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</si>
  <si>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</si>
  <si>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</si>
  <si>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</si>
  <si>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</si>
  <si>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</si>
  <si>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</si>
  <si>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</si>
  <si>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</si>
  <si>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</si>
  <si>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</si>
  <si>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</si>
  <si>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</si>
  <si>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</si>
  <si>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</si>
  <si>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</si>
  <si>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</si>
  <si>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</si>
  <si>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</si>
  <si>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</si>
  <si>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</si>
  <si>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</si>
  <si>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</si>
  <si>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</si>
  <si>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</si>
  <si>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</si>
  <si>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</si>
  <si>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</si>
  <si>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</si>
  <si>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</si>
  <si>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</si>
  <si>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</si>
  <si>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</si>
  <si>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</si>
  <si>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</si>
  <si>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</si>
  <si>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</si>
  <si>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</si>
  <si>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</si>
  <si>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</si>
  <si>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</si>
  <si>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</si>
  <si>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</si>
  <si>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</si>
  <si>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</si>
  <si>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</si>
  <si>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</si>
  <si>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</si>
  <si>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</si>
  <si>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</si>
  <si>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</si>
  <si>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</si>
  <si>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</si>
  <si>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</si>
  <si>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</si>
  <si>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</si>
  <si>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</si>
  <si>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</si>
  <si>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</si>
  <si>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</si>
  <si>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r>
      <t>PROJETO DE LEI Nº 25/2024 – RALFI SILVA -</t>
    </r>
    <r>
      <rPr>
        <sz val="11"/>
        <color theme="1"/>
        <rFont val="Arial"/>
        <family val="2"/>
      </rPr>
      <t xml:space="preserve"> Institui a “Caminhada Azul-OsasTEA”, como forma de conscientização sobre o Autismo.</t>
    </r>
  </si>
  <si>
    <r>
      <t xml:space="preserve">MOÇÃO DE APLAUSO Nº 57/2026 – RALFI – </t>
    </r>
    <r>
      <rPr>
        <sz val="11"/>
        <color theme="1"/>
        <rFont val="Arial"/>
        <family val="2"/>
      </rPr>
      <t>Em celebração ao Dia da Ordem DeMolay, comemorado em 18 de março.</t>
    </r>
  </si>
  <si>
    <t>APROVADO</t>
  </si>
  <si>
    <t>sim</t>
  </si>
  <si>
    <t>na presidência</t>
  </si>
  <si>
    <t>15ª SESSÃO ORDINÁRIA</t>
  </si>
  <si>
    <t>DIA 31 DE MARÇO DE 2026 - TERÇA-FEIRA</t>
  </si>
  <si>
    <t>Projeto de Lei nº 68/2026 – Prefeito do Município de Osasco – Dispõe sobre abertura de crédito adicional especial ao orçamento vigente e dá outras providências.</t>
  </si>
  <si>
    <t>Ofício Prolegis nº 202603066429 – Prefeito do Município de Osasco – Informa a sanção de Lei nº 5.461, de 24 de março de 2026, que institui o Dia Municipal do DJ no Calendário Oficial do Município de Osasco e dá outras providências, de autoria do vereador Laércio Mendonça.</t>
  </si>
  <si>
    <t>Ofício Prolegis nº 202603066438 – Prefeito do Município de Osasco – Informa a sanção de Lei nº 5.462, de 24 de março de 2026, que institui o Dia Municipal do Vôlei Adaptado à Melhor Idade, no âmbito do Município de Osasco, e dá outras providências, de autoria do vereador Délbio Teruel.</t>
  </si>
  <si>
    <t>Decretos nº 15.055, 15.056, 15.057, 15.058 e 15.063, de março de 2026 - Prefeito do Município de Osasco - Dispõem sobre abertura de crédito adicional suplementar ao orçamento vigente e dá outras providências.</t>
  </si>
  <si>
    <t>Decretos nº 15.053, 15.054, 15.059, 15.060, 15.061, 15.062, 15.064, de março de 2026 - Prefeito do Município de Osasco - Dispõem sobre abertura de crédito adicional especial ao orçamento vigente e dá outras providências.</t>
  </si>
  <si>
    <t>Projeto de Lei nº 57/2026 – Pedrinho Cantagessi - Dispõe sobre a criação do Programa Ônibus Rosa e das diretrizes para a proteção e segurança das mulheres no sistema de transporte público coletivo de passageiros no âmbito do Município de Osasco, e dá outras providências.</t>
  </si>
  <si>
    <t>Projeto de Lei nº 69/2026 - Gabriel Saúde - Altera o parágrafo único do art. 1º e o art. 2º da Lei nº 3.478, de 12 de maio de 1999, que dispõe sobre o ingresso de gestantes em veículos de transporte coletivo no Município, e dá outras providências.</t>
  </si>
  <si>
    <r>
      <t>MOÇÃO DE RECONHECIMENTO Nº 51/2026 – BATISTA COMUNIDADE –</t>
    </r>
    <r>
      <rPr>
        <sz val="11"/>
        <color theme="1"/>
        <rFont val="Arial"/>
        <family val="2"/>
      </rPr>
      <t xml:space="preserve"> Ao Sr. José Ernesto Masali, pelos relevantes serviços prestados à cidade de Osasco.</t>
    </r>
  </si>
  <si>
    <t>pela ausência do autor, será pautada na próxima sessão.</t>
  </si>
  <si>
    <r>
      <t>MOÇÃO DE APLAUSO Nº 53/2026 – GABRIEL SAÚDE –</t>
    </r>
    <r>
      <rPr>
        <sz val="11"/>
        <color theme="1"/>
        <rFont val="Arial"/>
        <family val="2"/>
      </rPr>
      <t xml:space="preserve"> À Equipe de Assessoria de Inclusão da Gerência do Atendimento Educacional Especializado – AEE, da Secretaria de Educação de Osasco, em reconhecimento ao trabalho de excelência, compromisso técnico e dedicação na promoção da educação inclusiva em nosso município.</t>
    </r>
  </si>
  <si>
    <r>
      <t>MOÇÃO DE REPÚDIO Nº 58/2026 – CANTOR GOLEIRO –</t>
    </r>
    <r>
      <rPr>
        <sz val="11"/>
        <color theme="1"/>
        <rFont val="Arial"/>
        <family val="2"/>
      </rPr>
      <t xml:space="preserve"> À Sabesp, em razão dos prejuízos causados à população decorrentes das obras realizadas em diversos pontos da cidade de Osasco.</t>
    </r>
  </si>
  <si>
    <r>
      <t xml:space="preserve">MOÇÃO DE APLAUSO Nº 61/2026 – JOSIAS DA JUCO – </t>
    </r>
    <r>
      <rPr>
        <sz val="11"/>
        <color theme="1"/>
        <rFont val="Arial"/>
        <family val="2"/>
      </rPr>
      <t>Aos Policiais Militares Soldado PM Patrick da Silva Rocha e Soldado PM Kalebe Alexandre de Oliveira, da 1ª Companhia do 14º Batalhão de Polícia Militar Metropolitano, em reconhecimento à atuação rápida, sensível e exemplar no auxílio a uma gestante em trabalho de parto no município de Osasco.</t>
    </r>
  </si>
  <si>
    <r>
      <t xml:space="preserve">MOÇÃO DE RECONHECIMENTO Nº 62/2026 – CANTOR GOLEIRO – </t>
    </r>
    <r>
      <rPr>
        <sz val="11"/>
        <color theme="1"/>
        <rFont val="Arial"/>
        <family val="2"/>
      </rPr>
      <t>À equipe Guardiã Maria da Penha, da Guarda Civil Municipal de Osasco, por sua atuação exemplar no enfrentamento à violência doméstica.</t>
    </r>
  </si>
  <si>
    <r>
      <t xml:space="preserve">MOÇÃO DE SOLIDARIEDADE Nº 63/2026 – LÚCIA DA SAÚDE – </t>
    </r>
    <r>
      <rPr>
        <sz val="11"/>
        <color theme="1"/>
        <rFont val="Arial"/>
        <family val="2"/>
      </rPr>
      <t>Às famílias das vítimas de feminicídio em nosso município, bem como a todas as mulheres que tiveram suas vidas ceifadas de forma cruel e covarde em razão da violência de gênero.</t>
    </r>
  </si>
  <si>
    <t>pela ausência da autora, será pautada na próxima sessão.</t>
  </si>
  <si>
    <r>
      <t xml:space="preserve">MOÇÃO DE REPÚDIO Nº 64/2026 – ALEXANDRE CAPRIOTTI – </t>
    </r>
    <r>
      <rPr>
        <sz val="11"/>
        <color theme="1"/>
        <rFont val="Arial"/>
        <family val="2"/>
      </rPr>
      <t>À declaração proferida pelo Vereador Osni Novack que, durante sessão legislativa, sugeriu a prática de extermínio de cães em situação de rua.</t>
    </r>
  </si>
  <si>
    <t>arquivada a pedido do autor.</t>
  </si>
  <si>
    <r>
      <t>MOÇÃO DE CONGRATULAÇÕES Nº 65/2026 – DELBIO TERUEL –</t>
    </r>
    <r>
      <rPr>
        <sz val="11"/>
        <color theme="1"/>
        <rFont val="Arial"/>
        <family val="2"/>
      </rPr>
      <t xml:space="preserve"> À Mariana Hinata Moura Hamada, Ester Pellegrini e Ana Júlia Pereira de Moraes, pela honrosa representação do município de Osasco no concurso Pequena Miss Brasil 2026, realizado na cidade de Curitiba.</t>
    </r>
  </si>
  <si>
    <t>abstenção</t>
  </si>
  <si>
    <r>
      <t>PROJETO DE LEI Nº 63/2026 – PREFEITO DO MUNICÍPIO DE OSASCO -</t>
    </r>
    <r>
      <rPr>
        <sz val="11"/>
        <color theme="1"/>
        <rFont val="Arial"/>
        <family val="2"/>
      </rPr>
      <t xml:space="preserve"> Altera a Lei nº 5.157, de 15 de dezembro de 2021, que dispõe sobre o Programa Nosso Futuro, e dá outras providências.</t>
    </r>
  </si>
  <si>
    <r>
      <t>PROJETO DE DECRETO LEGISLATIVO Nº 9/2026 – MESA DIRETORA -</t>
    </r>
    <r>
      <rPr>
        <sz val="11"/>
        <color theme="1"/>
        <rFont val="Arial"/>
        <family val="2"/>
      </rPr>
      <t xml:space="preserve"> Dispõe sobre a concessão do Prêmio Ana Paula Rossi – Mulher de Destaque 2026.</t>
    </r>
  </si>
  <si>
    <t>Vistas por 30 dias</t>
  </si>
  <si>
    <r>
      <t xml:space="preserve">PROJETO DE DECRETO LEGISLATIVO Nº 66/2025 – LÚCIA DA SAÚDE - </t>
    </r>
    <r>
      <rPr>
        <sz val="11"/>
        <color theme="1"/>
        <rFont val="Arial"/>
        <family val="2"/>
      </rPr>
      <t>Dispõe sobre a concessão de Placa Comemorativa à Igreja de Jesus Cristo dos Santos dos Últimos Dias.</t>
    </r>
  </si>
  <si>
    <r>
      <t xml:space="preserve">PROJETO DE DECRETO LEGISLATIVO Nº 87/2025 – ALEXANDRE CAPRIOTTI - </t>
    </r>
    <r>
      <rPr>
        <sz val="11"/>
        <color theme="1"/>
        <rFont val="Arial"/>
        <family val="2"/>
      </rPr>
      <t>Dispõe sobre a concessão de Diploma Líder Comunitário ao senhor Valdemilson da Conceição.</t>
    </r>
  </si>
  <si>
    <r>
      <t xml:space="preserve">PROJETO DE DECRETO LEGISLATIVO Nº 104/2025 – STEPHANE ROSSI - </t>
    </r>
    <r>
      <rPr>
        <sz val="11"/>
        <color theme="1"/>
        <rFont val="Arial"/>
        <family val="2"/>
      </rPr>
      <t>Dispõe sobre a concessão de Cartão de Prata ao Sr. Marco Antônio de Queiróz Pataro Moraes.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</si>
</sst>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6"/>
      <color rgb="FF00B05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A60" sqref="A60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7" t="s">
        <v>29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70"/>
      <c r="O1" s="70"/>
      <c r="P1" s="70"/>
      <c r="Q1" s="40">
        <v>1</v>
      </c>
      <c r="R1" s="36" t="s">
        <v>10</v>
      </c>
      <c r="T1" s="151"/>
      <c r="U1" s="151"/>
      <c r="V1" s="151"/>
      <c r="W1" s="151"/>
      <c r="X1" s="151"/>
      <c r="Y1" s="151"/>
      <c r="Z1" s="7" t="s">
        <v>16</v>
      </c>
    </row>
    <row r="2" spans="1:28" ht="19.5" customHeight="1">
      <c r="A2" s="83" t="s">
        <v>101</v>
      </c>
      <c r="B2" s="149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70"/>
      <c r="O2" s="70"/>
      <c r="P2" s="70"/>
      <c r="Q2" s="35">
        <v>2</v>
      </c>
      <c r="R2" s="36" t="s">
        <v>11</v>
      </c>
      <c r="T2" s="151"/>
      <c r="U2" s="151"/>
      <c r="V2" s="151"/>
      <c r="W2" s="151"/>
      <c r="X2" s="151"/>
      <c r="Y2" s="151"/>
      <c r="Z2" s="7" t="s">
        <v>17</v>
      </c>
    </row>
    <row r="3" spans="1:28" ht="19.5" customHeight="1" thickBot="1">
      <c r="A3" s="83" t="s">
        <v>102</v>
      </c>
      <c r="B3" s="149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70"/>
      <c r="O3" s="70"/>
      <c r="P3" s="70"/>
      <c r="Q3" s="41">
        <v>3</v>
      </c>
      <c r="R3" s="37" t="s">
        <v>12</v>
      </c>
      <c r="T3" s="151"/>
      <c r="U3" s="151"/>
      <c r="V3" s="151"/>
      <c r="W3" s="151"/>
      <c r="X3" s="151"/>
      <c r="Y3" s="151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1"/>
      <c r="U4" s="151"/>
      <c r="V4" s="151"/>
      <c r="W4" s="151"/>
      <c r="X4" s="151"/>
      <c r="Y4" s="151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51"/>
      <c r="U5" s="151"/>
      <c r="V5" s="151"/>
      <c r="W5" s="151"/>
      <c r="X5" s="151"/>
      <c r="Y5" s="151"/>
    </row>
    <row r="6" spans="1:28" ht="18" customHeight="1">
      <c r="A6" s="46" t="s">
        <v>66</v>
      </c>
      <c r="B6" s="88">
        <v>1</v>
      </c>
      <c r="C6" s="62" t="s">
        <v>52</v>
      </c>
      <c r="D6" s="63"/>
      <c r="E6" s="102"/>
      <c r="F6" s="88">
        <v>1</v>
      </c>
      <c r="G6" s="62" t="s">
        <v>52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51"/>
      <c r="U6" s="151"/>
      <c r="V6" s="151"/>
      <c r="W6" s="151"/>
      <c r="X6" s="151"/>
      <c r="Y6" s="151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51"/>
      <c r="U7" s="151"/>
      <c r="V7" s="151"/>
      <c r="W7" s="151"/>
      <c r="X7" s="151"/>
      <c r="Y7" s="151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51"/>
      <c r="U8" s="151"/>
      <c r="V8" s="151"/>
      <c r="W8" s="151"/>
      <c r="X8" s="151"/>
      <c r="Y8" s="151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51"/>
      <c r="U9" s="151"/>
      <c r="V9" s="151"/>
      <c r="W9" s="151"/>
      <c r="X9" s="151"/>
      <c r="Y9" s="151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2</v>
      </c>
      <c r="G10" s="102" t="s">
        <v>53</v>
      </c>
      <c r="H10" s="63"/>
      <c r="I10" s="62"/>
      <c r="J10" s="63">
        <v>1</v>
      </c>
      <c r="K10" s="62" t="s">
        <v>52</v>
      </c>
      <c r="L10" s="67"/>
      <c r="M10" s="65"/>
      <c r="N10" s="63"/>
      <c r="O10" s="62"/>
      <c r="P10" s="63"/>
      <c r="Q10" s="63"/>
      <c r="R10" s="62"/>
      <c r="S10" s="89"/>
      <c r="T10" s="151"/>
      <c r="U10" s="151"/>
      <c r="V10" s="151"/>
      <c r="W10" s="151"/>
      <c r="X10" s="151"/>
      <c r="Y10" s="151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51"/>
      <c r="U11" s="151"/>
      <c r="V11" s="151"/>
      <c r="W11" s="151"/>
      <c r="X11" s="151"/>
      <c r="Y11" s="151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51"/>
      <c r="U12" s="151"/>
      <c r="V12" s="151"/>
      <c r="W12" s="151"/>
      <c r="X12" s="151"/>
      <c r="Y12" s="151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102"/>
      <c r="F13" s="88">
        <v>2</v>
      </c>
      <c r="G13" s="102" t="s">
        <v>53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51"/>
      <c r="U13" s="151"/>
      <c r="V13" s="151"/>
      <c r="W13" s="151"/>
      <c r="X13" s="151"/>
      <c r="Y13" s="151"/>
    </row>
    <row r="14" spans="1:28" ht="18" customHeight="1">
      <c r="A14" s="46" t="s">
        <v>57</v>
      </c>
      <c r="B14" s="88">
        <v>2</v>
      </c>
      <c r="C14" s="102" t="s">
        <v>53</v>
      </c>
      <c r="D14" s="63"/>
      <c r="E14" s="102"/>
      <c r="F14" s="88">
        <v>1</v>
      </c>
      <c r="G14" s="62" t="s">
        <v>52</v>
      </c>
      <c r="H14" s="63"/>
      <c r="I14" s="62"/>
      <c r="J14" s="63">
        <v>2</v>
      </c>
      <c r="K14" s="102" t="s">
        <v>53</v>
      </c>
      <c r="L14" s="67"/>
      <c r="M14" s="65"/>
      <c r="N14" s="63"/>
      <c r="O14" s="62"/>
      <c r="P14" s="63"/>
      <c r="Q14" s="63"/>
      <c r="R14" s="102"/>
      <c r="S14" s="91"/>
      <c r="T14" s="151"/>
      <c r="U14" s="151"/>
      <c r="V14" s="151"/>
      <c r="W14" s="151"/>
      <c r="X14" s="151"/>
      <c r="Y14" s="151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2</v>
      </c>
      <c r="K15" s="102" t="s">
        <v>53</v>
      </c>
      <c r="L15" s="67"/>
      <c r="M15" s="65"/>
      <c r="N15" s="63"/>
      <c r="O15" s="62"/>
      <c r="P15" s="63"/>
      <c r="Q15" s="63"/>
      <c r="R15" s="102"/>
      <c r="S15" s="91"/>
      <c r="T15" s="151"/>
      <c r="U15" s="151"/>
      <c r="V15" s="151"/>
      <c r="W15" s="151"/>
      <c r="X15" s="151"/>
      <c r="Y15" s="151"/>
    </row>
    <row r="16" spans="1:28" ht="18" customHeight="1">
      <c r="A16" s="46" t="s">
        <v>59</v>
      </c>
      <c r="B16" s="88">
        <v>2</v>
      </c>
      <c r="C16" s="102" t="s">
        <v>53</v>
      </c>
      <c r="D16" s="63"/>
      <c r="E16" s="102"/>
      <c r="F16" s="88">
        <v>2</v>
      </c>
      <c r="G16" s="102" t="s">
        <v>53</v>
      </c>
      <c r="H16" s="63"/>
      <c r="I16" s="62"/>
      <c r="J16" s="63">
        <v>2</v>
      </c>
      <c r="K16" s="102" t="s">
        <v>53</v>
      </c>
      <c r="L16" s="67"/>
      <c r="M16" s="65"/>
      <c r="N16" s="63"/>
      <c r="O16" s="62"/>
      <c r="P16" s="63"/>
      <c r="Q16" s="63"/>
      <c r="R16" s="102"/>
      <c r="S16" s="91"/>
      <c r="T16" s="151"/>
      <c r="U16" s="151"/>
      <c r="V16" s="151"/>
      <c r="W16" s="151"/>
      <c r="X16" s="151"/>
      <c r="Y16" s="151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102"/>
      <c r="F17" s="88">
        <v>2</v>
      </c>
      <c r="G17" s="102" t="s">
        <v>53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51"/>
      <c r="U17" s="151"/>
      <c r="V17" s="151"/>
      <c r="W17" s="151"/>
      <c r="X17" s="151"/>
      <c r="Y17" s="151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2</v>
      </c>
      <c r="G18" s="102" t="s">
        <v>53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51"/>
      <c r="U18" s="151"/>
      <c r="V18" s="151"/>
      <c r="W18" s="151"/>
      <c r="X18" s="151"/>
      <c r="Y18" s="151"/>
    </row>
    <row r="19" spans="1:28" ht="18" customHeight="1">
      <c r="A19" s="46" t="s">
        <v>94</v>
      </c>
      <c r="B19" s="88">
        <v>2</v>
      </c>
      <c r="C19" s="102" t="s">
        <v>53</v>
      </c>
      <c r="D19" s="63"/>
      <c r="E19" s="62"/>
      <c r="F19" s="88">
        <v>2</v>
      </c>
      <c r="G19" s="102" t="s">
        <v>53</v>
      </c>
      <c r="H19" s="63"/>
      <c r="I19" s="62"/>
      <c r="J19" s="63">
        <v>1</v>
      </c>
      <c r="K19" s="62" t="s">
        <v>52</v>
      </c>
      <c r="L19" s="67"/>
      <c r="M19" s="65"/>
      <c r="N19" s="63"/>
      <c r="O19" s="62"/>
      <c r="P19" s="63"/>
      <c r="Q19" s="63"/>
      <c r="R19" s="102"/>
      <c r="S19" s="91"/>
      <c r="T19" s="151"/>
      <c r="U19" s="151"/>
      <c r="V19" s="151"/>
      <c r="W19" s="151"/>
      <c r="X19" s="151"/>
      <c r="Y19" s="151"/>
    </row>
    <row r="20" spans="1:28" ht="18" customHeight="1">
      <c r="A20" s="46" t="s">
        <v>26</v>
      </c>
      <c r="B20" s="88">
        <v>1</v>
      </c>
      <c r="C20" s="62" t="s">
        <v>52</v>
      </c>
      <c r="D20" s="63"/>
      <c r="E20" s="102"/>
      <c r="F20" s="88">
        <v>1</v>
      </c>
      <c r="G20" s="62" t="s">
        <v>52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51"/>
      <c r="U20" s="151"/>
      <c r="V20" s="151"/>
      <c r="W20" s="151"/>
      <c r="X20" s="151"/>
      <c r="Y20" s="151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51"/>
      <c r="U21" s="151"/>
      <c r="V21" s="151"/>
      <c r="W21" s="151"/>
      <c r="X21" s="151"/>
      <c r="Y21" s="151"/>
    </row>
    <row r="22" spans="1:28" ht="18" customHeight="1">
      <c r="A22" s="46" t="s">
        <v>67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1</v>
      </c>
      <c r="K22" s="62" t="s">
        <v>52</v>
      </c>
      <c r="L22" s="67"/>
      <c r="M22" s="65"/>
      <c r="N22" s="63"/>
      <c r="O22" s="62"/>
      <c r="P22" s="63"/>
      <c r="Q22" s="63"/>
      <c r="R22" s="102"/>
      <c r="S22" s="91"/>
      <c r="T22" s="151"/>
      <c r="U22" s="151"/>
      <c r="V22" s="151"/>
      <c r="W22" s="151"/>
      <c r="X22" s="151"/>
      <c r="Y22" s="151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51"/>
      <c r="U23" s="151"/>
      <c r="V23" s="151"/>
      <c r="W23" s="151"/>
      <c r="X23" s="151"/>
      <c r="Y23" s="151"/>
    </row>
    <row r="24" spans="1:28" ht="20.25">
      <c r="A24" s="46" t="s">
        <v>88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2</v>
      </c>
      <c r="K24" s="102" t="s">
        <v>53</v>
      </c>
      <c r="L24" s="67"/>
      <c r="M24" s="65"/>
      <c r="N24" s="63"/>
      <c r="O24" s="62"/>
      <c r="P24" s="63"/>
      <c r="Q24" s="63"/>
      <c r="R24" s="102"/>
      <c r="S24" s="91"/>
      <c r="T24" s="151"/>
      <c r="U24" s="151"/>
      <c r="V24" s="151"/>
      <c r="W24" s="151"/>
      <c r="X24" s="151"/>
      <c r="Y24" s="151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51"/>
      <c r="U25" s="151"/>
      <c r="V25" s="151"/>
      <c r="W25" s="151"/>
      <c r="X25" s="151"/>
      <c r="Y25" s="151"/>
    </row>
    <row r="26" spans="1:28" ht="16.5" thickBot="1">
      <c r="A26" s="38" t="s">
        <v>13</v>
      </c>
      <c r="B26" s="98">
        <v>9</v>
      </c>
      <c r="C26" s="96" t="s">
        <v>46</v>
      </c>
      <c r="D26" s="98"/>
      <c r="E26" s="96" t="s">
        <v>46</v>
      </c>
      <c r="F26" s="98">
        <v>11</v>
      </c>
      <c r="G26" s="96" t="s">
        <v>46</v>
      </c>
      <c r="H26" s="100"/>
      <c r="I26" s="101"/>
      <c r="J26" s="98">
        <v>14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12</v>
      </c>
      <c r="C27" s="96" t="s">
        <v>47</v>
      </c>
      <c r="D27" s="98"/>
      <c r="E27" s="96" t="s">
        <v>47</v>
      </c>
      <c r="F27" s="98">
        <v>10</v>
      </c>
      <c r="G27" s="96" t="s">
        <v>47</v>
      </c>
      <c r="H27" s="100"/>
      <c r="I27" s="96"/>
      <c r="J27" s="98">
        <v>7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65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60</v>
      </c>
      <c r="V32" s="12"/>
      <c r="W32" s="12"/>
    </row>
    <row r="33" spans="1:23" ht="18">
      <c r="A33" s="34" t="s">
        <v>57</v>
      </c>
      <c r="V33" s="12"/>
      <c r="W33" s="12"/>
    </row>
    <row r="34" spans="1:23" ht="18">
      <c r="A34" s="34" t="s">
        <v>49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56</v>
      </c>
      <c r="V44" s="12"/>
      <c r="W44" s="12"/>
    </row>
    <row r="45" spans="1:23" ht="18">
      <c r="A45" s="34" t="s">
        <v>60</v>
      </c>
      <c r="V45" s="12"/>
      <c r="W45" s="12"/>
    </row>
    <row r="46" spans="1:23" ht="18">
      <c r="A46" s="34" t="s">
        <v>88</v>
      </c>
      <c r="V46" s="12"/>
      <c r="W46" s="12"/>
    </row>
    <row r="47" spans="1:23" ht="18">
      <c r="A47" s="34" t="s">
        <v>67</v>
      </c>
      <c r="V47" s="12"/>
      <c r="W47" s="12"/>
    </row>
    <row r="48" spans="1:23" ht="18">
      <c r="A48" s="34" t="s">
        <v>59</v>
      </c>
      <c r="B48" s="7"/>
      <c r="V48" s="12"/>
      <c r="W48" s="32"/>
    </row>
    <row r="49" spans="1:23" ht="18">
      <c r="A49" s="34" t="s">
        <v>94</v>
      </c>
      <c r="W49" s="12"/>
    </row>
    <row r="50" spans="1:23" ht="18">
      <c r="A50" s="34" t="s">
        <v>58</v>
      </c>
      <c r="W50" s="12"/>
    </row>
    <row r="51" spans="1:23" ht="18">
      <c r="A51" s="34" t="s">
        <v>25</v>
      </c>
      <c r="W51" s="12"/>
    </row>
    <row r="52" spans="1:23" ht="18">
      <c r="A52" s="34" t="s">
        <v>24</v>
      </c>
      <c r="W52" s="12"/>
    </row>
    <row r="53" spans="1:23" ht="18">
      <c r="A53" s="34"/>
      <c r="M53"/>
      <c r="W53" s="12"/>
    </row>
    <row r="54" spans="1:23" ht="15.75">
      <c r="A54" s="5" t="s">
        <v>35</v>
      </c>
      <c r="M54"/>
      <c r="W54" s="12"/>
    </row>
    <row r="55" spans="1:23" ht="18">
      <c r="A55" s="34" t="s">
        <v>23</v>
      </c>
    </row>
    <row r="56" spans="1:23" ht="18">
      <c r="A56" s="34" t="s">
        <v>57</v>
      </c>
    </row>
    <row r="57" spans="1:23" ht="18">
      <c r="A57" s="34" t="s">
        <v>59</v>
      </c>
    </row>
    <row r="58" spans="1:23" ht="18">
      <c r="A58" s="34" t="s">
        <v>25</v>
      </c>
    </row>
    <row r="59" spans="1:23" ht="18">
      <c r="A59" s="34" t="s">
        <v>88</v>
      </c>
    </row>
    <row r="60" spans="1:23" ht="18">
      <c r="A60" s="34" t="s">
        <v>58</v>
      </c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U39"/>
  <sheetViews>
    <sheetView workbookViewId="0">
      <pane xSplit="1" topLeftCell="B1" activePane="topRight" state="frozen"/>
      <selection pane="topRight" activeCell="T17" sqref="T17"/>
    </sheetView>
  </sheetViews>
  <sheetFormatPr defaultColWidth="9.140625" defaultRowHeight="12.75"/>
  <cols>
    <col min="1" max="1" width="47.7109375" style="22" customWidth="1"/>
    <col min="2" max="9" width="23.7109375" style="22" customWidth="1"/>
    <col min="10" max="10" width="19" style="22" customWidth="1"/>
    <col min="11" max="11" width="26.28515625" style="22" customWidth="1"/>
    <col min="12" max="12" width="22.140625" style="22" customWidth="1"/>
    <col min="13" max="21" width="22.7109375" style="22" customWidth="1"/>
    <col min="22" max="16384" width="9.140625" style="22"/>
  </cols>
  <sheetData>
    <row r="1" spans="1:21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21" ht="15">
      <c r="A2" s="76" t="s">
        <v>101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21" ht="17.25" customHeight="1">
      <c r="A3" s="76" t="s">
        <v>102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21" ht="63" customHeight="1">
      <c r="A4" s="51" t="str">
        <f>'[1]MOÇÃO E REQUERIMENTO'!B7</f>
        <v>EXPEDIENTE</v>
      </c>
      <c r="B4" s="50" t="s">
        <v>45</v>
      </c>
      <c r="C4" s="117" t="s">
        <v>103</v>
      </c>
      <c r="D4" s="117" t="s">
        <v>104</v>
      </c>
      <c r="E4" s="117" t="s">
        <v>105</v>
      </c>
      <c r="F4" s="117" t="s">
        <v>106</v>
      </c>
      <c r="G4" s="117" t="s">
        <v>107</v>
      </c>
      <c r="H4" s="117" t="s">
        <v>108</v>
      </c>
      <c r="I4" s="117" t="s">
        <v>109</v>
      </c>
      <c r="J4" s="112" t="s">
        <v>34</v>
      </c>
      <c r="K4" s="124"/>
      <c r="L4" s="50" t="s">
        <v>27</v>
      </c>
      <c r="M4" s="84" t="s">
        <v>110</v>
      </c>
      <c r="N4" s="84" t="s">
        <v>112</v>
      </c>
      <c r="O4" s="84" t="s">
        <v>97</v>
      </c>
      <c r="P4" s="84" t="s">
        <v>113</v>
      </c>
      <c r="Q4" s="84" t="s">
        <v>114</v>
      </c>
      <c r="R4" s="84" t="s">
        <v>115</v>
      </c>
      <c r="S4" s="84" t="s">
        <v>116</v>
      </c>
      <c r="T4" s="84" t="s">
        <v>118</v>
      </c>
      <c r="U4" s="84" t="s">
        <v>120</v>
      </c>
    </row>
    <row r="5" spans="1:21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113"/>
      <c r="M5" s="118" t="s">
        <v>111</v>
      </c>
      <c r="N5" s="113" t="s">
        <v>95</v>
      </c>
      <c r="O5" s="113" t="s">
        <v>95</v>
      </c>
      <c r="P5" s="113" t="s">
        <v>95</v>
      </c>
      <c r="Q5" s="118" t="s">
        <v>111</v>
      </c>
      <c r="R5" s="113" t="s">
        <v>95</v>
      </c>
      <c r="S5" s="118" t="s">
        <v>117</v>
      </c>
      <c r="T5" s="118" t="s">
        <v>119</v>
      </c>
      <c r="U5" s="113" t="s">
        <v>95</v>
      </c>
    </row>
    <row r="6" spans="1:21" ht="15.75">
      <c r="A6" s="127" t="s">
        <v>51</v>
      </c>
      <c r="L6" s="23"/>
    </row>
    <row r="7" spans="1:21" ht="15.75">
      <c r="A7" s="127" t="s">
        <v>66</v>
      </c>
      <c r="L7" s="23"/>
    </row>
    <row r="8" spans="1:21" ht="15.75">
      <c r="A8" s="127" t="s">
        <v>54</v>
      </c>
      <c r="L8" s="23"/>
    </row>
    <row r="9" spans="1:21" ht="15.75">
      <c r="A9" s="128" t="s">
        <v>55</v>
      </c>
      <c r="L9" s="23"/>
    </row>
    <row r="10" spans="1:21" ht="15.75">
      <c r="A10" s="127" t="s">
        <v>28</v>
      </c>
      <c r="L10" s="23"/>
    </row>
    <row r="11" spans="1:21" ht="15.75">
      <c r="A11" s="127" t="s">
        <v>56</v>
      </c>
      <c r="L11" s="23"/>
    </row>
    <row r="12" spans="1:21" ht="15.75">
      <c r="A12" s="127" t="s">
        <v>22</v>
      </c>
      <c r="L12" s="23"/>
    </row>
    <row r="13" spans="1:21" ht="15.75">
      <c r="A13" s="127" t="s">
        <v>23</v>
      </c>
      <c r="L13" s="23"/>
    </row>
    <row r="14" spans="1:21" ht="15.75">
      <c r="A14" s="127" t="s">
        <v>24</v>
      </c>
      <c r="L14" s="23"/>
    </row>
    <row r="15" spans="1:21" ht="15.75">
      <c r="A15" s="127" t="s">
        <v>57</v>
      </c>
      <c r="L15" s="23"/>
    </row>
    <row r="16" spans="1:21" ht="15.75">
      <c r="A16" s="127" t="s">
        <v>58</v>
      </c>
      <c r="L16" s="23"/>
    </row>
    <row r="17" spans="1:12" ht="15.75">
      <c r="A17" s="127" t="s">
        <v>59</v>
      </c>
      <c r="L17" s="23"/>
    </row>
    <row r="18" spans="1:12" ht="15.75">
      <c r="A18" s="127" t="s">
        <v>25</v>
      </c>
      <c r="L18" s="23"/>
    </row>
    <row r="19" spans="1:12" ht="15.75">
      <c r="A19" s="127" t="s">
        <v>60</v>
      </c>
      <c r="L19" s="23"/>
    </row>
    <row r="20" spans="1:12" ht="15.75">
      <c r="A20" s="127" t="s">
        <v>94</v>
      </c>
      <c r="L20" s="23"/>
    </row>
    <row r="21" spans="1:12" ht="15.75">
      <c r="A21" s="127" t="s">
        <v>26</v>
      </c>
      <c r="L21" s="23"/>
    </row>
    <row r="22" spans="1:12" ht="15.75">
      <c r="A22" s="127" t="s">
        <v>61</v>
      </c>
      <c r="L22" s="23"/>
    </row>
    <row r="23" spans="1:12" ht="15.75">
      <c r="A23" s="127" t="s">
        <v>67</v>
      </c>
      <c r="L23" s="23"/>
    </row>
    <row r="24" spans="1:12" ht="15.75">
      <c r="A24" s="127" t="s">
        <v>49</v>
      </c>
      <c r="L24" s="23"/>
    </row>
    <row r="25" spans="1:12" ht="15.75">
      <c r="A25" s="127" t="s">
        <v>88</v>
      </c>
      <c r="L25" s="23"/>
    </row>
    <row r="26" spans="1:12" ht="15.75">
      <c r="A26" s="127" t="s">
        <v>62</v>
      </c>
      <c r="L26" s="23"/>
    </row>
    <row r="27" spans="1:12" s="25" customFormat="1">
      <c r="A27" s="24" t="s">
        <v>18</v>
      </c>
    </row>
    <row r="28" spans="1:12" s="27" customFormat="1">
      <c r="A28" s="26" t="s">
        <v>19</v>
      </c>
    </row>
    <row r="29" spans="1:12">
      <c r="A29" s="28" t="s">
        <v>11</v>
      </c>
    </row>
    <row r="30" spans="1:12" s="30" customFormat="1">
      <c r="A30" s="29" t="s">
        <v>20</v>
      </c>
    </row>
    <row r="32" spans="1:12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F14" sqref="F1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101</v>
      </c>
      <c r="B2" s="49"/>
      <c r="C2" s="74"/>
    </row>
    <row r="3" spans="1:45" ht="17.25" customHeight="1">
      <c r="A3" s="76" t="s">
        <v>102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4"/>
      <c r="D5" s="79"/>
      <c r="E5" s="113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/>
      <c r="F6" s="143"/>
    </row>
    <row r="7" spans="1:45" ht="20.25">
      <c r="A7" s="46" t="s">
        <v>66</v>
      </c>
      <c r="C7" s="107"/>
      <c r="E7" s="107"/>
    </row>
    <row r="8" spans="1:45" ht="20.25">
      <c r="A8" s="46" t="s">
        <v>54</v>
      </c>
      <c r="C8" s="107"/>
      <c r="E8" s="107"/>
    </row>
    <row r="9" spans="1:45" ht="20.25">
      <c r="A9" s="82" t="s">
        <v>55</v>
      </c>
      <c r="C9" s="114"/>
      <c r="E9" s="114"/>
    </row>
    <row r="10" spans="1:45" ht="20.25">
      <c r="A10" s="46" t="s">
        <v>28</v>
      </c>
      <c r="C10" s="114"/>
      <c r="E10" s="107"/>
    </row>
    <row r="11" spans="1:45" ht="20.25">
      <c r="A11" s="46" t="s">
        <v>56</v>
      </c>
      <c r="C11" s="114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14"/>
      <c r="E13" s="114"/>
    </row>
    <row r="14" spans="1:45" ht="20.25">
      <c r="A14" s="46" t="s">
        <v>24</v>
      </c>
      <c r="C14" s="107"/>
      <c r="E14" s="107"/>
    </row>
    <row r="15" spans="1:45" ht="20.25">
      <c r="A15" s="46" t="s">
        <v>57</v>
      </c>
      <c r="C15" s="114"/>
      <c r="E15" s="107"/>
    </row>
    <row r="16" spans="1:45" ht="20.25">
      <c r="A16" s="46" t="s">
        <v>58</v>
      </c>
      <c r="C16" s="107"/>
      <c r="E16" s="107"/>
    </row>
    <row r="17" spans="1:130" ht="20.25">
      <c r="A17" s="46" t="s">
        <v>59</v>
      </c>
      <c r="C17" s="145"/>
      <c r="E17" s="114"/>
    </row>
    <row r="18" spans="1:130" ht="20.25">
      <c r="A18" s="46" t="s">
        <v>25</v>
      </c>
      <c r="C18" s="107"/>
      <c r="E18" s="107"/>
    </row>
    <row r="19" spans="1:130" ht="20.25">
      <c r="A19" s="46" t="s">
        <v>60</v>
      </c>
      <c r="C19" s="107"/>
      <c r="E19" s="107"/>
    </row>
    <row r="20" spans="1:130" ht="20.25">
      <c r="A20" s="46" t="s">
        <v>94</v>
      </c>
      <c r="C20" s="107"/>
      <c r="E20" s="107"/>
    </row>
    <row r="21" spans="1:130" ht="20.25">
      <c r="A21" s="46" t="s">
        <v>26</v>
      </c>
      <c r="C21" s="107"/>
      <c r="E21" s="114"/>
    </row>
    <row r="22" spans="1:130" ht="20.25">
      <c r="A22" s="46" t="s">
        <v>61</v>
      </c>
      <c r="C22" s="107"/>
      <c r="E22" s="107"/>
    </row>
    <row r="23" spans="1:130" ht="20.25">
      <c r="A23" s="46" t="s">
        <v>67</v>
      </c>
      <c r="C23" s="114"/>
      <c r="E23" s="107"/>
    </row>
    <row r="24" spans="1:130" ht="20.25">
      <c r="A24" s="46" t="s">
        <v>49</v>
      </c>
      <c r="C24" s="107"/>
      <c r="E24" s="107"/>
    </row>
    <row r="25" spans="1:130" ht="20.25">
      <c r="A25" s="46" t="s">
        <v>88</v>
      </c>
      <c r="C25" s="107"/>
      <c r="E25" s="107"/>
    </row>
    <row r="26" spans="1:130" ht="20.25">
      <c r="A26" s="46" t="s">
        <v>62</v>
      </c>
      <c r="C26" s="107"/>
      <c r="E26" s="107"/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1">COUNTIF(C6:C26,"não")</f>
        <v>0</v>
      </c>
      <c r="D28"/>
      <c r="E28" s="104">
        <f t="shared" ref="E28" si="2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3">COUNTIF(C6:C26,"ausente")</f>
        <v>0</v>
      </c>
      <c r="E29" s="40">
        <f t="shared" ref="E29" si="4">COUNTIF(E6:E26,"ausente")</f>
        <v>0</v>
      </c>
    </row>
    <row r="30" spans="1:130" s="20" customFormat="1" ht="15.75">
      <c r="A30" s="19" t="s">
        <v>20</v>
      </c>
      <c r="B30"/>
      <c r="C30" s="105">
        <f t="shared" ref="C30" si="5">COUNTIF(C6:C26,"abstenção")</f>
        <v>0</v>
      </c>
      <c r="D30"/>
      <c r="E30" s="105">
        <f t="shared" ref="E30" si="6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G10" sqref="G10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39" t="s">
        <v>122</v>
      </c>
      <c r="D4" s="139" t="s">
        <v>96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13" t="s">
        <v>98</v>
      </c>
      <c r="D5" s="113" t="s">
        <v>98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51</v>
      </c>
      <c r="C6" s="107" t="s">
        <v>99</v>
      </c>
      <c r="D6" s="107" t="s">
        <v>99</v>
      </c>
      <c r="V6" s="7"/>
      <c r="W6" s="7"/>
    </row>
    <row r="7" spans="1:30" ht="18">
      <c r="A7" s="129" t="s">
        <v>66</v>
      </c>
      <c r="C7" s="107" t="s">
        <v>99</v>
      </c>
      <c r="D7" s="107" t="s">
        <v>99</v>
      </c>
      <c r="V7" s="7"/>
      <c r="W7" s="7"/>
    </row>
    <row r="8" spans="1:30" ht="18">
      <c r="A8" s="129" t="s">
        <v>54</v>
      </c>
      <c r="C8" s="107" t="s">
        <v>99</v>
      </c>
      <c r="D8" s="107" t="s">
        <v>99</v>
      </c>
      <c r="V8" s="7"/>
      <c r="W8" s="7"/>
    </row>
    <row r="9" spans="1:30" ht="18">
      <c r="A9" s="130" t="s">
        <v>55</v>
      </c>
      <c r="C9" s="114" t="s">
        <v>100</v>
      </c>
      <c r="D9" s="114" t="s">
        <v>100</v>
      </c>
      <c r="V9" s="7"/>
      <c r="W9" s="7"/>
    </row>
    <row r="10" spans="1:30" ht="18">
      <c r="A10" s="129" t="s">
        <v>28</v>
      </c>
      <c r="C10" s="107" t="s">
        <v>99</v>
      </c>
      <c r="D10" s="107" t="s">
        <v>99</v>
      </c>
      <c r="V10" s="7"/>
      <c r="W10" s="7"/>
    </row>
    <row r="11" spans="1:30" ht="18">
      <c r="A11" s="129" t="s">
        <v>56</v>
      </c>
      <c r="C11" s="107" t="s">
        <v>99</v>
      </c>
      <c r="D11" s="107" t="s">
        <v>99</v>
      </c>
      <c r="V11" s="7"/>
      <c r="W11" s="7"/>
    </row>
    <row r="12" spans="1:30" ht="18">
      <c r="A12" s="129" t="s">
        <v>22</v>
      </c>
      <c r="C12" s="107" t="s">
        <v>99</v>
      </c>
      <c r="D12" s="107" t="s">
        <v>99</v>
      </c>
      <c r="V12" s="7"/>
      <c r="W12" s="7"/>
    </row>
    <row r="13" spans="1:30" ht="18">
      <c r="A13" s="129" t="s">
        <v>23</v>
      </c>
      <c r="C13" s="114" t="s">
        <v>53</v>
      </c>
      <c r="D13" s="107" t="s">
        <v>99</v>
      </c>
      <c r="V13" s="7"/>
      <c r="W13" s="7"/>
    </row>
    <row r="14" spans="1:30" ht="18">
      <c r="A14" s="129" t="s">
        <v>24</v>
      </c>
      <c r="C14" s="107" t="s">
        <v>99</v>
      </c>
      <c r="D14" s="107" t="s">
        <v>99</v>
      </c>
      <c r="V14" s="7"/>
      <c r="W14" s="7"/>
    </row>
    <row r="15" spans="1:30" ht="18">
      <c r="A15" s="129" t="s">
        <v>57</v>
      </c>
      <c r="C15" s="107" t="s">
        <v>99</v>
      </c>
      <c r="D15" s="114" t="s">
        <v>53</v>
      </c>
      <c r="V15" s="7"/>
      <c r="W15" s="7"/>
    </row>
    <row r="16" spans="1:30" ht="18">
      <c r="A16" s="129" t="s">
        <v>58</v>
      </c>
      <c r="C16" s="107" t="s">
        <v>99</v>
      </c>
      <c r="D16" s="107" t="s">
        <v>99</v>
      </c>
      <c r="V16" s="7"/>
      <c r="W16" s="7"/>
    </row>
    <row r="17" spans="1:124" ht="15" customHeight="1">
      <c r="A17" s="129" t="s">
        <v>59</v>
      </c>
      <c r="C17" s="114" t="s">
        <v>121</v>
      </c>
      <c r="D17" s="107" t="s">
        <v>99</v>
      </c>
      <c r="U17" s="8"/>
      <c r="V17" s="7"/>
      <c r="W17" s="7"/>
    </row>
    <row r="18" spans="1:124" ht="18">
      <c r="A18" s="129" t="s">
        <v>25</v>
      </c>
      <c r="C18" s="107" t="s">
        <v>99</v>
      </c>
      <c r="D18" s="107" t="s">
        <v>99</v>
      </c>
      <c r="V18" s="7"/>
      <c r="W18" s="7"/>
    </row>
    <row r="19" spans="1:124" ht="18">
      <c r="A19" s="129" t="s">
        <v>60</v>
      </c>
      <c r="C19" s="107" t="s">
        <v>99</v>
      </c>
      <c r="D19" s="107" t="s">
        <v>99</v>
      </c>
      <c r="V19" s="7"/>
      <c r="W19" s="7"/>
    </row>
    <row r="20" spans="1:124" ht="18">
      <c r="A20" s="129" t="s">
        <v>94</v>
      </c>
      <c r="C20" s="107" t="s">
        <v>99</v>
      </c>
      <c r="D20" s="107" t="s">
        <v>99</v>
      </c>
      <c r="V20" s="7"/>
      <c r="W20" s="7"/>
    </row>
    <row r="21" spans="1:124" ht="18">
      <c r="A21" s="129" t="s">
        <v>26</v>
      </c>
      <c r="C21" s="114" t="s">
        <v>53</v>
      </c>
      <c r="D21" s="114" t="s">
        <v>53</v>
      </c>
      <c r="V21" s="7"/>
      <c r="W21" s="7"/>
    </row>
    <row r="22" spans="1:124" ht="18">
      <c r="A22" s="129" t="s">
        <v>61</v>
      </c>
      <c r="C22" s="107" t="s">
        <v>99</v>
      </c>
      <c r="D22" s="107" t="s">
        <v>99</v>
      </c>
      <c r="V22" s="7"/>
      <c r="W22" s="7"/>
    </row>
    <row r="23" spans="1:124" ht="18">
      <c r="A23" s="129" t="s">
        <v>67</v>
      </c>
      <c r="C23" s="107" t="s">
        <v>99</v>
      </c>
      <c r="D23" s="107" t="s">
        <v>99</v>
      </c>
      <c r="V23" s="7"/>
      <c r="W23" s="7"/>
    </row>
    <row r="24" spans="1:124" ht="18">
      <c r="A24" s="129" t="s">
        <v>49</v>
      </c>
      <c r="C24" s="107" t="s">
        <v>99</v>
      </c>
      <c r="D24" s="107" t="s">
        <v>99</v>
      </c>
      <c r="V24" s="7"/>
      <c r="W24" s="7"/>
    </row>
    <row r="25" spans="1:124" ht="18">
      <c r="A25" s="129" t="s">
        <v>88</v>
      </c>
      <c r="C25" s="107" t="s">
        <v>99</v>
      </c>
      <c r="D25" s="107" t="s">
        <v>99</v>
      </c>
      <c r="V25" s="7"/>
      <c r="W25" s="7"/>
    </row>
    <row r="26" spans="1:124" ht="18">
      <c r="A26" s="129" t="s">
        <v>62</v>
      </c>
      <c r="C26" s="107" t="s">
        <v>99</v>
      </c>
      <c r="D26" s="107" t="s">
        <v>99</v>
      </c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3">
        <f t="shared" ref="C27:D27" si="1">COUNTIF(C6:C26,"sim")</f>
        <v>17</v>
      </c>
      <c r="D27" s="103">
        <f t="shared" si="1"/>
        <v>18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" si="6">COUNTIF(B6:B26,"não")</f>
        <v>0</v>
      </c>
      <c r="C28" s="104">
        <f t="shared" ref="C28:D28" si="7">COUNTIF(C6:C26,"não")</f>
        <v>0</v>
      </c>
      <c r="D28" s="104">
        <f t="shared" si="7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" si="12">COUNTIF(B6:B26,"ausente")</f>
        <v>0</v>
      </c>
      <c r="C29" s="40">
        <f t="shared" ref="C29:D29" si="13">COUNTIF(C6:C26,"ausente")</f>
        <v>2</v>
      </c>
      <c r="D29" s="40">
        <f t="shared" si="13"/>
        <v>2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" si="18">COUNTIF(B6:B26,"abstenção")</f>
        <v>0</v>
      </c>
      <c r="C30" s="105">
        <f t="shared" ref="C30:D30" si="19">COUNTIF(C6:C26,"abstenção")</f>
        <v>1</v>
      </c>
      <c r="D30" s="105">
        <f t="shared" si="19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F38"/>
  <sheetViews>
    <sheetView tabSelected="1" workbookViewId="0">
      <pane xSplit="1" topLeftCell="B1" activePane="topRight" state="frozen"/>
      <selection pane="topRight" activeCell="I11" sqref="I11"/>
    </sheetView>
  </sheetViews>
  <sheetFormatPr defaultRowHeight="15"/>
  <cols>
    <col min="1" max="1" width="49.7109375" customWidth="1"/>
    <col min="2" max="2" width="22.85546875" customWidth="1"/>
    <col min="3" max="6" width="28.5703125" customWidth="1"/>
  </cols>
  <sheetData>
    <row r="1" spans="1:6">
      <c r="A1" s="76" t="s">
        <v>8</v>
      </c>
      <c r="B1" s="2"/>
    </row>
    <row r="2" spans="1:6">
      <c r="A2" s="76" t="s">
        <v>101</v>
      </c>
      <c r="B2" s="2"/>
    </row>
    <row r="3" spans="1:6" ht="15.75" thickBot="1">
      <c r="A3" s="121" t="s">
        <v>102</v>
      </c>
      <c r="B3" s="2"/>
    </row>
    <row r="4" spans="1:6" ht="78.75" customHeight="1" thickBot="1">
      <c r="A4" s="120" t="s">
        <v>5</v>
      </c>
      <c r="B4" s="111" t="s">
        <v>21</v>
      </c>
      <c r="C4" s="139" t="s">
        <v>123</v>
      </c>
      <c r="D4" s="139" t="s">
        <v>125</v>
      </c>
      <c r="E4" s="139" t="s">
        <v>126</v>
      </c>
      <c r="F4" s="139" t="s">
        <v>127</v>
      </c>
    </row>
    <row r="5" spans="1:6" s="6" customFormat="1" ht="60.75" customHeight="1">
      <c r="A5" s="122"/>
      <c r="B5" s="111"/>
      <c r="C5" s="146" t="s">
        <v>124</v>
      </c>
      <c r="D5" s="113" t="s">
        <v>98</v>
      </c>
      <c r="E5" s="113" t="s">
        <v>98</v>
      </c>
      <c r="F5" s="113" t="s">
        <v>98</v>
      </c>
    </row>
    <row r="6" spans="1:6" ht="15.75">
      <c r="A6" s="127" t="s">
        <v>51</v>
      </c>
      <c r="C6" s="107"/>
      <c r="D6" s="107" t="s">
        <v>99</v>
      </c>
      <c r="E6" s="107" t="s">
        <v>99</v>
      </c>
      <c r="F6" s="107" t="s">
        <v>99</v>
      </c>
    </row>
    <row r="7" spans="1:6" ht="15.75">
      <c r="A7" s="127" t="s">
        <v>66</v>
      </c>
      <c r="C7" s="107"/>
      <c r="D7" s="107" t="s">
        <v>99</v>
      </c>
      <c r="E7" s="107" t="s">
        <v>99</v>
      </c>
      <c r="F7" s="107" t="s">
        <v>99</v>
      </c>
    </row>
    <row r="8" spans="1:6" ht="15.75">
      <c r="A8" s="127" t="s">
        <v>54</v>
      </c>
      <c r="C8" s="107"/>
      <c r="D8" s="107" t="s">
        <v>99</v>
      </c>
      <c r="E8" s="107" t="s">
        <v>99</v>
      </c>
      <c r="F8" s="107" t="s">
        <v>99</v>
      </c>
    </row>
    <row r="9" spans="1:6" ht="15.75">
      <c r="A9" s="128" t="s">
        <v>55</v>
      </c>
      <c r="C9" s="107"/>
      <c r="D9" s="107" t="s">
        <v>99</v>
      </c>
      <c r="E9" s="107" t="s">
        <v>99</v>
      </c>
      <c r="F9" s="107" t="s">
        <v>99</v>
      </c>
    </row>
    <row r="10" spans="1:6" ht="15.75">
      <c r="A10" s="127" t="s">
        <v>28</v>
      </c>
      <c r="C10" s="107"/>
      <c r="D10" s="107" t="s">
        <v>99</v>
      </c>
      <c r="E10" s="107" t="s">
        <v>99</v>
      </c>
      <c r="F10" s="107" t="s">
        <v>99</v>
      </c>
    </row>
    <row r="11" spans="1:6" ht="15.75">
      <c r="A11" s="127" t="s">
        <v>56</v>
      </c>
      <c r="C11" s="114"/>
      <c r="D11" s="107" t="s">
        <v>99</v>
      </c>
      <c r="E11" s="107" t="s">
        <v>99</v>
      </c>
      <c r="F11" s="107" t="s">
        <v>99</v>
      </c>
    </row>
    <row r="12" spans="1:6" ht="15.75">
      <c r="A12" s="127" t="s">
        <v>22</v>
      </c>
      <c r="C12" s="107"/>
      <c r="D12" s="107" t="s">
        <v>99</v>
      </c>
      <c r="E12" s="107" t="s">
        <v>99</v>
      </c>
      <c r="F12" s="107" t="s">
        <v>99</v>
      </c>
    </row>
    <row r="13" spans="1:6" ht="15.75">
      <c r="A13" s="127" t="s">
        <v>23</v>
      </c>
      <c r="B13" s="138"/>
      <c r="C13" s="114"/>
      <c r="D13" s="107" t="s">
        <v>99</v>
      </c>
      <c r="E13" s="107" t="s">
        <v>99</v>
      </c>
      <c r="F13" s="107" t="s">
        <v>99</v>
      </c>
    </row>
    <row r="14" spans="1:6" ht="15.75">
      <c r="A14" s="127" t="s">
        <v>24</v>
      </c>
      <c r="C14" s="114"/>
      <c r="D14" s="107" t="s">
        <v>99</v>
      </c>
      <c r="E14" s="107" t="s">
        <v>99</v>
      </c>
      <c r="F14" s="107" t="s">
        <v>99</v>
      </c>
    </row>
    <row r="15" spans="1:6" ht="15.75">
      <c r="A15" s="127" t="s">
        <v>57</v>
      </c>
      <c r="C15" s="107"/>
      <c r="D15" s="107" t="s">
        <v>99</v>
      </c>
      <c r="E15" s="107" t="s">
        <v>99</v>
      </c>
      <c r="F15" s="107" t="s">
        <v>99</v>
      </c>
    </row>
    <row r="16" spans="1:6" ht="15.75">
      <c r="A16" s="127" t="s">
        <v>58</v>
      </c>
      <c r="C16" s="107"/>
      <c r="D16" s="114" t="s">
        <v>53</v>
      </c>
      <c r="E16" s="114" t="s">
        <v>53</v>
      </c>
      <c r="F16" s="114" t="s">
        <v>53</v>
      </c>
    </row>
    <row r="17" spans="1:6" ht="15.75">
      <c r="A17" s="127" t="s">
        <v>59</v>
      </c>
      <c r="C17" s="107"/>
      <c r="D17" s="107" t="s">
        <v>99</v>
      </c>
      <c r="E17" s="107" t="s">
        <v>99</v>
      </c>
      <c r="F17" s="107" t="s">
        <v>99</v>
      </c>
    </row>
    <row r="18" spans="1:6" ht="15.75">
      <c r="A18" s="127" t="s">
        <v>25</v>
      </c>
      <c r="C18" s="107"/>
      <c r="D18" s="107" t="s">
        <v>99</v>
      </c>
      <c r="E18" s="107" t="s">
        <v>99</v>
      </c>
      <c r="F18" s="107" t="s">
        <v>99</v>
      </c>
    </row>
    <row r="19" spans="1:6" ht="15.75">
      <c r="A19" s="127" t="s">
        <v>60</v>
      </c>
      <c r="C19" s="107"/>
      <c r="D19" s="107" t="s">
        <v>99</v>
      </c>
      <c r="E19" s="107" t="s">
        <v>99</v>
      </c>
      <c r="F19" s="107" t="s">
        <v>99</v>
      </c>
    </row>
    <row r="20" spans="1:6" ht="15.75">
      <c r="A20" s="127" t="s">
        <v>94</v>
      </c>
      <c r="C20" s="107"/>
      <c r="D20" s="107" t="s">
        <v>99</v>
      </c>
      <c r="E20" s="107" t="s">
        <v>99</v>
      </c>
      <c r="F20" s="107" t="s">
        <v>99</v>
      </c>
    </row>
    <row r="21" spans="1:6" ht="15.75">
      <c r="A21" s="127" t="s">
        <v>26</v>
      </c>
      <c r="C21" s="107"/>
      <c r="D21" s="114" t="s">
        <v>53</v>
      </c>
      <c r="E21" s="114" t="s">
        <v>53</v>
      </c>
      <c r="F21" s="114" t="s">
        <v>53</v>
      </c>
    </row>
    <row r="22" spans="1:6" ht="15.75">
      <c r="A22" s="127" t="s">
        <v>61</v>
      </c>
      <c r="C22" s="107"/>
      <c r="D22" s="107" t="s">
        <v>99</v>
      </c>
      <c r="E22" s="107" t="s">
        <v>99</v>
      </c>
      <c r="F22" s="107" t="s">
        <v>99</v>
      </c>
    </row>
    <row r="23" spans="1:6" ht="15.75">
      <c r="A23" s="127" t="s">
        <v>67</v>
      </c>
      <c r="C23" s="114"/>
      <c r="D23" s="107" t="s">
        <v>99</v>
      </c>
      <c r="E23" s="107" t="s">
        <v>99</v>
      </c>
      <c r="F23" s="107" t="s">
        <v>99</v>
      </c>
    </row>
    <row r="24" spans="1:6" ht="15.75">
      <c r="A24" s="127" t="s">
        <v>49</v>
      </c>
      <c r="C24" s="114"/>
      <c r="D24" s="107" t="s">
        <v>99</v>
      </c>
      <c r="E24" s="107" t="s">
        <v>99</v>
      </c>
      <c r="F24" s="107" t="s">
        <v>99</v>
      </c>
    </row>
    <row r="25" spans="1:6" ht="15.75">
      <c r="A25" s="127" t="s">
        <v>88</v>
      </c>
      <c r="C25" s="107"/>
      <c r="D25" s="107" t="s">
        <v>99</v>
      </c>
      <c r="E25" s="107" t="s">
        <v>99</v>
      </c>
      <c r="F25" s="107" t="s">
        <v>99</v>
      </c>
    </row>
    <row r="26" spans="1:6" ht="15.75">
      <c r="A26" s="127" t="s">
        <v>62</v>
      </c>
      <c r="C26" s="107"/>
      <c r="D26" s="107" t="s">
        <v>99</v>
      </c>
      <c r="E26" s="107" t="s">
        <v>99</v>
      </c>
      <c r="F26" s="107" t="s">
        <v>99</v>
      </c>
    </row>
    <row r="27" spans="1:6">
      <c r="C27" s="107"/>
      <c r="D27" s="107"/>
      <c r="E27" s="107"/>
      <c r="F27" s="107"/>
    </row>
    <row r="28" spans="1:6" ht="15.75">
      <c r="A28" s="15" t="s">
        <v>18</v>
      </c>
      <c r="B28" s="16">
        <f>COUNTIF(B6:B26,"sim")</f>
        <v>0</v>
      </c>
      <c r="C28" s="103">
        <f t="shared" ref="C28:E28" si="0">COUNTIF(C6:C26,"sim")</f>
        <v>0</v>
      </c>
      <c r="D28" s="103">
        <f t="shared" si="0"/>
        <v>19</v>
      </c>
      <c r="E28" s="103">
        <f t="shared" si="0"/>
        <v>19</v>
      </c>
      <c r="F28" s="103">
        <f t="shared" ref="E28:F28" si="1">COUNTIF(F6:F26,"sim")</f>
        <v>19</v>
      </c>
    </row>
    <row r="29" spans="1:6" ht="15.75">
      <c r="A29" s="17" t="s">
        <v>19</v>
      </c>
      <c r="B29" s="18">
        <f>COUNTIF(B6:B26,"não")</f>
        <v>0</v>
      </c>
      <c r="C29" s="104">
        <f t="shared" ref="C29:E29" si="2">COUNTIF(C6:C26,"não")</f>
        <v>0</v>
      </c>
      <c r="D29" s="104">
        <f t="shared" si="2"/>
        <v>0</v>
      </c>
      <c r="E29" s="104">
        <f t="shared" si="2"/>
        <v>0</v>
      </c>
      <c r="F29" s="104">
        <f t="shared" ref="E29:F29" si="3">COUNTIF(F6:F26,"não")</f>
        <v>0</v>
      </c>
    </row>
    <row r="30" spans="1:6" ht="15.75">
      <c r="A30" s="14" t="s">
        <v>11</v>
      </c>
      <c r="B30">
        <f>COUNTIF(B6:B26,"ausente")</f>
        <v>0</v>
      </c>
      <c r="C30" s="40">
        <f t="shared" ref="C30:E30" si="4">COUNTIF(C6:C26,"ausente")</f>
        <v>0</v>
      </c>
      <c r="D30" s="40">
        <f t="shared" si="4"/>
        <v>2</v>
      </c>
      <c r="E30" s="40">
        <f t="shared" si="4"/>
        <v>2</v>
      </c>
      <c r="F30" s="40">
        <f t="shared" ref="E30:F30" si="5">COUNTIF(F6:F26,"ausente")</f>
        <v>2</v>
      </c>
    </row>
    <row r="31" spans="1:6" ht="15.75">
      <c r="A31" s="19" t="s">
        <v>20</v>
      </c>
      <c r="B31" s="20">
        <f>COUNTIF(B6:B26,"abstenção")</f>
        <v>0</v>
      </c>
      <c r="C31" s="105">
        <f t="shared" ref="C31:E31" si="6">COUNTIF(C6:C26,"abstenção")</f>
        <v>0</v>
      </c>
      <c r="D31" s="105">
        <f t="shared" si="6"/>
        <v>0</v>
      </c>
      <c r="E31" s="105">
        <f t="shared" si="6"/>
        <v>0</v>
      </c>
      <c r="F31" s="105">
        <f t="shared" ref="E31:F31" si="7">COUNTIF(F6:F26,"abstenção")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101</v>
      </c>
      <c r="B2" s="2"/>
      <c r="C2" s="54"/>
      <c r="D2" s="54"/>
      <c r="E2" s="54"/>
    </row>
    <row r="3" spans="1:10" ht="15.75" thickBot="1">
      <c r="A3" s="121" t="s">
        <v>102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2" t="s">
        <v>89</v>
      </c>
      <c r="G4" s="142" t="s">
        <v>90</v>
      </c>
      <c r="H4" s="142" t="s">
        <v>91</v>
      </c>
      <c r="I4" s="142" t="s">
        <v>92</v>
      </c>
      <c r="J4" s="142" t="s">
        <v>93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66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94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67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88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101</v>
      </c>
      <c r="B2" s="2"/>
    </row>
    <row r="3" spans="1:23">
      <c r="A3" s="76" t="s">
        <v>102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68</v>
      </c>
      <c r="E4" s="106" t="s">
        <v>69</v>
      </c>
      <c r="F4" s="106" t="s">
        <v>70</v>
      </c>
      <c r="G4" s="106" t="s">
        <v>71</v>
      </c>
      <c r="H4" s="106" t="s">
        <v>72</v>
      </c>
      <c r="I4" s="106" t="s">
        <v>73</v>
      </c>
      <c r="J4" s="106" t="s">
        <v>74</v>
      </c>
      <c r="K4" s="106" t="s">
        <v>75</v>
      </c>
      <c r="L4" s="106" t="s">
        <v>76</v>
      </c>
      <c r="M4" s="106" t="s">
        <v>77</v>
      </c>
      <c r="N4" s="106" t="s">
        <v>78</v>
      </c>
      <c r="O4" s="106" t="s">
        <v>79</v>
      </c>
      <c r="P4" s="106" t="s">
        <v>80</v>
      </c>
      <c r="Q4" s="106" t="s">
        <v>81</v>
      </c>
      <c r="R4" s="106" t="s">
        <v>82</v>
      </c>
      <c r="S4" s="106" t="s">
        <v>83</v>
      </c>
      <c r="T4" s="106" t="s">
        <v>84</v>
      </c>
      <c r="U4" s="106" t="s">
        <v>85</v>
      </c>
      <c r="V4" s="106" t="s">
        <v>86</v>
      </c>
      <c r="W4" s="106" t="s">
        <v>87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66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94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67</v>
      </c>
    </row>
    <row r="24" spans="1:23" ht="15.75">
      <c r="A24" s="127" t="s">
        <v>49</v>
      </c>
    </row>
    <row r="25" spans="1:23" ht="15.75">
      <c r="A25" s="127" t="s">
        <v>88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2026-04-01T21:38:24Z</dcterms:modified>
</cp:coreProperties>
</file>