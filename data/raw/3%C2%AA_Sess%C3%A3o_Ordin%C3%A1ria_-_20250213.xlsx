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DFF1105-F905-4B6E-BA5A-E8B5F1456EB6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<sst xmlns="http://schemas.openxmlformats.org/spreadsheetml/2006/main" count="401" uniqueCount="118">
  <si>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</si>
  <si>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</si>
  <si>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</si>
  <si>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</si>
  <si>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</si>
  <si>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</si>
  <si>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</si>
  <si>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</si>
  <si>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</si>
  <si>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</si>
  <si>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</si>
  <si>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</si>
  <si>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</si>
  <si>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</si>
  <si>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</si>
  <si>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</si>
  <si>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</si>
  <si>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</si>
  <si>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</si>
  <si>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</si>
  <si>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</si>
  <si>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</si>
  <si>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 xml:space="preserve"> chamada abertura da sessão 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</si>
  <si>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</si>
  <si>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</si>
  <si>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</si>
  <si>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</si>
  <si>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</si>
  <si>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</si>
  <si>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</si>
  <si>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</si>
  <si>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</si>
  <si>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</si>
  <si>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</si>
  <si>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</si>
  <si>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</si>
  <si>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</si>
  <si>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</si>
  <si>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</si>
  <si>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</si>
  <si>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</si>
  <si>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</si>
  <si>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</si>
  <si>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</si>
  <si>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</si>
  <si>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</si>
  <si>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</si>
  <si>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</si>
  <si>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</si>
  <si>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</si>
  <si>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</si>
  <si>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</si>
  <si>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</si>
  <si>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</si>
  <si>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</si>
  <si>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</si>
  <si>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</si>
  <si>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</si>
  <si>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</si>
  <si>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</si>
  <si>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</si>
  <si>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r>
      <t xml:space="preserve">MOÇÃO DE APLAUSO Nº 395/2024 – RALFI – </t>
    </r>
    <r>
      <rPr>
        <sz val="11"/>
        <color theme="1"/>
        <rFont val="Arial"/>
        <family val="2"/>
      </rPr>
      <t>À chapa “União pela Mudança”, da 56ª subseção da Ordem dos Advogados do Brasil - OAB, pela vitória na eleição realizada no último dia 21.</t>
    </r>
  </si>
  <si>
    <r>
      <t xml:space="preserve">MOÇÃO DE APLAUSO Nº 419/2024 – RALFI – </t>
    </r>
    <r>
      <rPr>
        <sz val="11"/>
        <color theme="1"/>
        <rFont val="Arial"/>
        <family val="2"/>
      </rPr>
      <t>Para o Vôlei Paralímpico de Osasco, pela conquista da medalha de Bronze no Campeonato Brasileiro.</t>
    </r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</si>
  <si>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</si>
  <si>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</si>
  <si>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</si>
  <si>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</si>
  <si>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</si>
  <si>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</si>
  <si>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</si>
  <si>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</si>
  <si>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</si>
  <si>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</si>
  <si>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t xml:space="preserve">MOÇÃO DE APLAUSO Nº 2/2025 – JOSIAS DA JUCO – </t>
    </r>
    <r>
      <rPr>
        <sz val="11"/>
        <color theme="1"/>
        <rFont val="Arial"/>
        <family val="2"/>
      </rPr>
      <t>Para os policiais militares da viatura M-14407, Soldado PM Noberto Nunes da Silva Junior e Soldado PM Wictoria Thomaz Alexandre, pelo resgate da vítima de acidente de trânsito que caiu em córrego na Av. Onix.</t>
    </r>
  </si>
  <si>
    <r>
      <t xml:space="preserve">MOÇÃO DE APLAUSO Nº 8/2025 – ELSA OLIVEIRA – </t>
    </r>
    <r>
      <rPr>
        <sz val="11"/>
        <color theme="1"/>
        <rFont val="Arial"/>
        <family val="2"/>
      </rPr>
      <t>Para Mariana de Souza Leite e Maria das Dores de Souza, pela conquista do Prêmio Inspiração Empreendedora do Ano, concedido pela ACEO Mulher em parceria com o SEBRAE.</t>
    </r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</si>
  <si>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</si>
  <si>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</si>
  <si>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</si>
  <si>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</si>
  <si>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</si>
  <si>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</si>
  <si>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</si>
  <si>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</si>
  <si>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</si>
  <si>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</si>
  <si>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</si>
  <si>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</si>
  <si>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</si>
  <si>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</si>
  <si>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</si>
  <si>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</si>
  <si>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</si>
  <si>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</si>
  <si>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</si>
  <si>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</si>
  <si>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</si>
  <si>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</si>
  <si>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</si>
  <si>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</si>
  <si>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</si>
  <si>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</si>
  <si>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pela ausência da autora, será pautada na próxima sessão</t>
  </si>
  <si>
    <r>
      <t xml:space="preserve">MOÇÃO DE RECONEHECIMENTO Nº 11/2025 – GUILHERME PRADO – </t>
    </r>
    <r>
      <rPr>
        <sz val="11"/>
        <color theme="1"/>
        <rFont val="Arial"/>
        <family val="2"/>
      </rPr>
      <t>Para a Defesa Civil de Osasco, pelo trabalho incessante em razão das fortes chuvas que vem atingindo nossa cidade.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</si>
  <si>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</si>
  <si>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3ª SESSÃO ORDINÁRIA</t>
  </si>
  <si>
    <t>DIA 13 DE FEVEREIRO DE 2025 - QUINTA-FEIRA</t>
  </si>
  <si>
    <t>DIA 13 DE FEVEREIRO DE 2025 - QUINTA–FEIRA</t>
  </si>
  <si>
    <r>
      <t xml:space="preserve">Requerimento 40/2025 – Assembleia Legislativa do Estado de São Paulo – Deputado Sebastião Santos – </t>
    </r>
    <r>
      <rPr>
        <sz val="12"/>
        <color rgb="FF000000"/>
        <rFont val="Calibri"/>
        <family val="2"/>
      </rPr>
      <t>Parabeniza a Cidade de Osasco pelo seu aniversário, a ser comemorado no próximo dia 19 de fevereiro.</t>
    </r>
  </si>
  <si>
    <r>
      <t xml:space="preserve">MOÇÃO DE APLAUSO Nº 1/2025 – ALEXANDRE CAPRIOTTI – </t>
    </r>
    <r>
      <rPr>
        <sz val="11"/>
        <color theme="1"/>
        <rFont val="Arial"/>
        <family val="2"/>
      </rPr>
      <t>Para Ariovaldo Guinther, Dirigente Regional de Ensino de Osasco.</t>
    </r>
  </si>
  <si>
    <r>
      <t>MOÇÃO DE APLAUSO Nº 5/2025 – ALEXANDRE CAPRIOTTI –</t>
    </r>
    <r>
      <rPr>
        <sz val="11"/>
        <color theme="1"/>
        <rFont val="Arial"/>
        <family val="2"/>
      </rPr>
      <t xml:space="preserve"> Para as meninas do Basquetebol 3x3 sub-21 e a sua equipe técnica pela conquista da segunda colocação no 86º Jogos Abertos do Interior.</t>
    </r>
  </si>
  <si>
    <r>
      <t>MOÇÃO DE PESAR Nº 6/2025 – PEDRO CANTAGESSI –</t>
    </r>
    <r>
      <rPr>
        <sz val="11"/>
        <color theme="1"/>
        <rFont val="Arial"/>
        <family val="2"/>
      </rPr>
      <t xml:space="preserve"> Pelo falecimento do secretário adjunto da SECONTRU, Adilson Moreira.</t>
    </r>
  </si>
  <si>
    <r>
      <t xml:space="preserve">MOÇÃO DE CONGRATULAÇÕES Nº 7/2025 – DELBIO TERUEL – </t>
    </r>
    <r>
      <rPr>
        <sz val="11"/>
        <color theme="1"/>
        <rFont val="Arial"/>
        <family val="2"/>
      </rPr>
      <t>Para a equipe de Paraequestre, Gabriel Claro e Giovani Ricardo, a técnica Eliane Cristina Baatsch, que representarão o Brasil no Mundial da WBHA, em abril, no Panamá.</t>
    </r>
  </si>
  <si>
    <r>
      <t xml:space="preserve">MOÇÃO DE INCONFORMISMO Nº 9/2025 – LÚCIA DA SAÚDE – </t>
    </r>
    <r>
      <rPr>
        <sz val="11"/>
        <color theme="1"/>
        <rFont val="Arial"/>
        <family val="2"/>
      </rPr>
      <t>Com os desafios no tratamento de descolamento de retina pelo SUS, uma questão de urgência e justiça social.</t>
    </r>
  </si>
  <si>
    <r>
      <t xml:space="preserve">MOÇÃO DE CONGRATULAÇÕES Nº 10/2025 – DELBIO TERUEL – </t>
    </r>
    <r>
      <rPr>
        <sz val="11"/>
        <color theme="1"/>
        <rFont val="Arial"/>
        <family val="2"/>
      </rPr>
      <t>Para o Padre Vagner João Pacheco de Moraes, pelos 18 anos de sua ordenação sacerdotal celebrados em 3 de fevereiro.</t>
    </r>
  </si>
  <si>
    <r>
      <t xml:space="preserve">MOÇÃO DE CONGRATULAÇÕES Nº 21/2025 – CARMÔNIO BASTOS – </t>
    </r>
    <r>
      <rPr>
        <sz val="11"/>
        <color theme="1"/>
        <rFont val="Arial"/>
        <family val="2"/>
      </rPr>
      <t>Para o time de vôlei feminino de Osasco pela conquista do tetracampeonato da Copa Brasil Feminina de Vôlei.</t>
    </r>
  </si>
  <si>
    <r>
      <t>MOÇÃO DE APELO Nº 23/2025 – CANTOR GOLEIRO –</t>
    </r>
    <r>
      <rPr>
        <sz val="11"/>
        <color theme="1"/>
        <rFont val="Arial"/>
        <family val="2"/>
      </rPr>
      <t xml:space="preserve"> Para que o Poder Executivo promova a reforma da UBS José Groff, no Jardim Aliança.</t>
    </r>
  </si>
  <si>
    <r>
      <t xml:space="preserve">MOÇÃO DE RECONHECIMENTO Nº 24/2025 – CANTOR GOLEIRO – </t>
    </r>
    <r>
      <rPr>
        <sz val="11"/>
        <color theme="1"/>
        <rFont val="Arial"/>
        <family val="2"/>
      </rPr>
      <t>Ao Sr. Otacílio Sebastião dos Santos, pela trajetória de vida vencedora e pela inspiração a outros migrantes osasquenses.</t>
    </r>
  </si>
  <si>
    <r>
      <t xml:space="preserve">PROJETO DE LEI Nº 47/2024 – DELBIO TERUEL – </t>
    </r>
    <r>
      <rPr>
        <sz val="11"/>
        <color theme="1"/>
        <rFont val="Arial"/>
        <family val="2"/>
      </rPr>
      <t>Institui o Dia do JATIO – Jogos Adaptados da Terceira Idade de Osasco.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</si>
</sst>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justify" vertical="top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3" t="s">
        <v>31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1"/>
      <c r="O1" s="71"/>
      <c r="P1" s="71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4" t="s">
        <v>104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1"/>
      <c r="O2" s="71"/>
      <c r="P2" s="71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4" t="s">
        <v>105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1"/>
      <c r="O3" s="71"/>
      <c r="P3" s="71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8"/>
      <c r="C4" s="93" t="s">
        <v>22</v>
      </c>
      <c r="D4" s="93"/>
      <c r="E4" s="43"/>
      <c r="F4" s="44"/>
      <c r="G4" s="43" t="s">
        <v>57</v>
      </c>
      <c r="H4" s="43"/>
      <c r="I4" s="70" t="s">
        <v>55</v>
      </c>
      <c r="J4" s="45"/>
      <c r="K4" s="43" t="s">
        <v>32</v>
      </c>
      <c r="L4" s="45"/>
      <c r="M4" s="43" t="s">
        <v>32</v>
      </c>
      <c r="N4" s="45"/>
      <c r="O4" s="43" t="s">
        <v>50</v>
      </c>
      <c r="P4" s="45"/>
      <c r="Q4" s="42"/>
      <c r="R4" s="61" t="s">
        <v>9</v>
      </c>
      <c r="S4" s="94"/>
      <c r="T4" s="147"/>
      <c r="U4" s="147"/>
      <c r="V4" s="147"/>
      <c r="W4" s="147"/>
      <c r="X4" s="147"/>
      <c r="Y4" s="147"/>
    </row>
    <row r="5" spans="1:28" ht="18" customHeight="1">
      <c r="A5" s="46" t="s">
        <v>58</v>
      </c>
      <c r="B5" s="89">
        <v>2</v>
      </c>
      <c r="C5" s="103" t="s">
        <v>60</v>
      </c>
      <c r="D5" s="63"/>
      <c r="E5" s="103"/>
      <c r="F5" s="89">
        <v>1</v>
      </c>
      <c r="G5" s="62" t="s">
        <v>59</v>
      </c>
      <c r="H5" s="63"/>
      <c r="I5" s="62"/>
      <c r="J5" s="63">
        <v>1</v>
      </c>
      <c r="K5" s="62" t="s">
        <v>59</v>
      </c>
      <c r="L5" s="128"/>
      <c r="M5" s="129"/>
      <c r="N5" s="63"/>
      <c r="O5" s="103"/>
      <c r="P5" s="63"/>
      <c r="Q5" s="63"/>
      <c r="R5" s="62"/>
      <c r="S5" s="117"/>
      <c r="T5" s="147"/>
      <c r="U5" s="147"/>
      <c r="V5" s="147"/>
      <c r="W5" s="147"/>
      <c r="X5" s="147"/>
      <c r="Y5" s="147"/>
    </row>
    <row r="6" spans="1:28" ht="18" customHeight="1">
      <c r="A6" s="46" t="s">
        <v>54</v>
      </c>
      <c r="B6" s="89">
        <v>2</v>
      </c>
      <c r="C6" s="103" t="s">
        <v>60</v>
      </c>
      <c r="D6" s="63"/>
      <c r="E6" s="103"/>
      <c r="F6" s="89">
        <v>2</v>
      </c>
      <c r="G6" s="103" t="s">
        <v>60</v>
      </c>
      <c r="H6" s="63"/>
      <c r="I6" s="62"/>
      <c r="J6" s="63">
        <v>1</v>
      </c>
      <c r="K6" s="62" t="s">
        <v>59</v>
      </c>
      <c r="L6" s="67"/>
      <c r="M6" s="65"/>
      <c r="N6" s="63"/>
      <c r="O6" s="103"/>
      <c r="P6" s="63"/>
      <c r="Q6" s="63"/>
      <c r="R6" s="62"/>
      <c r="S6" s="90"/>
      <c r="T6" s="147"/>
      <c r="U6" s="147"/>
      <c r="V6" s="147"/>
      <c r="W6" s="147"/>
      <c r="X6" s="147"/>
      <c r="Y6" s="147"/>
    </row>
    <row r="7" spans="1:28" ht="18" customHeight="1">
      <c r="A7" s="46" t="s">
        <v>63</v>
      </c>
      <c r="B7" s="89">
        <v>1</v>
      </c>
      <c r="C7" s="62" t="s">
        <v>59</v>
      </c>
      <c r="D7" s="63"/>
      <c r="E7" s="62"/>
      <c r="F7" s="89">
        <v>1</v>
      </c>
      <c r="G7" s="62" t="s">
        <v>59</v>
      </c>
      <c r="H7" s="63"/>
      <c r="I7" s="62"/>
      <c r="J7" s="63">
        <v>1</v>
      </c>
      <c r="K7" s="62" t="s">
        <v>59</v>
      </c>
      <c r="L7" s="67"/>
      <c r="M7" s="65"/>
      <c r="N7" s="63"/>
      <c r="O7" s="103"/>
      <c r="P7" s="63"/>
      <c r="Q7" s="63"/>
      <c r="R7" s="62"/>
      <c r="S7" s="90"/>
      <c r="T7" s="147"/>
      <c r="U7" s="147"/>
      <c r="V7" s="147"/>
      <c r="W7" s="147"/>
      <c r="X7" s="147"/>
      <c r="Y7" s="147"/>
    </row>
    <row r="8" spans="1:28" ht="18" customHeight="1">
      <c r="A8" s="83" t="s">
        <v>64</v>
      </c>
      <c r="B8" s="89">
        <v>1</v>
      </c>
      <c r="C8" s="62" t="s">
        <v>59</v>
      </c>
      <c r="D8" s="63"/>
      <c r="E8" s="62"/>
      <c r="F8" s="89">
        <v>1</v>
      </c>
      <c r="G8" s="62" t="s">
        <v>59</v>
      </c>
      <c r="H8" s="63"/>
      <c r="I8" s="62"/>
      <c r="J8" s="63">
        <v>1</v>
      </c>
      <c r="K8" s="62" t="s">
        <v>59</v>
      </c>
      <c r="L8" s="67"/>
      <c r="M8" s="65"/>
      <c r="N8" s="63"/>
      <c r="O8" s="62"/>
      <c r="P8" s="63"/>
      <c r="Q8" s="63"/>
      <c r="R8" s="62"/>
      <c r="S8" s="90"/>
      <c r="T8" s="147"/>
      <c r="U8" s="147"/>
      <c r="V8" s="147"/>
      <c r="W8" s="147"/>
      <c r="X8" s="147"/>
      <c r="Y8" s="147"/>
    </row>
    <row r="9" spans="1:28" ht="18" customHeight="1">
      <c r="A9" s="46" t="s">
        <v>30</v>
      </c>
      <c r="B9" s="89">
        <v>2</v>
      </c>
      <c r="C9" s="103" t="s">
        <v>60</v>
      </c>
      <c r="D9" s="63"/>
      <c r="E9" s="62"/>
      <c r="F9" s="89">
        <v>2</v>
      </c>
      <c r="G9" s="103" t="s">
        <v>60</v>
      </c>
      <c r="H9" s="63"/>
      <c r="I9" s="62"/>
      <c r="J9" s="63">
        <v>1</v>
      </c>
      <c r="K9" s="62" t="s">
        <v>59</v>
      </c>
      <c r="L9" s="67"/>
      <c r="M9" s="65"/>
      <c r="N9" s="63"/>
      <c r="O9" s="103"/>
      <c r="P9" s="63"/>
      <c r="Q9" s="63"/>
      <c r="R9" s="103"/>
      <c r="S9" s="90"/>
      <c r="T9" s="147"/>
      <c r="U9" s="147"/>
      <c r="V9" s="147"/>
      <c r="W9" s="147"/>
      <c r="X9" s="147"/>
      <c r="Y9" s="147"/>
    </row>
    <row r="10" spans="1:28" ht="18" customHeight="1">
      <c r="A10" s="46" t="s">
        <v>65</v>
      </c>
      <c r="B10" s="89">
        <v>2</v>
      </c>
      <c r="C10" s="103" t="s">
        <v>60</v>
      </c>
      <c r="D10" s="63"/>
      <c r="E10" s="62"/>
      <c r="F10" s="89">
        <v>1</v>
      </c>
      <c r="G10" s="62" t="s">
        <v>59</v>
      </c>
      <c r="H10" s="63"/>
      <c r="I10" s="62"/>
      <c r="J10" s="63">
        <v>2</v>
      </c>
      <c r="K10" s="103" t="s">
        <v>60</v>
      </c>
      <c r="L10" s="67"/>
      <c r="M10" s="65"/>
      <c r="N10" s="63"/>
      <c r="O10" s="62"/>
      <c r="P10" s="63"/>
      <c r="Q10" s="63"/>
      <c r="R10" s="62"/>
      <c r="S10" s="90"/>
      <c r="T10" s="147"/>
      <c r="U10" s="147"/>
      <c r="V10" s="147"/>
      <c r="W10" s="147"/>
      <c r="X10" s="147"/>
      <c r="Y10" s="147"/>
    </row>
    <row r="11" spans="1:28" ht="20.25">
      <c r="A11" s="46" t="s">
        <v>23</v>
      </c>
      <c r="B11" s="89">
        <v>1</v>
      </c>
      <c r="C11" s="62" t="s">
        <v>59</v>
      </c>
      <c r="D11" s="63"/>
      <c r="E11" s="62"/>
      <c r="F11" s="89">
        <v>1</v>
      </c>
      <c r="G11" s="62" t="s">
        <v>59</v>
      </c>
      <c r="H11" s="63"/>
      <c r="I11" s="62"/>
      <c r="J11" s="63">
        <v>1</v>
      </c>
      <c r="K11" s="62" t="s">
        <v>59</v>
      </c>
      <c r="L11" s="67"/>
      <c r="M11" s="65"/>
      <c r="N11" s="63"/>
      <c r="O11" s="103"/>
      <c r="P11" s="63"/>
      <c r="Q11" s="63"/>
      <c r="R11" s="103"/>
      <c r="S11" s="91"/>
      <c r="T11" s="147"/>
      <c r="U11" s="147"/>
      <c r="V11" s="147"/>
      <c r="W11" s="147"/>
      <c r="X11" s="147"/>
      <c r="Y11" s="147"/>
    </row>
    <row r="12" spans="1:28" ht="18" customHeight="1">
      <c r="A12" s="46" t="s">
        <v>24</v>
      </c>
      <c r="B12" s="89">
        <v>1</v>
      </c>
      <c r="C12" s="62" t="s">
        <v>59</v>
      </c>
      <c r="D12" s="63"/>
      <c r="E12" s="103"/>
      <c r="F12" s="89">
        <v>1</v>
      </c>
      <c r="G12" s="62" t="s">
        <v>59</v>
      </c>
      <c r="H12" s="63"/>
      <c r="I12" s="68"/>
      <c r="J12" s="63">
        <v>2</v>
      </c>
      <c r="K12" s="103" t="s">
        <v>60</v>
      </c>
      <c r="L12" s="67"/>
      <c r="M12" s="65"/>
      <c r="N12" s="63"/>
      <c r="O12" s="103"/>
      <c r="P12" s="63"/>
      <c r="Q12" s="63"/>
      <c r="R12" s="103"/>
      <c r="S12" s="92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25</v>
      </c>
      <c r="B13" s="89">
        <v>1</v>
      </c>
      <c r="C13" s="62" t="s">
        <v>59</v>
      </c>
      <c r="D13" s="63"/>
      <c r="E13" s="62"/>
      <c r="F13" s="89">
        <v>1</v>
      </c>
      <c r="G13" s="62" t="s">
        <v>59</v>
      </c>
      <c r="H13" s="63"/>
      <c r="I13" s="62"/>
      <c r="J13" s="63">
        <v>1</v>
      </c>
      <c r="K13" s="62" t="s">
        <v>59</v>
      </c>
      <c r="L13" s="67"/>
      <c r="M13" s="65"/>
      <c r="N13" s="63"/>
      <c r="O13" s="62"/>
      <c r="P13" s="63"/>
      <c r="Q13" s="63"/>
      <c r="R13" s="103"/>
      <c r="S13" s="92"/>
      <c r="T13" s="147"/>
      <c r="U13" s="147"/>
      <c r="V13" s="147"/>
      <c r="W13" s="147"/>
      <c r="X13" s="147"/>
      <c r="Y13" s="147"/>
    </row>
    <row r="14" spans="1:28" ht="18" customHeight="1">
      <c r="A14" s="46" t="s">
        <v>66</v>
      </c>
      <c r="B14" s="89">
        <v>1</v>
      </c>
      <c r="C14" s="62" t="s">
        <v>59</v>
      </c>
      <c r="D14" s="63"/>
      <c r="E14" s="62"/>
      <c r="F14" s="89">
        <v>1</v>
      </c>
      <c r="G14" s="62" t="s">
        <v>59</v>
      </c>
      <c r="H14" s="63"/>
      <c r="I14" s="62"/>
      <c r="J14" s="63">
        <v>1</v>
      </c>
      <c r="K14" s="62" t="s">
        <v>59</v>
      </c>
      <c r="L14" s="67"/>
      <c r="M14" s="65"/>
      <c r="N14" s="63"/>
      <c r="O14" s="62"/>
      <c r="P14" s="63"/>
      <c r="Q14" s="63"/>
      <c r="R14" s="103"/>
      <c r="S14" s="92"/>
      <c r="T14" s="147"/>
      <c r="U14" s="147"/>
      <c r="V14" s="147"/>
      <c r="W14" s="147"/>
      <c r="X14" s="147"/>
      <c r="Y14" s="147"/>
    </row>
    <row r="15" spans="1:28" ht="18" customHeight="1">
      <c r="A15" s="46" t="s">
        <v>67</v>
      </c>
      <c r="B15" s="89">
        <v>1</v>
      </c>
      <c r="C15" s="62" t="s">
        <v>59</v>
      </c>
      <c r="D15" s="63"/>
      <c r="E15" s="62"/>
      <c r="F15" s="89">
        <v>1</v>
      </c>
      <c r="G15" s="62" t="s">
        <v>59</v>
      </c>
      <c r="H15" s="63"/>
      <c r="I15" s="62"/>
      <c r="J15" s="63">
        <v>1</v>
      </c>
      <c r="K15" s="62" t="s">
        <v>59</v>
      </c>
      <c r="L15" s="67"/>
      <c r="M15" s="65"/>
      <c r="N15" s="63"/>
      <c r="O15" s="62"/>
      <c r="P15" s="63"/>
      <c r="Q15" s="63"/>
      <c r="R15" s="103"/>
      <c r="S15" s="92"/>
      <c r="T15" s="147"/>
      <c r="U15" s="147"/>
      <c r="V15" s="147"/>
      <c r="W15" s="147"/>
      <c r="X15" s="147"/>
      <c r="Y15" s="147"/>
    </row>
    <row r="16" spans="1:28" ht="18" customHeight="1">
      <c r="A16" s="46" t="s">
        <v>68</v>
      </c>
      <c r="B16" s="89">
        <v>1</v>
      </c>
      <c r="C16" s="62" t="s">
        <v>59</v>
      </c>
      <c r="D16" s="63"/>
      <c r="E16" s="62"/>
      <c r="F16" s="89">
        <v>1</v>
      </c>
      <c r="G16" s="62" t="s">
        <v>59</v>
      </c>
      <c r="H16" s="63"/>
      <c r="I16" s="62"/>
      <c r="J16" s="63">
        <v>1</v>
      </c>
      <c r="K16" s="62" t="s">
        <v>59</v>
      </c>
      <c r="L16" s="67"/>
      <c r="M16" s="65"/>
      <c r="N16" s="63"/>
      <c r="O16" s="62"/>
      <c r="P16" s="63"/>
      <c r="Q16" s="63"/>
      <c r="R16" s="103"/>
      <c r="S16" s="92"/>
      <c r="T16" s="147"/>
      <c r="U16" s="147"/>
      <c r="V16" s="147"/>
      <c r="W16" s="147"/>
      <c r="X16" s="147"/>
      <c r="Y16" s="147"/>
    </row>
    <row r="17" spans="1:25" ht="18.75" customHeight="1">
      <c r="A17" s="46" t="s">
        <v>26</v>
      </c>
      <c r="B17" s="89">
        <v>2</v>
      </c>
      <c r="C17" s="103" t="s">
        <v>60</v>
      </c>
      <c r="D17" s="63"/>
      <c r="E17" s="62"/>
      <c r="F17" s="89">
        <v>2</v>
      </c>
      <c r="G17" s="103" t="s">
        <v>60</v>
      </c>
      <c r="H17" s="63"/>
      <c r="I17" s="68"/>
      <c r="J17" s="63">
        <v>1</v>
      </c>
      <c r="K17" s="62" t="s">
        <v>59</v>
      </c>
      <c r="L17" s="67"/>
      <c r="M17" s="65"/>
      <c r="N17" s="63"/>
      <c r="O17" s="62"/>
      <c r="P17" s="63"/>
      <c r="Q17" s="63"/>
      <c r="R17" s="103"/>
      <c r="S17" s="92"/>
      <c r="T17" s="147"/>
      <c r="U17" s="147"/>
      <c r="V17" s="147"/>
      <c r="W17" s="147"/>
      <c r="X17" s="147"/>
      <c r="Y17" s="147"/>
    </row>
    <row r="18" spans="1:25" ht="17.25" customHeight="1">
      <c r="A18" s="46" t="s">
        <v>69</v>
      </c>
      <c r="B18" s="89">
        <v>2</v>
      </c>
      <c r="C18" s="103" t="s">
        <v>60</v>
      </c>
      <c r="D18" s="63"/>
      <c r="E18" s="62"/>
      <c r="F18" s="89">
        <v>1</v>
      </c>
      <c r="G18" s="62" t="s">
        <v>59</v>
      </c>
      <c r="H18" s="63"/>
      <c r="I18" s="62"/>
      <c r="J18" s="63">
        <v>1</v>
      </c>
      <c r="K18" s="62" t="s">
        <v>59</v>
      </c>
      <c r="L18" s="67"/>
      <c r="M18" s="65"/>
      <c r="N18" s="63"/>
      <c r="O18" s="62"/>
      <c r="P18" s="63"/>
      <c r="Q18" s="63"/>
      <c r="R18" s="103"/>
      <c r="S18" s="92"/>
      <c r="T18" s="147"/>
      <c r="U18" s="147"/>
      <c r="V18" s="147"/>
      <c r="W18" s="147"/>
      <c r="X18" s="147"/>
      <c r="Y18" s="147"/>
    </row>
    <row r="19" spans="1:25" ht="18" customHeight="1">
      <c r="A19" s="46" t="s">
        <v>39</v>
      </c>
      <c r="B19" s="89">
        <v>2</v>
      </c>
      <c r="C19" s="103" t="s">
        <v>60</v>
      </c>
      <c r="D19" s="63"/>
      <c r="E19" s="103"/>
      <c r="F19" s="89">
        <v>2</v>
      </c>
      <c r="G19" s="103" t="s">
        <v>60</v>
      </c>
      <c r="H19" s="63"/>
      <c r="I19" s="62"/>
      <c r="J19" s="63">
        <v>1</v>
      </c>
      <c r="K19" s="62" t="s">
        <v>59</v>
      </c>
      <c r="L19" s="67"/>
      <c r="M19" s="65"/>
      <c r="N19" s="63"/>
      <c r="O19" s="62"/>
      <c r="P19" s="63"/>
      <c r="Q19" s="63"/>
      <c r="R19" s="103"/>
      <c r="S19" s="92"/>
      <c r="T19" s="147"/>
      <c r="U19" s="147"/>
      <c r="V19" s="147"/>
      <c r="W19" s="147"/>
      <c r="X19" s="147"/>
      <c r="Y19" s="147"/>
    </row>
    <row r="20" spans="1:25" ht="18" customHeight="1">
      <c r="A20" s="46" t="s">
        <v>27</v>
      </c>
      <c r="B20" s="89">
        <v>1</v>
      </c>
      <c r="C20" s="62" t="s">
        <v>59</v>
      </c>
      <c r="D20" s="63"/>
      <c r="E20" s="62"/>
      <c r="F20" s="89">
        <v>1</v>
      </c>
      <c r="G20" s="62" t="s">
        <v>59</v>
      </c>
      <c r="H20" s="63"/>
      <c r="I20" s="68"/>
      <c r="J20" s="63">
        <v>1</v>
      </c>
      <c r="K20" s="62" t="s">
        <v>59</v>
      </c>
      <c r="L20" s="67"/>
      <c r="M20" s="65"/>
      <c r="N20" s="63"/>
      <c r="O20" s="62"/>
      <c r="P20" s="63"/>
      <c r="Q20" s="63"/>
      <c r="R20" s="103"/>
      <c r="S20" s="92"/>
      <c r="T20" s="147"/>
      <c r="U20" s="147"/>
      <c r="V20" s="147"/>
      <c r="W20" s="147"/>
      <c r="X20" s="147"/>
      <c r="Y20" s="147"/>
    </row>
    <row r="21" spans="1:25" ht="18.75" customHeight="1">
      <c r="A21" s="46" t="s">
        <v>70</v>
      </c>
      <c r="B21" s="89">
        <v>2</v>
      </c>
      <c r="C21" s="103" t="s">
        <v>60</v>
      </c>
      <c r="D21" s="63"/>
      <c r="E21" s="62"/>
      <c r="F21" s="89">
        <v>1</v>
      </c>
      <c r="G21" s="62" t="s">
        <v>59</v>
      </c>
      <c r="H21" s="63"/>
      <c r="I21" s="62"/>
      <c r="J21" s="63">
        <v>1</v>
      </c>
      <c r="K21" s="62" t="s">
        <v>59</v>
      </c>
      <c r="L21" s="64"/>
      <c r="M21" s="64"/>
      <c r="N21" s="63"/>
      <c r="O21" s="62"/>
      <c r="P21" s="63"/>
      <c r="Q21" s="63"/>
      <c r="R21" s="62"/>
      <c r="S21" s="92"/>
      <c r="T21" s="147"/>
      <c r="U21" s="147"/>
      <c r="V21" s="147"/>
      <c r="W21" s="147"/>
      <c r="X21" s="147"/>
      <c r="Y21" s="147"/>
    </row>
    <row r="22" spans="1:25" ht="18" customHeight="1">
      <c r="A22" s="46" t="s">
        <v>28</v>
      </c>
      <c r="B22" s="89">
        <v>2</v>
      </c>
      <c r="C22" s="103" t="s">
        <v>60</v>
      </c>
      <c r="D22" s="63"/>
      <c r="E22" s="103"/>
      <c r="F22" s="89">
        <v>2</v>
      </c>
      <c r="G22" s="103" t="s">
        <v>60</v>
      </c>
      <c r="H22" s="63"/>
      <c r="I22" s="68"/>
      <c r="J22" s="63">
        <v>1</v>
      </c>
      <c r="K22" s="62" t="s">
        <v>59</v>
      </c>
      <c r="L22" s="67"/>
      <c r="M22" s="65"/>
      <c r="N22" s="63"/>
      <c r="O22" s="103"/>
      <c r="P22" s="63"/>
      <c r="Q22" s="63"/>
      <c r="R22" s="103"/>
      <c r="S22" s="92"/>
      <c r="T22" s="147"/>
      <c r="U22" s="147"/>
      <c r="V22" s="147"/>
      <c r="W22" s="147"/>
      <c r="X22" s="147"/>
      <c r="Y22" s="147"/>
    </row>
    <row r="23" spans="1:25" ht="18" customHeight="1">
      <c r="A23" s="46" t="s">
        <v>56</v>
      </c>
      <c r="B23" s="89">
        <v>1</v>
      </c>
      <c r="C23" s="62" t="s">
        <v>59</v>
      </c>
      <c r="D23" s="63"/>
      <c r="E23" s="62"/>
      <c r="F23" s="89">
        <v>1</v>
      </c>
      <c r="G23" s="62" t="s">
        <v>59</v>
      </c>
      <c r="H23" s="63"/>
      <c r="I23" s="62"/>
      <c r="J23" s="63">
        <v>1</v>
      </c>
      <c r="K23" s="62" t="s">
        <v>59</v>
      </c>
      <c r="L23" s="67"/>
      <c r="M23" s="65"/>
      <c r="N23" s="63"/>
      <c r="O23" s="62"/>
      <c r="P23" s="63"/>
      <c r="Q23" s="63"/>
      <c r="R23" s="62"/>
      <c r="S23" s="92"/>
      <c r="T23" s="147"/>
      <c r="U23" s="147"/>
      <c r="V23" s="147"/>
      <c r="W23" s="147"/>
      <c r="X23" s="147"/>
      <c r="Y23" s="147"/>
    </row>
    <row r="24" spans="1:25" ht="20.25">
      <c r="A24" s="46" t="s">
        <v>71</v>
      </c>
      <c r="B24" s="89">
        <v>1</v>
      </c>
      <c r="C24" s="62" t="s">
        <v>59</v>
      </c>
      <c r="D24" s="63"/>
      <c r="E24" s="62"/>
      <c r="F24" s="89">
        <v>1</v>
      </c>
      <c r="G24" s="62" t="s">
        <v>59</v>
      </c>
      <c r="H24" s="63"/>
      <c r="I24" s="62"/>
      <c r="J24" s="63">
        <v>1</v>
      </c>
      <c r="K24" s="62" t="s">
        <v>59</v>
      </c>
      <c r="L24" s="67"/>
      <c r="M24" s="65"/>
      <c r="N24" s="63"/>
      <c r="O24" s="62"/>
      <c r="P24" s="63"/>
      <c r="Q24" s="63"/>
      <c r="R24" s="103"/>
      <c r="S24" s="92"/>
      <c r="T24" s="147"/>
      <c r="U24" s="147"/>
      <c r="V24" s="147"/>
      <c r="W24" s="147"/>
      <c r="X24" s="147"/>
      <c r="Y24" s="147"/>
    </row>
    <row r="25" spans="1:25" ht="18" customHeight="1" thickBot="1">
      <c r="A25" s="46" t="s">
        <v>72</v>
      </c>
      <c r="B25" s="89">
        <v>1</v>
      </c>
      <c r="C25" s="62" t="s">
        <v>59</v>
      </c>
      <c r="D25" s="63"/>
      <c r="E25" s="62"/>
      <c r="F25" s="89">
        <v>1</v>
      </c>
      <c r="G25" s="62" t="s">
        <v>59</v>
      </c>
      <c r="H25" s="63"/>
      <c r="I25" s="68"/>
      <c r="J25" s="63">
        <v>1</v>
      </c>
      <c r="K25" s="62" t="s">
        <v>59</v>
      </c>
      <c r="L25" s="67"/>
      <c r="M25" s="65"/>
      <c r="N25" s="63"/>
      <c r="O25" s="62"/>
      <c r="P25" s="63"/>
      <c r="Q25" s="66"/>
      <c r="R25" s="103"/>
      <c r="S25" s="92"/>
      <c r="T25" s="147"/>
      <c r="U25" s="147"/>
      <c r="V25" s="147"/>
      <c r="W25" s="147"/>
      <c r="X25" s="147"/>
      <c r="Y25" s="147"/>
    </row>
    <row r="26" spans="1:25" ht="16.5" thickBot="1">
      <c r="A26" s="38" t="s">
        <v>13</v>
      </c>
      <c r="B26" s="99">
        <v>12</v>
      </c>
      <c r="C26" s="97" t="s">
        <v>52</v>
      </c>
      <c r="D26" s="99"/>
      <c r="E26" s="97"/>
      <c r="F26" s="99">
        <v>16</v>
      </c>
      <c r="G26" s="97" t="s">
        <v>52</v>
      </c>
      <c r="H26" s="101"/>
      <c r="I26" s="102"/>
      <c r="J26" s="99">
        <v>19</v>
      </c>
      <c r="K26" s="96" t="s">
        <v>52</v>
      </c>
      <c r="L26" s="86"/>
      <c r="M26" s="95"/>
      <c r="N26" s="99"/>
      <c r="O26" s="97" t="s">
        <v>52</v>
      </c>
      <c r="P26" s="99"/>
      <c r="Q26" s="99"/>
      <c r="R26" s="98" t="s">
        <v>52</v>
      </c>
      <c r="S26" s="87"/>
      <c r="V26" s="12"/>
      <c r="W26" s="12"/>
    </row>
    <row r="27" spans="1:25" ht="16.5" thickBot="1">
      <c r="A27" s="39" t="s">
        <v>14</v>
      </c>
      <c r="B27" s="99">
        <v>9</v>
      </c>
      <c r="C27" s="97" t="s">
        <v>53</v>
      </c>
      <c r="D27" s="99"/>
      <c r="E27" s="97"/>
      <c r="F27" s="99">
        <v>5</v>
      </c>
      <c r="G27" s="97" t="s">
        <v>53</v>
      </c>
      <c r="H27" s="101"/>
      <c r="I27" s="97"/>
      <c r="J27" s="99">
        <v>2</v>
      </c>
      <c r="K27" s="96" t="s">
        <v>53</v>
      </c>
      <c r="L27" s="86"/>
      <c r="M27" s="95"/>
      <c r="N27" s="99"/>
      <c r="O27" s="97" t="s">
        <v>53</v>
      </c>
      <c r="P27" s="99"/>
      <c r="Q27" s="99"/>
      <c r="R27" s="96" t="s">
        <v>53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38</v>
      </c>
      <c r="V31" s="12"/>
      <c r="W31" s="12"/>
    </row>
    <row r="32" spans="1:25" ht="18">
      <c r="A32" s="34" t="s">
        <v>70</v>
      </c>
      <c r="V32" s="12"/>
      <c r="W32" s="12"/>
    </row>
    <row r="33" spans="1:23" ht="18">
      <c r="A33" s="34" t="s">
        <v>69</v>
      </c>
      <c r="V33" s="12"/>
      <c r="W33" s="12"/>
    </row>
    <row r="34" spans="1:23" ht="18">
      <c r="A34" s="34" t="s">
        <v>58</v>
      </c>
      <c r="V34" s="12"/>
      <c r="W34" s="12"/>
    </row>
    <row r="35" spans="1:23" ht="18">
      <c r="A35" s="34" t="s">
        <v>65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98</v>
      </c>
      <c r="V40" s="12"/>
      <c r="W40" s="12"/>
    </row>
    <row r="41" spans="1:23" ht="18">
      <c r="A41" s="34" t="s">
        <v>30</v>
      </c>
      <c r="V41" s="12"/>
      <c r="W41" s="12"/>
    </row>
    <row r="42" spans="1:23" ht="18">
      <c r="A42" s="34" t="s">
        <v>39</v>
      </c>
      <c r="V42" s="12"/>
      <c r="W42" s="12"/>
    </row>
    <row r="43" spans="1:23" ht="18">
      <c r="A43" s="34" t="s">
        <v>28</v>
      </c>
      <c r="V43" s="12"/>
      <c r="W43" s="12"/>
    </row>
    <row r="44" spans="1:23" ht="18">
      <c r="A44" s="34" t="s">
        <v>54</v>
      </c>
      <c r="V44" s="12"/>
      <c r="W44" s="12"/>
    </row>
    <row r="45" spans="1:23" ht="18">
      <c r="A45" s="34" t="s">
        <v>26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37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39"/>
  <sheetViews>
    <sheetView workbookViewId="0">
      <pane xSplit="1" topLeftCell="B1" activePane="topRight" state="frozen"/>
      <selection pane="topRight" activeCell="A3" sqref="A3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20" width="22.7109375" style="22" customWidth="1"/>
    <col min="21" max="16384" width="9.140625" style="22"/>
  </cols>
  <sheetData>
    <row r="1" spans="1:20" ht="15">
      <c r="A1" s="77" t="s">
        <v>8</v>
      </c>
      <c r="B1" s="21"/>
      <c r="C1" s="21"/>
      <c r="D1" s="21"/>
      <c r="E1" s="21"/>
    </row>
    <row r="2" spans="1:20" ht="15">
      <c r="A2" s="77" t="s">
        <v>104</v>
      </c>
      <c r="B2" s="21"/>
      <c r="C2" s="21"/>
      <c r="D2" s="21"/>
      <c r="E2" s="21"/>
    </row>
    <row r="3" spans="1:20" ht="17.25" customHeight="1">
      <c r="A3" s="77" t="s">
        <v>106</v>
      </c>
      <c r="B3" s="21"/>
      <c r="C3" s="21"/>
      <c r="D3" s="21"/>
      <c r="E3" s="21"/>
    </row>
    <row r="4" spans="1:20" ht="63" customHeight="1">
      <c r="A4" s="51" t="str">
        <f>'[1]MOÇÃO E REQUERIMENTO'!B7</f>
        <v>EXPEDIENTE</v>
      </c>
      <c r="B4" s="50" t="s">
        <v>51</v>
      </c>
      <c r="C4" s="119" t="s">
        <v>107</v>
      </c>
      <c r="D4" s="113" t="s">
        <v>36</v>
      </c>
      <c r="E4" s="127"/>
      <c r="F4" s="50" t="s">
        <v>29</v>
      </c>
      <c r="G4" s="85" t="s">
        <v>61</v>
      </c>
      <c r="H4" s="85" t="s">
        <v>62</v>
      </c>
      <c r="I4" s="85" t="s">
        <v>108</v>
      </c>
      <c r="J4" s="85" t="s">
        <v>73</v>
      </c>
      <c r="K4" s="69" t="s">
        <v>109</v>
      </c>
      <c r="L4" s="69" t="s">
        <v>110</v>
      </c>
      <c r="M4" s="69" t="s">
        <v>111</v>
      </c>
      <c r="N4" s="69" t="s">
        <v>74</v>
      </c>
      <c r="O4" s="69" t="s">
        <v>112</v>
      </c>
      <c r="P4" s="69" t="s">
        <v>113</v>
      </c>
      <c r="Q4" s="69" t="s">
        <v>102</v>
      </c>
      <c r="R4" s="69" t="s">
        <v>114</v>
      </c>
      <c r="S4" s="69" t="s">
        <v>115</v>
      </c>
      <c r="T4" s="69" t="s">
        <v>116</v>
      </c>
    </row>
    <row r="5" spans="1:20" s="59" customFormat="1" ht="48" customHeight="1">
      <c r="A5" s="57" t="s">
        <v>48</v>
      </c>
      <c r="B5" s="55"/>
      <c r="C5" s="55"/>
      <c r="D5" s="55"/>
      <c r="E5" s="114"/>
      <c r="G5" s="121" t="s">
        <v>99</v>
      </c>
      <c r="H5" s="114" t="s">
        <v>100</v>
      </c>
      <c r="I5" s="121" t="s">
        <v>99</v>
      </c>
      <c r="J5" s="121" t="s">
        <v>99</v>
      </c>
      <c r="K5" s="121" t="s">
        <v>99</v>
      </c>
      <c r="L5" s="114" t="s">
        <v>100</v>
      </c>
      <c r="M5" s="114" t="s">
        <v>100</v>
      </c>
      <c r="N5" s="121" t="s">
        <v>101</v>
      </c>
      <c r="O5" s="121" t="s">
        <v>101</v>
      </c>
      <c r="P5" s="114" t="s">
        <v>100</v>
      </c>
      <c r="Q5" s="114" t="s">
        <v>100</v>
      </c>
      <c r="R5" s="121" t="s">
        <v>99</v>
      </c>
      <c r="S5" s="114" t="s">
        <v>100</v>
      </c>
      <c r="T5" s="114" t="s">
        <v>100</v>
      </c>
    </row>
    <row r="6" spans="1:20" ht="15.75">
      <c r="A6" s="130" t="s">
        <v>58</v>
      </c>
      <c r="F6" s="23"/>
    </row>
    <row r="7" spans="1:20" ht="15.75">
      <c r="A7" s="130" t="s">
        <v>54</v>
      </c>
      <c r="F7" s="23"/>
    </row>
    <row r="8" spans="1:20" ht="15.75">
      <c r="A8" s="130" t="s">
        <v>63</v>
      </c>
      <c r="F8" s="23"/>
    </row>
    <row r="9" spans="1:20" ht="15.75">
      <c r="A9" s="131" t="s">
        <v>64</v>
      </c>
      <c r="F9" s="23"/>
    </row>
    <row r="10" spans="1:20" ht="15.75">
      <c r="A10" s="130" t="s">
        <v>30</v>
      </c>
      <c r="F10" s="23"/>
    </row>
    <row r="11" spans="1:20" ht="15.75">
      <c r="A11" s="130" t="s">
        <v>65</v>
      </c>
      <c r="F11" s="23"/>
    </row>
    <row r="12" spans="1:20" ht="15.75">
      <c r="A12" s="130" t="s">
        <v>23</v>
      </c>
      <c r="F12" s="23"/>
    </row>
    <row r="13" spans="1:20" ht="15.75">
      <c r="A13" s="130" t="s">
        <v>24</v>
      </c>
      <c r="F13" s="23"/>
    </row>
    <row r="14" spans="1:20" ht="15.75">
      <c r="A14" s="130" t="s">
        <v>25</v>
      </c>
      <c r="F14" s="23"/>
    </row>
    <row r="15" spans="1:20" ht="15.75">
      <c r="A15" s="130" t="s">
        <v>66</v>
      </c>
      <c r="F15" s="23"/>
    </row>
    <row r="16" spans="1:20" ht="15.75">
      <c r="A16" s="130" t="s">
        <v>67</v>
      </c>
      <c r="F16" s="23"/>
    </row>
    <row r="17" spans="1:6" ht="15.75">
      <c r="A17" s="130" t="s">
        <v>68</v>
      </c>
      <c r="F17" s="23"/>
    </row>
    <row r="18" spans="1:6" ht="15.75">
      <c r="A18" s="130" t="s">
        <v>26</v>
      </c>
      <c r="F18" s="23"/>
    </row>
    <row r="19" spans="1:6" ht="15.75">
      <c r="A19" s="130" t="s">
        <v>69</v>
      </c>
      <c r="F19" s="23"/>
    </row>
    <row r="20" spans="1:6" ht="15.75">
      <c r="A20" s="130" t="s">
        <v>39</v>
      </c>
      <c r="F20" s="23"/>
    </row>
    <row r="21" spans="1:6" ht="15.75">
      <c r="A21" s="130" t="s">
        <v>27</v>
      </c>
      <c r="F21" s="23"/>
    </row>
    <row r="22" spans="1:6" ht="15.75">
      <c r="A22" s="130" t="s">
        <v>70</v>
      </c>
      <c r="F22" s="23"/>
    </row>
    <row r="23" spans="1:6" ht="15.75">
      <c r="A23" s="130" t="s">
        <v>28</v>
      </c>
      <c r="F23" s="23"/>
    </row>
    <row r="24" spans="1:6" ht="15.75">
      <c r="A24" s="130" t="s">
        <v>56</v>
      </c>
      <c r="F24" s="23"/>
    </row>
    <row r="25" spans="1:6" ht="15.75">
      <c r="A25" s="130" t="s">
        <v>71</v>
      </c>
      <c r="F25" s="23"/>
    </row>
    <row r="26" spans="1:6" ht="15.75">
      <c r="A26" s="130" t="s">
        <v>72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18" sqref="G1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104</v>
      </c>
      <c r="B2" s="49"/>
      <c r="C2" s="75"/>
    </row>
    <row r="3" spans="1:45" ht="17.25" customHeight="1">
      <c r="A3" s="77" t="s">
        <v>106</v>
      </c>
      <c r="B3" s="49"/>
      <c r="C3" s="75"/>
      <c r="E3" s="118"/>
    </row>
    <row r="4" spans="1:45" ht="90.75" customHeight="1" thickBot="1">
      <c r="A4" s="52" t="s">
        <v>5</v>
      </c>
      <c r="B4" s="109" t="s">
        <v>33</v>
      </c>
      <c r="C4" s="116"/>
      <c r="D4" s="110" t="s">
        <v>6</v>
      </c>
      <c r="E4" s="120" t="s">
        <v>117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40</v>
      </c>
      <c r="B5" s="79"/>
      <c r="C5" s="114"/>
      <c r="D5" s="80"/>
      <c r="E5" s="142" t="s">
        <v>103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58</v>
      </c>
      <c r="C6" s="108"/>
      <c r="E6" s="108"/>
    </row>
    <row r="7" spans="1:45" ht="20.25">
      <c r="A7" s="46" t="s">
        <v>54</v>
      </c>
      <c r="C7" s="108"/>
      <c r="E7" s="108"/>
    </row>
    <row r="8" spans="1:45" ht="20.25">
      <c r="A8" s="46" t="s">
        <v>63</v>
      </c>
      <c r="C8" s="115"/>
      <c r="E8" s="115"/>
    </row>
    <row r="9" spans="1:45" ht="20.25">
      <c r="A9" s="83" t="s">
        <v>64</v>
      </c>
      <c r="C9" s="108"/>
      <c r="E9" s="108"/>
    </row>
    <row r="10" spans="1:45" ht="20.25">
      <c r="A10" s="46" t="s">
        <v>30</v>
      </c>
      <c r="C10" s="108"/>
      <c r="E10" s="108"/>
    </row>
    <row r="11" spans="1:45" ht="20.25">
      <c r="A11" s="46" t="s">
        <v>65</v>
      </c>
      <c r="C11" s="108"/>
      <c r="E11" s="108"/>
    </row>
    <row r="12" spans="1:45" ht="20.25">
      <c r="A12" s="46" t="s">
        <v>23</v>
      </c>
      <c r="C12" s="108"/>
      <c r="E12" s="108"/>
    </row>
    <row r="13" spans="1:45" ht="20.25">
      <c r="A13" s="46" t="s">
        <v>24</v>
      </c>
      <c r="C13" s="115"/>
      <c r="E13" s="108"/>
    </row>
    <row r="14" spans="1:45" ht="20.25">
      <c r="A14" s="46" t="s">
        <v>25</v>
      </c>
      <c r="C14" s="115"/>
      <c r="E14" s="108"/>
    </row>
    <row r="15" spans="1:45" ht="20.25">
      <c r="A15" s="46" t="s">
        <v>66</v>
      </c>
      <c r="C15" s="115"/>
      <c r="E15" s="115"/>
    </row>
    <row r="16" spans="1:45" ht="20.25">
      <c r="A16" s="46" t="s">
        <v>67</v>
      </c>
      <c r="C16" s="108"/>
      <c r="E16" s="108"/>
    </row>
    <row r="17" spans="1:130" ht="20.25">
      <c r="A17" s="46" t="s">
        <v>68</v>
      </c>
      <c r="C17" s="115"/>
      <c r="E17" s="108"/>
    </row>
    <row r="18" spans="1:130" ht="20.25">
      <c r="A18" s="46" t="s">
        <v>26</v>
      </c>
      <c r="C18" s="108"/>
      <c r="E18" s="108"/>
    </row>
    <row r="19" spans="1:130" ht="20.25">
      <c r="A19" s="46" t="s">
        <v>69</v>
      </c>
      <c r="C19" s="108"/>
      <c r="E19" s="108"/>
    </row>
    <row r="20" spans="1:130" ht="20.25">
      <c r="A20" s="46" t="s">
        <v>39</v>
      </c>
      <c r="C20" s="108"/>
      <c r="E20" s="108"/>
    </row>
    <row r="21" spans="1:130" ht="20.25">
      <c r="A21" s="46" t="s">
        <v>27</v>
      </c>
      <c r="C21" s="108"/>
      <c r="E21" s="108"/>
    </row>
    <row r="22" spans="1:130" ht="20.25">
      <c r="A22" s="46" t="s">
        <v>70</v>
      </c>
      <c r="C22" s="108"/>
      <c r="E22" s="108"/>
    </row>
    <row r="23" spans="1:130" ht="20.25">
      <c r="A23" s="46" t="s">
        <v>28</v>
      </c>
      <c r="C23" s="108"/>
      <c r="E23" s="108"/>
    </row>
    <row r="24" spans="1:130" ht="20.25">
      <c r="A24" s="46" t="s">
        <v>56</v>
      </c>
      <c r="C24" s="108"/>
      <c r="E24" s="108"/>
    </row>
    <row r="25" spans="1:130" ht="20.25">
      <c r="A25" s="46" t="s">
        <v>71</v>
      </c>
      <c r="C25" s="108"/>
      <c r="E25" s="108"/>
    </row>
    <row r="26" spans="1:130" ht="20.25">
      <c r="A26" s="46" t="s">
        <v>72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8" sqref="F8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3" t="s">
        <v>5</v>
      </c>
      <c r="B4" s="122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42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2" t="s">
        <v>58</v>
      </c>
      <c r="C6" s="108"/>
      <c r="U6" s="7"/>
      <c r="V6" s="7"/>
    </row>
    <row r="7" spans="1:29" ht="18">
      <c r="A7" s="132" t="s">
        <v>54</v>
      </c>
      <c r="C7" s="108"/>
      <c r="U7" s="7"/>
      <c r="V7" s="7"/>
    </row>
    <row r="8" spans="1:29" ht="18">
      <c r="A8" s="132" t="s">
        <v>63</v>
      </c>
      <c r="C8" s="108"/>
      <c r="U8" s="7"/>
      <c r="V8" s="7"/>
    </row>
    <row r="9" spans="1:29" ht="18">
      <c r="A9" s="133" t="s">
        <v>64</v>
      </c>
      <c r="C9" s="108"/>
      <c r="U9" s="7"/>
      <c r="V9" s="7"/>
    </row>
    <row r="10" spans="1:29" ht="18">
      <c r="A10" s="132" t="s">
        <v>30</v>
      </c>
      <c r="C10" s="115"/>
      <c r="U10" s="7"/>
      <c r="V10" s="7"/>
    </row>
    <row r="11" spans="1:29" ht="18">
      <c r="A11" s="132" t="s">
        <v>65</v>
      </c>
      <c r="C11" s="108"/>
      <c r="U11" s="7"/>
      <c r="V11" s="7"/>
    </row>
    <row r="12" spans="1:29" ht="18">
      <c r="A12" s="132" t="s">
        <v>23</v>
      </c>
      <c r="C12" s="108"/>
      <c r="U12" s="7"/>
      <c r="V12" s="7"/>
    </row>
    <row r="13" spans="1:29" ht="18">
      <c r="A13" s="132" t="s">
        <v>24</v>
      </c>
      <c r="C13" s="108"/>
      <c r="U13" s="7"/>
      <c r="V13" s="7"/>
    </row>
    <row r="14" spans="1:29" ht="18">
      <c r="A14" s="132" t="s">
        <v>25</v>
      </c>
      <c r="C14" s="115"/>
      <c r="U14" s="7"/>
      <c r="V14" s="7"/>
    </row>
    <row r="15" spans="1:29" ht="18">
      <c r="A15" s="132" t="s">
        <v>66</v>
      </c>
      <c r="C15" s="108"/>
      <c r="U15" s="7"/>
      <c r="V15" s="7"/>
    </row>
    <row r="16" spans="1:29" ht="18">
      <c r="A16" s="132" t="s">
        <v>67</v>
      </c>
      <c r="C16" s="108"/>
      <c r="U16" s="7"/>
      <c r="V16" s="7"/>
    </row>
    <row r="17" spans="1:123" ht="15" customHeight="1">
      <c r="A17" s="132" t="s">
        <v>68</v>
      </c>
      <c r="C17" s="108"/>
      <c r="T17" s="8"/>
      <c r="U17" s="7"/>
      <c r="V17" s="7"/>
    </row>
    <row r="18" spans="1:123" ht="18">
      <c r="A18" s="132" t="s">
        <v>26</v>
      </c>
      <c r="C18" s="108"/>
      <c r="U18" s="7"/>
      <c r="V18" s="7"/>
    </row>
    <row r="19" spans="1:123" ht="18">
      <c r="A19" s="132" t="s">
        <v>69</v>
      </c>
      <c r="C19" s="108"/>
      <c r="U19" s="7"/>
      <c r="V19" s="7"/>
    </row>
    <row r="20" spans="1:123" ht="18">
      <c r="A20" s="132" t="s">
        <v>39</v>
      </c>
      <c r="C20" s="108"/>
      <c r="U20" s="7"/>
      <c r="V20" s="7"/>
    </row>
    <row r="21" spans="1:123" ht="18">
      <c r="A21" s="132" t="s">
        <v>27</v>
      </c>
      <c r="C21" s="108"/>
      <c r="U21" s="7"/>
      <c r="V21" s="7"/>
    </row>
    <row r="22" spans="1:123" ht="18">
      <c r="A22" s="132" t="s">
        <v>70</v>
      </c>
      <c r="C22" s="108"/>
      <c r="U22" s="7"/>
      <c r="V22" s="7"/>
    </row>
    <row r="23" spans="1:123" ht="18">
      <c r="A23" s="132" t="s">
        <v>28</v>
      </c>
      <c r="C23" s="108"/>
      <c r="U23" s="7"/>
      <c r="V23" s="7"/>
    </row>
    <row r="24" spans="1:123" ht="18">
      <c r="A24" s="132" t="s">
        <v>56</v>
      </c>
      <c r="C24" s="108"/>
      <c r="U24" s="7"/>
      <c r="V24" s="7"/>
    </row>
    <row r="25" spans="1:123" ht="18">
      <c r="A25" s="132" t="s">
        <v>71</v>
      </c>
      <c r="C25" s="108"/>
      <c r="U25" s="7"/>
      <c r="V25" s="7"/>
    </row>
    <row r="26" spans="1:123" ht="18">
      <c r="A26" s="132" t="s">
        <v>72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J8" sqref="J8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104</v>
      </c>
      <c r="B2" s="2"/>
    </row>
    <row r="3" spans="1:3" ht="15.75" thickBot="1">
      <c r="A3" s="124" t="s">
        <v>106</v>
      </c>
      <c r="B3" s="2"/>
    </row>
    <row r="4" spans="1:3" ht="78.75" customHeight="1" thickBot="1">
      <c r="A4" s="123" t="s">
        <v>5</v>
      </c>
      <c r="B4" s="112" t="s">
        <v>21</v>
      </c>
      <c r="C4" s="107"/>
    </row>
    <row r="5" spans="1:3" s="6" customFormat="1" ht="60.75" customHeight="1">
      <c r="A5" s="125"/>
      <c r="B5" s="112"/>
      <c r="C5" s="114"/>
    </row>
    <row r="6" spans="1:3" ht="15.75">
      <c r="A6" s="130" t="s">
        <v>58</v>
      </c>
      <c r="C6" s="108"/>
    </row>
    <row r="7" spans="1:3" ht="15.75">
      <c r="A7" s="130" t="s">
        <v>54</v>
      </c>
      <c r="C7" s="115"/>
    </row>
    <row r="8" spans="1:3" ht="15.75">
      <c r="A8" s="130" t="s">
        <v>63</v>
      </c>
      <c r="C8" s="115"/>
    </row>
    <row r="9" spans="1:3" ht="15.75">
      <c r="A9" s="131" t="s">
        <v>64</v>
      </c>
      <c r="C9" s="108"/>
    </row>
    <row r="10" spans="1:3" ht="15.75">
      <c r="A10" s="130" t="s">
        <v>30</v>
      </c>
      <c r="C10" s="108"/>
    </row>
    <row r="11" spans="1:3" ht="15.75">
      <c r="A11" s="130" t="s">
        <v>65</v>
      </c>
      <c r="C11" s="108"/>
    </row>
    <row r="12" spans="1:3" ht="15.75">
      <c r="A12" s="130" t="s">
        <v>23</v>
      </c>
      <c r="C12" s="108"/>
    </row>
    <row r="13" spans="1:3" ht="15.75">
      <c r="A13" s="130" t="s">
        <v>24</v>
      </c>
      <c r="C13" s="108"/>
    </row>
    <row r="14" spans="1:3" ht="15.75">
      <c r="A14" s="130" t="s">
        <v>25</v>
      </c>
      <c r="C14" s="108"/>
    </row>
    <row r="15" spans="1:3" ht="15.75">
      <c r="A15" s="130" t="s">
        <v>66</v>
      </c>
      <c r="C15" s="108"/>
    </row>
    <row r="16" spans="1:3" ht="15.75">
      <c r="A16" s="130" t="s">
        <v>67</v>
      </c>
      <c r="C16" s="108"/>
    </row>
    <row r="17" spans="1:3" ht="15.75">
      <c r="A17" s="130" t="s">
        <v>68</v>
      </c>
      <c r="C17" s="108"/>
    </row>
    <row r="18" spans="1:3" ht="15.75">
      <c r="A18" s="130" t="s">
        <v>26</v>
      </c>
      <c r="C18" s="108"/>
    </row>
    <row r="19" spans="1:3" ht="15.75">
      <c r="A19" s="130" t="s">
        <v>69</v>
      </c>
      <c r="C19" s="108"/>
    </row>
    <row r="20" spans="1:3" ht="15.75">
      <c r="A20" s="130" t="s">
        <v>39</v>
      </c>
      <c r="C20" s="108"/>
    </row>
    <row r="21" spans="1:3" ht="15.75">
      <c r="A21" s="130" t="s">
        <v>27</v>
      </c>
      <c r="C21" s="108"/>
    </row>
    <row r="22" spans="1:3" ht="15.75">
      <c r="A22" s="130" t="s">
        <v>70</v>
      </c>
      <c r="C22" s="115"/>
    </row>
    <row r="23" spans="1:3" ht="15.75">
      <c r="A23" s="130" t="s">
        <v>28</v>
      </c>
      <c r="C23" s="108"/>
    </row>
    <row r="24" spans="1:3" ht="15.75">
      <c r="A24" s="130" t="s">
        <v>56</v>
      </c>
      <c r="C24" s="108"/>
    </row>
    <row r="25" spans="1:3" ht="15.75">
      <c r="A25" s="130" t="s">
        <v>71</v>
      </c>
      <c r="C25" s="108"/>
    </row>
    <row r="26" spans="1:3" ht="15.75">
      <c r="A26" s="130" t="s">
        <v>72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104</v>
      </c>
      <c r="B2" s="2"/>
      <c r="C2" s="54"/>
      <c r="D2" s="54"/>
      <c r="E2" s="54"/>
    </row>
    <row r="3" spans="1:9" ht="15.75" thickBot="1">
      <c r="A3" s="124" t="s">
        <v>106</v>
      </c>
      <c r="B3" s="2"/>
      <c r="C3" s="54"/>
      <c r="D3" s="54"/>
      <c r="E3" s="54"/>
    </row>
    <row r="4" spans="1:9" ht="78" customHeight="1" thickBot="1">
      <c r="A4" s="123" t="s">
        <v>5</v>
      </c>
      <c r="B4" s="126" t="s">
        <v>34</v>
      </c>
      <c r="C4" s="134" t="s">
        <v>43</v>
      </c>
      <c r="D4" s="134" t="s">
        <v>42</v>
      </c>
      <c r="E4" s="134" t="s">
        <v>44</v>
      </c>
      <c r="F4" s="134" t="s">
        <v>45</v>
      </c>
      <c r="G4" s="134" t="s">
        <v>46</v>
      </c>
      <c r="H4" s="134" t="s">
        <v>47</v>
      </c>
      <c r="I4" s="134" t="s">
        <v>75</v>
      </c>
    </row>
    <row r="5" spans="1:9" ht="60.75" customHeight="1">
      <c r="A5" s="48"/>
      <c r="B5" s="10"/>
      <c r="C5" s="135"/>
      <c r="D5" s="134"/>
      <c r="E5" s="134"/>
      <c r="F5" s="136"/>
      <c r="G5" s="137"/>
      <c r="H5" s="137"/>
      <c r="I5" s="40"/>
    </row>
    <row r="6" spans="1:9" ht="18">
      <c r="A6" s="132" t="s">
        <v>58</v>
      </c>
      <c r="C6" s="137"/>
      <c r="D6" s="137"/>
      <c r="E6" s="137"/>
      <c r="F6" s="137"/>
      <c r="G6" s="137"/>
      <c r="H6" s="137"/>
      <c r="I6" s="40"/>
    </row>
    <row r="7" spans="1:9" ht="18">
      <c r="A7" s="132" t="s">
        <v>54</v>
      </c>
      <c r="C7" s="137"/>
      <c r="D7" s="137"/>
      <c r="E7" s="137"/>
      <c r="F7" s="137"/>
      <c r="G7" s="137"/>
      <c r="H7" s="137"/>
      <c r="I7" s="40"/>
    </row>
    <row r="8" spans="1:9" ht="18">
      <c r="A8" s="132" t="s">
        <v>63</v>
      </c>
      <c r="C8" s="137"/>
      <c r="D8" s="137"/>
      <c r="E8" s="137"/>
      <c r="F8" s="137"/>
      <c r="G8" s="137"/>
      <c r="H8" s="137"/>
      <c r="I8" s="40"/>
    </row>
    <row r="9" spans="1:9" ht="18">
      <c r="A9" s="133" t="s">
        <v>64</v>
      </c>
      <c r="C9" s="137"/>
      <c r="D9" s="137"/>
      <c r="E9" s="137"/>
      <c r="F9" s="137"/>
      <c r="G9" s="137"/>
      <c r="H9" s="137"/>
      <c r="I9" s="40"/>
    </row>
    <row r="10" spans="1:9" ht="18">
      <c r="A10" s="132" t="s">
        <v>30</v>
      </c>
      <c r="C10" s="137"/>
      <c r="D10" s="137"/>
      <c r="E10" s="137"/>
      <c r="F10" s="137"/>
      <c r="G10" s="137"/>
      <c r="H10" s="137"/>
      <c r="I10" s="40"/>
    </row>
    <row r="11" spans="1:9" ht="18">
      <c r="A11" s="132" t="s">
        <v>65</v>
      </c>
      <c r="C11" s="137"/>
      <c r="D11" s="137"/>
      <c r="E11" s="137"/>
      <c r="F11" s="137"/>
      <c r="G11" s="137"/>
      <c r="H11" s="137"/>
      <c r="I11" s="40"/>
    </row>
    <row r="12" spans="1:9" ht="18">
      <c r="A12" s="132" t="s">
        <v>23</v>
      </c>
      <c r="C12" s="137"/>
      <c r="D12" s="137"/>
      <c r="E12" s="137"/>
      <c r="F12" s="137"/>
      <c r="G12" s="137"/>
      <c r="H12" s="137"/>
      <c r="I12" s="40"/>
    </row>
    <row r="13" spans="1:9" ht="18">
      <c r="A13" s="132" t="s">
        <v>24</v>
      </c>
      <c r="C13" s="137"/>
      <c r="D13" s="137"/>
      <c r="E13" s="137"/>
      <c r="F13" s="137"/>
      <c r="G13" s="137"/>
      <c r="H13" s="137"/>
      <c r="I13" s="40"/>
    </row>
    <row r="14" spans="1:9" ht="18">
      <c r="A14" s="132" t="s">
        <v>25</v>
      </c>
      <c r="C14" s="137"/>
      <c r="D14" s="137"/>
      <c r="E14" s="137"/>
      <c r="F14" s="137"/>
      <c r="G14" s="137"/>
      <c r="H14" s="137"/>
      <c r="I14" s="40"/>
    </row>
    <row r="15" spans="1:9" ht="18">
      <c r="A15" s="132" t="s">
        <v>66</v>
      </c>
      <c r="C15" s="137"/>
      <c r="D15" s="137"/>
      <c r="E15" s="137"/>
      <c r="F15" s="137"/>
      <c r="G15" s="137"/>
      <c r="H15" s="137"/>
      <c r="I15" s="40"/>
    </row>
    <row r="16" spans="1:9" ht="18">
      <c r="A16" s="132" t="s">
        <v>67</v>
      </c>
      <c r="C16" s="137"/>
      <c r="D16" s="137"/>
      <c r="E16" s="137"/>
      <c r="F16" s="137"/>
      <c r="G16" s="137"/>
      <c r="H16" s="137"/>
      <c r="I16" s="40"/>
    </row>
    <row r="17" spans="1:9" ht="18">
      <c r="A17" s="132" t="s">
        <v>68</v>
      </c>
      <c r="C17" s="137"/>
      <c r="D17" s="137"/>
      <c r="E17" s="137"/>
      <c r="F17" s="137"/>
      <c r="G17" s="137"/>
      <c r="H17" s="137"/>
      <c r="I17" s="40"/>
    </row>
    <row r="18" spans="1:9" ht="18">
      <c r="A18" s="132" t="s">
        <v>26</v>
      </c>
      <c r="C18" s="137"/>
      <c r="D18" s="137"/>
      <c r="E18" s="137"/>
      <c r="F18" s="137"/>
      <c r="G18" s="137"/>
      <c r="H18" s="137"/>
      <c r="I18" s="40"/>
    </row>
    <row r="19" spans="1:9" ht="18">
      <c r="A19" s="132" t="s">
        <v>69</v>
      </c>
      <c r="C19" s="137"/>
      <c r="D19" s="137"/>
      <c r="E19" s="137"/>
      <c r="F19" s="137"/>
      <c r="G19" s="137"/>
      <c r="H19" s="137"/>
      <c r="I19" s="40"/>
    </row>
    <row r="20" spans="1:9" ht="18">
      <c r="A20" s="132" t="s">
        <v>39</v>
      </c>
      <c r="C20" s="137"/>
      <c r="D20" s="137"/>
      <c r="E20" s="137"/>
      <c r="F20" s="137"/>
      <c r="G20" s="137"/>
      <c r="H20" s="137"/>
      <c r="I20" s="40"/>
    </row>
    <row r="21" spans="1:9" ht="18">
      <c r="A21" s="132" t="s">
        <v>27</v>
      </c>
      <c r="C21" s="137"/>
      <c r="D21" s="137"/>
      <c r="E21" s="137"/>
      <c r="F21" s="137"/>
      <c r="G21" s="137"/>
      <c r="H21" s="137"/>
      <c r="I21" s="40"/>
    </row>
    <row r="22" spans="1:9" ht="18">
      <c r="A22" s="132" t="s">
        <v>70</v>
      </c>
      <c r="C22" s="137"/>
      <c r="D22" s="137"/>
      <c r="E22" s="137"/>
      <c r="F22" s="137"/>
      <c r="G22" s="137"/>
      <c r="H22" s="137"/>
      <c r="I22" s="40"/>
    </row>
    <row r="23" spans="1:9" ht="18">
      <c r="A23" s="132" t="s">
        <v>28</v>
      </c>
      <c r="C23" s="137"/>
      <c r="D23" s="137"/>
      <c r="E23" s="137"/>
      <c r="F23" s="137"/>
      <c r="G23" s="137"/>
      <c r="H23" s="137"/>
      <c r="I23" s="40"/>
    </row>
    <row r="24" spans="1:9" ht="18">
      <c r="A24" s="132" t="s">
        <v>56</v>
      </c>
      <c r="C24" s="137"/>
      <c r="D24" s="137"/>
      <c r="E24" s="137"/>
      <c r="F24" s="137"/>
      <c r="G24" s="137"/>
      <c r="H24" s="137"/>
      <c r="I24" s="40"/>
    </row>
    <row r="25" spans="1:9" ht="18">
      <c r="A25" s="132" t="s">
        <v>71</v>
      </c>
      <c r="C25" s="137"/>
      <c r="D25" s="137"/>
      <c r="E25" s="137"/>
      <c r="F25" s="137"/>
      <c r="G25" s="137"/>
      <c r="H25" s="137"/>
      <c r="I25" s="40"/>
    </row>
    <row r="26" spans="1:9" ht="18">
      <c r="A26" s="132" t="s">
        <v>72</v>
      </c>
      <c r="C26" s="137"/>
      <c r="D26" s="137"/>
      <c r="E26" s="137"/>
      <c r="F26" s="137"/>
      <c r="G26" s="137"/>
      <c r="H26" s="137"/>
      <c r="I26" s="40"/>
    </row>
    <row r="27" spans="1:9">
      <c r="C27" s="137"/>
      <c r="D27" s="137"/>
      <c r="E27" s="137"/>
      <c r="F27" s="137"/>
      <c r="G27" s="137"/>
      <c r="H27" s="137"/>
      <c r="I27" s="40"/>
    </row>
    <row r="28" spans="1:9" ht="15.75">
      <c r="A28" s="15" t="s">
        <v>18</v>
      </c>
      <c r="B28" s="16"/>
      <c r="C28" s="138">
        <f t="shared" ref="C28:I28" si="0">COUNTIF(C6:C26,"sim")</f>
        <v>0</v>
      </c>
      <c r="D28" s="138">
        <f t="shared" si="0"/>
        <v>0</v>
      </c>
      <c r="E28" s="138">
        <f t="shared" si="0"/>
        <v>0</v>
      </c>
      <c r="F28" s="138">
        <f t="shared" si="0"/>
        <v>0</v>
      </c>
      <c r="G28" s="138">
        <f t="shared" si="0"/>
        <v>0</v>
      </c>
      <c r="H28" s="138">
        <f t="shared" si="0"/>
        <v>0</v>
      </c>
      <c r="I28" s="138">
        <f t="shared" si="0"/>
        <v>0</v>
      </c>
    </row>
    <row r="29" spans="1:9" ht="15.75">
      <c r="A29" s="17" t="s">
        <v>19</v>
      </c>
      <c r="B29" s="18"/>
      <c r="C29" s="139">
        <f t="shared" ref="C29:I29" si="1">COUNTIF(C6:C26,"não")</f>
        <v>0</v>
      </c>
      <c r="D29" s="139">
        <f t="shared" si="1"/>
        <v>0</v>
      </c>
      <c r="E29" s="139">
        <f t="shared" si="1"/>
        <v>0</v>
      </c>
      <c r="F29" s="139">
        <f t="shared" si="1"/>
        <v>0</v>
      </c>
      <c r="G29" s="139">
        <f t="shared" si="1"/>
        <v>0</v>
      </c>
      <c r="H29" s="139">
        <f t="shared" si="1"/>
        <v>0</v>
      </c>
      <c r="I29" s="139">
        <f t="shared" si="1"/>
        <v>0</v>
      </c>
    </row>
    <row r="30" spans="1:9" ht="15.75">
      <c r="A30" s="14" t="s">
        <v>11</v>
      </c>
      <c r="C30" s="137">
        <f t="shared" ref="C30:I30" si="2">COUNTIF(C6:C26,"ausente")</f>
        <v>0</v>
      </c>
      <c r="D30" s="137">
        <f t="shared" si="2"/>
        <v>0</v>
      </c>
      <c r="E30" s="137">
        <f t="shared" si="2"/>
        <v>0</v>
      </c>
      <c r="F30" s="137">
        <f t="shared" si="2"/>
        <v>0</v>
      </c>
      <c r="G30" s="137">
        <f t="shared" si="2"/>
        <v>0</v>
      </c>
      <c r="H30" s="137">
        <f t="shared" si="2"/>
        <v>0</v>
      </c>
      <c r="I30" s="137">
        <f t="shared" si="2"/>
        <v>0</v>
      </c>
    </row>
    <row r="31" spans="1:9" ht="15.75">
      <c r="A31" s="19" t="s">
        <v>20</v>
      </c>
      <c r="B31" s="20"/>
      <c r="C31" s="140">
        <f t="shared" ref="C31:I31" si="3">COUNTIF(C6:C26,"abstenção")</f>
        <v>0</v>
      </c>
      <c r="D31" s="140">
        <f t="shared" si="3"/>
        <v>0</v>
      </c>
      <c r="E31" s="140">
        <f t="shared" si="3"/>
        <v>0</v>
      </c>
      <c r="F31" s="140">
        <f t="shared" si="3"/>
        <v>0</v>
      </c>
      <c r="G31" s="140">
        <f t="shared" si="3"/>
        <v>0</v>
      </c>
      <c r="H31" s="140">
        <f t="shared" si="3"/>
        <v>0</v>
      </c>
      <c r="I31" s="140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104</v>
      </c>
      <c r="B2" s="2"/>
    </row>
    <row r="3" spans="1:25">
      <c r="A3" s="77" t="s">
        <v>106</v>
      </c>
      <c r="B3" s="2"/>
    </row>
    <row r="4" spans="1:25" ht="60.75" customHeight="1" thickBot="1">
      <c r="A4" s="52" t="s">
        <v>5</v>
      </c>
      <c r="B4" s="111" t="s">
        <v>35</v>
      </c>
      <c r="C4" s="107" t="s">
        <v>41</v>
      </c>
      <c r="D4" s="107" t="s">
        <v>76</v>
      </c>
      <c r="E4" s="107" t="s">
        <v>77</v>
      </c>
      <c r="F4" s="107" t="s">
        <v>78</v>
      </c>
      <c r="G4" s="107" t="s">
        <v>79</v>
      </c>
      <c r="H4" s="107" t="s">
        <v>80</v>
      </c>
      <c r="I4" s="107" t="s">
        <v>81</v>
      </c>
      <c r="J4" s="107" t="s">
        <v>82</v>
      </c>
      <c r="K4" s="107" t="s">
        <v>83</v>
      </c>
      <c r="L4" s="107" t="s">
        <v>84</v>
      </c>
      <c r="M4" s="107" t="s">
        <v>85</v>
      </c>
      <c r="N4" s="107" t="s">
        <v>86</v>
      </c>
      <c r="O4" s="107" t="s">
        <v>87</v>
      </c>
      <c r="P4" s="107" t="s">
        <v>88</v>
      </c>
      <c r="Q4" s="107" t="s">
        <v>89</v>
      </c>
      <c r="R4" s="107" t="s">
        <v>90</v>
      </c>
      <c r="S4" s="107" t="s">
        <v>91</v>
      </c>
      <c r="T4" s="107" t="s">
        <v>92</v>
      </c>
      <c r="U4" s="107" t="s">
        <v>93</v>
      </c>
      <c r="V4" s="107" t="s">
        <v>94</v>
      </c>
      <c r="W4" s="107" t="s">
        <v>95</v>
      </c>
      <c r="X4" s="107" t="s">
        <v>96</v>
      </c>
      <c r="Y4" s="107" t="s">
        <v>97</v>
      </c>
    </row>
    <row r="5" spans="1:25" ht="60.75" customHeight="1">
      <c r="A5" s="48"/>
      <c r="B5" s="11"/>
      <c r="C5" s="141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30" t="s">
        <v>58</v>
      </c>
    </row>
    <row r="7" spans="1:25" ht="15.75">
      <c r="A7" s="130" t="s">
        <v>54</v>
      </c>
    </row>
    <row r="8" spans="1:25" ht="15.75">
      <c r="A8" s="130" t="s">
        <v>63</v>
      </c>
    </row>
    <row r="9" spans="1:25" ht="15.75">
      <c r="A9" s="131" t="s">
        <v>64</v>
      </c>
    </row>
    <row r="10" spans="1:25" ht="15.75">
      <c r="A10" s="130" t="s">
        <v>30</v>
      </c>
    </row>
    <row r="11" spans="1:25" ht="15.75">
      <c r="A11" s="130" t="s">
        <v>65</v>
      </c>
    </row>
    <row r="12" spans="1:25" ht="15.75">
      <c r="A12" s="130" t="s">
        <v>23</v>
      </c>
    </row>
    <row r="13" spans="1:25" ht="15.75">
      <c r="A13" s="130" t="s">
        <v>24</v>
      </c>
    </row>
    <row r="14" spans="1:25" ht="15.75">
      <c r="A14" s="130" t="s">
        <v>25</v>
      </c>
    </row>
    <row r="15" spans="1:25" ht="15.75">
      <c r="A15" s="130" t="s">
        <v>66</v>
      </c>
    </row>
    <row r="16" spans="1:25" ht="15.75">
      <c r="A16" s="130" t="s">
        <v>67</v>
      </c>
    </row>
    <row r="17" spans="1:25" ht="15.75">
      <c r="A17" s="130" t="s">
        <v>68</v>
      </c>
    </row>
    <row r="18" spans="1:25" ht="15.75">
      <c r="A18" s="130" t="s">
        <v>26</v>
      </c>
    </row>
    <row r="19" spans="1:25" ht="15.75">
      <c r="A19" s="130" t="s">
        <v>69</v>
      </c>
    </row>
    <row r="20" spans="1:25" ht="15.75">
      <c r="A20" s="130" t="s">
        <v>39</v>
      </c>
    </row>
    <row r="21" spans="1:25" ht="15.75">
      <c r="A21" s="130" t="s">
        <v>27</v>
      </c>
    </row>
    <row r="22" spans="1:25" ht="15.75">
      <c r="A22" s="130" t="s">
        <v>70</v>
      </c>
    </row>
    <row r="23" spans="1:25" ht="15.75">
      <c r="A23" s="130" t="s">
        <v>28</v>
      </c>
    </row>
    <row r="24" spans="1:25" ht="15.75">
      <c r="A24" s="130" t="s">
        <v>56</v>
      </c>
    </row>
    <row r="25" spans="1:25" ht="15.75">
      <c r="A25" s="130" t="s">
        <v>71</v>
      </c>
    </row>
    <row r="26" spans="1:25" ht="15.75">
      <c r="A26" s="130" t="s">
        <v>72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2025-02-17T20:12:03Z</dcterms:modified>
</cp:coreProperties>
</file>