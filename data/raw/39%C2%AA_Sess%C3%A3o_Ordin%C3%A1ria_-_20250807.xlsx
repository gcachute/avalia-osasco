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showInkAnnotation="0" codeName="EstaPastaDeTrabalho" defaultThemeVersion="166925"/>
  <mc:AlternateContent xmlns:mc="http://schemas.openxmlformats.org/markup-compatibility/2006">
    <mc:Choice Requires="x15">
      <x15ac:absPath xmlns:x15ac="http://schemas.microsoft.com/office/spreadsheetml/2010/11/ac" url="C:\Users\60086\Desktop\"/>
    </mc:Choice>
  </mc:AlternateContent>
  <xr:revisionPtr revIDLastSave="0" documentId="13_ncr:1_{383CB6DA-7438-402E-915A-C7B5D7A67494}" xr6:coauthVersionLast="47" xr6:coauthVersionMax="47" xr10:uidLastSave="{00000000-0000-0000-0000-000000000000}"/>
  <bookViews>
    <workbookView xWindow="-120" yWindow="-120" windowWidth="29040" windowHeight="15720" tabRatio="849" activeTab="4" xr2:uid="{00000000-000D-0000-FFFF-FFFF00000000}"/>
  </bookViews>
  <sheets>
    <sheet name="PRESENÇA" sheetId="7" r:id="rId1"/>
    <sheet name="MOÇÃO E REQUERIMENTO" sheetId="14" r:id="rId2"/>
    <sheet name="VETO E SEGUNDA DISCUSSÃO" sheetId="2" r:id="rId3"/>
    <sheet name="PRIMEIRA DISCUSSÃO" sheetId="3" r:id="rId4"/>
    <sheet name="DISCUSSÃO ÚNICA" sheetId="10" r:id="rId5"/>
    <sheet name="RECURSOS- DISCUSSÃO ÚNICA" sheetId="11" r:id="rId6"/>
    <sheet name="DISCUSSÃO ÚNICA – REQUERIMENTOS" sheetId="15" r:id="rId7"/>
  </sheets>
  <externalReferences>
    <externalReference r:id="rId8"/>
  </externalReferences>
  <definedNames>
    <definedName name="_Hlk145497387" localSheetId="1">'MOÇÃO E REQUERIMENTO'!#REF!</definedName>
    <definedName name="_Hlk145938527" localSheetId="1">'MOÇÃO E REQUERIMENTO'!#REF!</definedName>
    <definedName name="_Hlk145938710" localSheetId="1">'MOÇÃO E REQUERIMENTO'!#REF!</definedName>
    <definedName name="_Hlk146533283" localSheetId="3">'VETO E SEGUNDA DISCUSSÃO'!#REF!</definedName>
    <definedName name="_Hlk146700160" localSheetId="1">'MOÇÃO E REQUERIMENTO'!#REF!</definedName>
    <definedName name="_Hlk147314520" localSheetId="1">'MOÇÃO E REQUERIMENTO'!#REF!</definedName>
    <definedName name="_Hlk149048439" localSheetId="1">'MOÇÃO E REQUERIMENTO'!#REF!</definedName>
    <definedName name="_Hlk149048792" localSheetId="1">'MOÇÃO E REQUERIMENTO'!#REF!</definedName>
    <definedName name="_Hlk151544474" localSheetId="3">'VETO E SEGUNDA DISCUSSÃO'!#REF!</definedName>
    <definedName name="_Hlk151978252" localSheetId="1">'MOÇÃO E REQUERIMENTO'!#REF!</definedName>
    <definedName name="_Hlk152581014" localSheetId="1">'MOÇÃO E REQUERIMENTO'!#REF!</definedName>
    <definedName name="_Hlk153803306" localSheetId="1">'MOÇÃO E REQUERIMENTO'!#REF!</definedName>
    <definedName name="_Hlk153969257" localSheetId="2">'VETO E SEGUNDA DISCUSSÃO'!#REF!</definedName>
    <definedName name="_Hlk157507015" localSheetId="1">'MOÇÃO E REQUERIMENTO'!#REF!</definedName>
    <definedName name="_Hlk157507236" localSheetId="1">'MOÇÃO E REQUERIMENTO'!#REF!</definedName>
    <definedName name="_Hlk157520661" localSheetId="1">'MOÇÃO E REQUERIMENTO'!#REF!</definedName>
    <definedName name="_Hlk173748309" localSheetId="1">'MOÇÃO E REQUERIMENTO'!#REF!</definedName>
    <definedName name="_Hlk173849094" localSheetId="1">'MOÇÃO E REQUERIMENTO'!#REF!</definedName>
    <definedName name="_Hlk173849243" localSheetId="1">'MOÇÃO E REQUERIMENTO'!#REF!</definedName>
    <definedName name="_Hlk177548789" localSheetId="1">'MOÇÃO E REQUERIMENTO'!#REF!</definedName>
    <definedName name="_Hlk83042194" localSheetId="3">'VETO E SEGUNDA DISCUSSÃO'!#REF!</definedName>
    <definedName name="VEREADORES">PRESENÇA!$A$6:$A$25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28" i="10" l="1"/>
  <c r="C29" i="10"/>
  <c r="C30" i="10"/>
  <c r="C31" i="10"/>
  <c r="E27" i="2"/>
  <c r="E28" i="2"/>
  <c r="E29" i="2"/>
  <c r="E30" i="2"/>
  <c r="C27" i="3"/>
  <c r="C28" i="3"/>
  <c r="C29" i="3"/>
  <c r="C30" i="3"/>
  <c r="D28" i="10"/>
  <c r="D29" i="10"/>
  <c r="D30" i="10"/>
  <c r="D31" i="10"/>
  <c r="J27" i="15" l="1"/>
  <c r="K27" i="15"/>
  <c r="L27" i="15"/>
  <c r="M27" i="15"/>
  <c r="N27" i="15"/>
  <c r="O27" i="15"/>
  <c r="P27" i="15"/>
  <c r="Q27" i="15"/>
  <c r="R27" i="15"/>
  <c r="S27" i="15"/>
  <c r="T27" i="15"/>
  <c r="U27" i="15"/>
  <c r="V27" i="15"/>
  <c r="W27" i="15"/>
  <c r="X27" i="15"/>
  <c r="Y27" i="15"/>
  <c r="J28" i="15"/>
  <c r="K28" i="15"/>
  <c r="L28" i="15"/>
  <c r="M28" i="15"/>
  <c r="N28" i="15"/>
  <c r="O28" i="15"/>
  <c r="P28" i="15"/>
  <c r="Q28" i="15"/>
  <c r="R28" i="15"/>
  <c r="S28" i="15"/>
  <c r="T28" i="15"/>
  <c r="U28" i="15"/>
  <c r="V28" i="15"/>
  <c r="W28" i="15"/>
  <c r="X28" i="15"/>
  <c r="Y28" i="15"/>
  <c r="J29" i="15"/>
  <c r="K29" i="15"/>
  <c r="L29" i="15"/>
  <c r="M29" i="15"/>
  <c r="N29" i="15"/>
  <c r="O29" i="15"/>
  <c r="P29" i="15"/>
  <c r="Q29" i="15"/>
  <c r="R29" i="15"/>
  <c r="S29" i="15"/>
  <c r="T29" i="15"/>
  <c r="U29" i="15"/>
  <c r="V29" i="15"/>
  <c r="W29" i="15"/>
  <c r="X29" i="15"/>
  <c r="Y29" i="15"/>
  <c r="J30" i="15"/>
  <c r="K30" i="15"/>
  <c r="L30" i="15"/>
  <c r="M30" i="15"/>
  <c r="N30" i="15"/>
  <c r="O30" i="15"/>
  <c r="P30" i="15"/>
  <c r="Q30" i="15"/>
  <c r="R30" i="15"/>
  <c r="S30" i="15"/>
  <c r="T30" i="15"/>
  <c r="U30" i="15"/>
  <c r="V30" i="15"/>
  <c r="W30" i="15"/>
  <c r="X30" i="15"/>
  <c r="Y30" i="15"/>
  <c r="C27" i="2"/>
  <c r="C28" i="2"/>
  <c r="C29" i="2"/>
  <c r="C30" i="2"/>
  <c r="H30" i="15"/>
  <c r="I30" i="15"/>
  <c r="H29" i="15"/>
  <c r="I29" i="15"/>
  <c r="H28" i="15"/>
  <c r="I28" i="15"/>
  <c r="H27" i="15"/>
  <c r="I27" i="15"/>
  <c r="G27" i="15" l="1"/>
  <c r="G28" i="15"/>
  <c r="G29" i="15"/>
  <c r="G30" i="15"/>
  <c r="B28" i="10" l="1"/>
  <c r="B29" i="10"/>
  <c r="B30" i="10"/>
  <c r="B31" i="10"/>
  <c r="I28" i="11" l="1"/>
  <c r="I29" i="11"/>
  <c r="I30" i="11"/>
  <c r="I31" i="11"/>
  <c r="B27" i="3" l="1"/>
  <c r="B28" i="3"/>
  <c r="B29" i="3"/>
  <c r="B30" i="3"/>
  <c r="F27" i="15" l="1"/>
  <c r="F28" i="15"/>
  <c r="F29" i="15"/>
  <c r="F30" i="15"/>
  <c r="D27" i="15" l="1"/>
  <c r="E27" i="15"/>
  <c r="D28" i="15"/>
  <c r="E28" i="15"/>
  <c r="D29" i="15"/>
  <c r="E29" i="15"/>
  <c r="D30" i="15"/>
  <c r="E30" i="15"/>
  <c r="C27" i="15"/>
  <c r="C28" i="15"/>
  <c r="C29" i="15"/>
  <c r="C30" i="15"/>
  <c r="B30" i="15"/>
  <c r="B29" i="15"/>
  <c r="B28" i="15"/>
  <c r="B27" i="15"/>
  <c r="D28" i="11"/>
  <c r="E28" i="11"/>
  <c r="F28" i="11"/>
  <c r="G28" i="11"/>
  <c r="H28" i="11"/>
  <c r="D29" i="11"/>
  <c r="E29" i="11"/>
  <c r="F29" i="11"/>
  <c r="G29" i="11"/>
  <c r="H29" i="11"/>
  <c r="D30" i="11"/>
  <c r="E30" i="11"/>
  <c r="F30" i="11"/>
  <c r="G30" i="11"/>
  <c r="H30" i="11"/>
  <c r="D31" i="11"/>
  <c r="E31" i="11"/>
  <c r="F31" i="11"/>
  <c r="G31" i="11"/>
  <c r="H31" i="11"/>
  <c r="C31" i="11"/>
  <c r="C30" i="11"/>
  <c r="C29" i="11"/>
  <c r="C28" i="11"/>
  <c r="A4" i="14" l="1"/>
  <c r="DS27" i="3"/>
  <c r="DS28" i="3" s="1"/>
  <c r="DS29" i="3" s="1"/>
  <c r="DS30" i="3" s="1"/>
  <c r="DR27" i="3"/>
  <c r="DR28" i="3" s="1"/>
  <c r="DR29" i="3" s="1"/>
  <c r="DR30" i="3" s="1"/>
  <c r="DQ27" i="3"/>
  <c r="DQ28" i="3" s="1"/>
  <c r="DP27" i="3"/>
  <c r="DO27" i="3"/>
  <c r="DO28" i="3" s="1"/>
  <c r="DO29" i="3" s="1"/>
  <c r="DO30" i="3" s="1"/>
  <c r="DN27" i="3"/>
  <c r="DN28" i="3" s="1"/>
  <c r="DN29" i="3" s="1"/>
  <c r="DN30" i="3" s="1"/>
  <c r="DM27" i="3"/>
  <c r="DM28" i="3" s="1"/>
  <c r="DM29" i="3" s="1"/>
  <c r="DM30" i="3" s="1"/>
  <c r="DL27" i="3"/>
  <c r="DK27" i="3"/>
  <c r="DK28" i="3" s="1"/>
  <c r="DJ27" i="3"/>
  <c r="DJ28" i="3" s="1"/>
  <c r="DI27" i="3"/>
  <c r="DI28" i="3" s="1"/>
  <c r="DH27" i="3"/>
  <c r="DH28" i="3" s="1"/>
  <c r="DG27" i="3"/>
  <c r="DG28" i="3" s="1"/>
  <c r="DG29" i="3" s="1"/>
  <c r="DF27" i="3"/>
  <c r="DF28" i="3" s="1"/>
  <c r="DF29" i="3" s="1"/>
  <c r="DF30" i="3" s="1"/>
  <c r="DE27" i="3"/>
  <c r="DE28" i="3" s="1"/>
  <c r="DD27" i="3"/>
  <c r="DD28" i="3" s="1"/>
  <c r="DC27" i="3"/>
  <c r="DC28" i="3" s="1"/>
  <c r="DC29" i="3" s="1"/>
  <c r="DB27" i="3"/>
  <c r="DB28" i="3" s="1"/>
  <c r="DA27" i="3"/>
  <c r="DA28" i="3" s="1"/>
  <c r="DA29" i="3" s="1"/>
  <c r="CZ27" i="3"/>
  <c r="CZ28" i="3" s="1"/>
  <c r="CZ29" i="3" s="1"/>
  <c r="CZ30" i="3" s="1"/>
  <c r="CY27" i="3"/>
  <c r="CY28" i="3" s="1"/>
  <c r="CX27" i="3"/>
  <c r="CX28" i="3" s="1"/>
  <c r="CX29" i="3" s="1"/>
  <c r="CX30" i="3" s="1"/>
  <c r="CW27" i="3"/>
  <c r="CW28" i="3" s="1"/>
  <c r="CV27" i="3"/>
  <c r="CU27" i="3"/>
  <c r="CU28" i="3" s="1"/>
  <c r="CU29" i="3" s="1"/>
  <c r="CT27" i="3"/>
  <c r="CT28" i="3" s="1"/>
  <c r="CS27" i="3"/>
  <c r="CS28" i="3" s="1"/>
  <c r="CS29" i="3" s="1"/>
  <c r="CS30" i="3" s="1"/>
  <c r="CR27" i="3"/>
  <c r="CR28" i="3" s="1"/>
  <c r="CR29" i="3" s="1"/>
  <c r="CR30" i="3" s="1"/>
  <c r="CQ27" i="3"/>
  <c r="CQ28" i="3" s="1"/>
  <c r="CP27" i="3"/>
  <c r="CP28" i="3" s="1"/>
  <c r="CP29" i="3" s="1"/>
  <c r="CP30" i="3" s="1"/>
  <c r="CO27" i="3"/>
  <c r="CO28" i="3" s="1"/>
  <c r="CN27" i="3"/>
  <c r="CN28" i="3" s="1"/>
  <c r="CM27" i="3"/>
  <c r="CM28" i="3" s="1"/>
  <c r="CM29" i="3" s="1"/>
  <c r="CM30" i="3" s="1"/>
  <c r="CL27" i="3"/>
  <c r="CL28" i="3" s="1"/>
  <c r="CK27" i="3"/>
  <c r="CK28" i="3" s="1"/>
  <c r="CK29" i="3" s="1"/>
  <c r="CJ27" i="3"/>
  <c r="CJ28" i="3" s="1"/>
  <c r="CI27" i="3"/>
  <c r="CI28" i="3" s="1"/>
  <c r="CH27" i="3"/>
  <c r="CH28" i="3" s="1"/>
  <c r="CH29" i="3" s="1"/>
  <c r="CH30" i="3" s="1"/>
  <c r="CG27" i="3"/>
  <c r="CG28" i="3" s="1"/>
  <c r="CF27" i="3"/>
  <c r="CF28" i="3" s="1"/>
  <c r="CE27" i="3"/>
  <c r="CD27" i="3"/>
  <c r="CD28" i="3" s="1"/>
  <c r="CC27" i="3"/>
  <c r="CC28" i="3" s="1"/>
  <c r="CC29" i="3" s="1"/>
  <c r="CC30" i="3" s="1"/>
  <c r="CB27" i="3"/>
  <c r="CA27" i="3"/>
  <c r="CA28" i="3" s="1"/>
  <c r="BZ27" i="3"/>
  <c r="BZ28" i="3" s="1"/>
  <c r="BZ29" i="3" s="1"/>
  <c r="BZ30" i="3" s="1"/>
  <c r="BY27" i="3"/>
  <c r="BY28" i="3" s="1"/>
  <c r="BX27" i="3"/>
  <c r="BX28" i="3" s="1"/>
  <c r="BX29" i="3" s="1"/>
  <c r="BW27" i="3"/>
  <c r="BW28" i="3" s="1"/>
  <c r="BW29" i="3" s="1"/>
  <c r="BV27" i="3"/>
  <c r="BV28" i="3" s="1"/>
  <c r="BU27" i="3"/>
  <c r="BU28" i="3" s="1"/>
  <c r="BT27" i="3"/>
  <c r="BT28" i="3" s="1"/>
  <c r="BS27" i="3"/>
  <c r="BS28" i="3" s="1"/>
  <c r="BR27" i="3"/>
  <c r="BR28" i="3" s="1"/>
  <c r="BR29" i="3" s="1"/>
  <c r="BR30" i="3" s="1"/>
  <c r="BQ27" i="3"/>
  <c r="BQ28" i="3" s="1"/>
  <c r="BP27" i="3"/>
  <c r="BP28" i="3" s="1"/>
  <c r="BO27" i="3"/>
  <c r="BO28" i="3" s="1"/>
  <c r="BN27" i="3"/>
  <c r="BN28" i="3" s="1"/>
  <c r="BM27" i="3"/>
  <c r="BM28" i="3" s="1"/>
  <c r="BM29" i="3" s="1"/>
  <c r="BL27" i="3"/>
  <c r="BK27" i="3"/>
  <c r="BK28" i="3" s="1"/>
  <c r="BK29" i="3" s="1"/>
  <c r="BJ27" i="3"/>
  <c r="BJ28" i="3" s="1"/>
  <c r="BJ29" i="3" s="1"/>
  <c r="BJ30" i="3" s="1"/>
  <c r="BI27" i="3"/>
  <c r="BI28" i="3" s="1"/>
  <c r="BH27" i="3"/>
  <c r="BH28" i="3" s="1"/>
  <c r="BG27" i="3"/>
  <c r="BG28" i="3" s="1"/>
  <c r="BG29" i="3" s="1"/>
  <c r="BG30" i="3" s="1"/>
  <c r="BF27" i="3"/>
  <c r="BF28" i="3" s="1"/>
  <c r="BE27" i="3"/>
  <c r="BE28" i="3" s="1"/>
  <c r="BE29" i="3" s="1"/>
  <c r="BE30" i="3" s="1"/>
  <c r="BD27" i="3"/>
  <c r="BD28" i="3" s="1"/>
  <c r="BD29" i="3" s="1"/>
  <c r="BD30" i="3" s="1"/>
  <c r="BC27" i="3"/>
  <c r="BC28" i="3" s="1"/>
  <c r="BC29" i="3" s="1"/>
  <c r="BC30" i="3" s="1"/>
  <c r="BB27" i="3"/>
  <c r="BB28" i="3" s="1"/>
  <c r="BA27" i="3"/>
  <c r="BA28" i="3" s="1"/>
  <c r="AZ27" i="3"/>
  <c r="AZ28" i="3" s="1"/>
  <c r="AZ29" i="3" s="1"/>
  <c r="AY27" i="3"/>
  <c r="AY28" i="3" s="1"/>
  <c r="AY29" i="3" s="1"/>
  <c r="AX27" i="3"/>
  <c r="AX28" i="3" s="1"/>
  <c r="AX29" i="3" s="1"/>
  <c r="AX30" i="3" s="1"/>
  <c r="AW27" i="3"/>
  <c r="AW28" i="3" s="1"/>
  <c r="AV27" i="3"/>
  <c r="AV28" i="3" s="1"/>
  <c r="AV29" i="3" s="1"/>
  <c r="AV30" i="3" s="1"/>
  <c r="AU27" i="3"/>
  <c r="AU28" i="3" s="1"/>
  <c r="AT27" i="3"/>
  <c r="AT28" i="3" s="1"/>
  <c r="AT29" i="3" s="1"/>
  <c r="AT30" i="3" s="1"/>
  <c r="AS27" i="3"/>
  <c r="AS28" i="3" s="1"/>
  <c r="AR27" i="3"/>
  <c r="AR28" i="3" s="1"/>
  <c r="AQ27" i="3"/>
  <c r="AQ28" i="3" s="1"/>
  <c r="AP27" i="3"/>
  <c r="AP28" i="3" s="1"/>
  <c r="AO27" i="3"/>
  <c r="AO28" i="3" s="1"/>
  <c r="AO29" i="3" s="1"/>
  <c r="AO30" i="3" s="1"/>
  <c r="AN27" i="3"/>
  <c r="AN28" i="3" s="1"/>
  <c r="AN29" i="3" s="1"/>
  <c r="AM27" i="3"/>
  <c r="AM28" i="3" s="1"/>
  <c r="AM29" i="3" s="1"/>
  <c r="AM30" i="3" s="1"/>
  <c r="AL27" i="3"/>
  <c r="AL28" i="3" s="1"/>
  <c r="AK27" i="3"/>
  <c r="AK28" i="3" s="1"/>
  <c r="AJ27" i="3"/>
  <c r="AJ28" i="3" s="1"/>
  <c r="AI27" i="3"/>
  <c r="AI28" i="3" s="1"/>
  <c r="AI29" i="3" s="1"/>
  <c r="AH27" i="3"/>
  <c r="AH28" i="3" s="1"/>
  <c r="AH29" i="3" s="1"/>
  <c r="AG27" i="3"/>
  <c r="AG28" i="3" s="1"/>
  <c r="AG29" i="3" s="1"/>
  <c r="AF27" i="3"/>
  <c r="AE27" i="3"/>
  <c r="AE28" i="3" s="1"/>
  <c r="AE29" i="3" s="1"/>
  <c r="AE30" i="3" s="1"/>
  <c r="AD27" i="3"/>
  <c r="AD28" i="3" s="1"/>
  <c r="AC27" i="3"/>
  <c r="AC28" i="3" s="1"/>
  <c r="AC29" i="3" s="1"/>
  <c r="AC30" i="3" s="1"/>
  <c r="AB27" i="3"/>
  <c r="AB28" i="3" s="1"/>
  <c r="AB29" i="3" s="1"/>
  <c r="AA27" i="3"/>
  <c r="AA28" i="3" s="1"/>
  <c r="Z27" i="3"/>
  <c r="Z28" i="3" s="1"/>
  <c r="Y27" i="3"/>
  <c r="Y28" i="3" s="1"/>
  <c r="X27" i="3"/>
  <c r="X28" i="3" s="1"/>
  <c r="X29" i="3" s="1"/>
  <c r="X30" i="3" s="1"/>
  <c r="W27" i="3"/>
  <c r="W28" i="3" s="1"/>
  <c r="W29" i="3" s="1"/>
  <c r="W30" i="3" s="1"/>
  <c r="V27" i="3"/>
  <c r="V28" i="3" s="1"/>
  <c r="U27" i="3"/>
  <c r="T27" i="3"/>
  <c r="S27" i="3"/>
  <c r="S28" i="3" s="1"/>
  <c r="S29" i="3" s="1"/>
  <c r="R27" i="3"/>
  <c r="R28" i="3" s="1"/>
  <c r="Q27" i="3"/>
  <c r="Q28" i="3" s="1"/>
  <c r="Q29" i="3" s="1"/>
  <c r="Q30" i="3" s="1"/>
  <c r="P27" i="3"/>
  <c r="P28" i="3" s="1"/>
  <c r="O27" i="3"/>
  <c r="O28" i="3" s="1"/>
  <c r="O29" i="3" s="1"/>
  <c r="O30" i="3" s="1"/>
  <c r="N27" i="3"/>
  <c r="N28" i="3" s="1"/>
  <c r="M27" i="3"/>
  <c r="M28" i="3" s="1"/>
  <c r="M29" i="3" s="1"/>
  <c r="M30" i="3" s="1"/>
  <c r="L27" i="3"/>
  <c r="L28" i="3" s="1"/>
  <c r="K27" i="3"/>
  <c r="K28" i="3" s="1"/>
  <c r="K29" i="3" s="1"/>
  <c r="K30" i="3" s="1"/>
  <c r="J27" i="3"/>
  <c r="J28" i="3" s="1"/>
  <c r="DB29" i="3" l="1"/>
  <c r="DB30" i="3" s="1"/>
  <c r="BV29" i="3"/>
  <c r="BV30" i="3" s="1"/>
  <c r="CL29" i="3"/>
  <c r="CL30" i="3" s="1"/>
  <c r="AP29" i="3"/>
  <c r="AP30" i="3" s="1"/>
  <c r="CW29" i="3"/>
  <c r="CW30" i="3" s="1"/>
  <c r="BN29" i="3"/>
  <c r="BN30" i="3" s="1"/>
  <c r="BQ29" i="3"/>
  <c r="BQ30" i="3" s="1"/>
  <c r="BF29" i="3"/>
  <c r="BF30" i="3" s="1"/>
  <c r="BY29" i="3"/>
  <c r="BY30" i="3" s="1"/>
  <c r="R29" i="3"/>
  <c r="R30" i="3" s="1"/>
  <c r="AA29" i="3"/>
  <c r="AA30" i="3" s="1"/>
  <c r="BS29" i="3"/>
  <c r="BS30" i="3" s="1"/>
  <c r="AQ29" i="3"/>
  <c r="AQ30" i="3" s="1"/>
  <c r="CO29" i="3"/>
  <c r="CO30" i="3" s="1"/>
  <c r="CV28" i="3"/>
  <c r="CV29" i="3" s="1"/>
  <c r="CV30" i="3" s="1"/>
  <c r="DP28" i="3"/>
  <c r="DP29" i="3" s="1"/>
  <c r="DP30" i="3" s="1"/>
  <c r="CG29" i="3"/>
  <c r="CG30" i="3" s="1"/>
  <c r="AF28" i="3"/>
  <c r="AF29" i="3" s="1"/>
  <c r="AF30" i="3" s="1"/>
  <c r="CB28" i="3"/>
  <c r="CB29" i="3" s="1"/>
  <c r="CB30" i="3" s="1"/>
  <c r="CF29" i="3"/>
  <c r="CF30" i="3" s="1"/>
  <c r="Y29" i="3"/>
  <c r="Y30" i="3" s="1"/>
  <c r="AJ29" i="3"/>
  <c r="AJ30" i="3" s="1"/>
  <c r="BL28" i="3"/>
  <c r="BL29" i="3" s="1"/>
  <c r="BL30" i="3" s="1"/>
  <c r="DL28" i="3"/>
  <c r="DL29" i="3" s="1"/>
  <c r="DL30" i="3" s="1"/>
  <c r="BH29" i="3"/>
  <c r="BH30" i="3" s="1"/>
  <c r="BO29" i="3"/>
  <c r="BO30" i="3" s="1"/>
  <c r="AG30" i="3"/>
  <c r="CU30" i="3"/>
  <c r="DE29" i="3"/>
  <c r="DE30" i="3" s="1"/>
  <c r="U28" i="3"/>
  <c r="U29" i="3" s="1"/>
  <c r="U30" i="3" s="1"/>
  <c r="AR29" i="3"/>
  <c r="AR30" i="3" s="1"/>
  <c r="CE28" i="3"/>
  <c r="CE29" i="3" s="1"/>
  <c r="CE30" i="3" s="1"/>
  <c r="L29" i="3"/>
  <c r="L30" i="3" s="1"/>
  <c r="P29" i="3"/>
  <c r="P30" i="3" s="1"/>
  <c r="DD29" i="3"/>
  <c r="DD30" i="3" s="1"/>
  <c r="DH29" i="3"/>
  <c r="DH30" i="3" s="1"/>
  <c r="J29" i="3"/>
  <c r="J30" i="3" s="1"/>
  <c r="CY29" i="3"/>
  <c r="CY30" i="3" s="1"/>
  <c r="DJ29" i="3"/>
  <c r="DJ30" i="3" s="1"/>
  <c r="BU29" i="3"/>
  <c r="BU30" i="3" s="1"/>
  <c r="CI29" i="3"/>
  <c r="CI30" i="3" s="1"/>
  <c r="CA29" i="3"/>
  <c r="CA30" i="3" s="1"/>
  <c r="S30" i="3"/>
  <c r="DK29" i="3"/>
  <c r="DK30" i="3" s="1"/>
  <c r="AN30" i="3"/>
  <c r="DA30" i="3"/>
  <c r="CT29" i="3"/>
  <c r="CT30" i="3" s="1"/>
  <c r="CD29" i="3"/>
  <c r="CD30" i="3" s="1"/>
  <c r="Z29" i="3"/>
  <c r="Z30" i="3" s="1"/>
  <c r="CQ29" i="3"/>
  <c r="CQ30" i="3" s="1"/>
  <c r="T28" i="3"/>
  <c r="T29" i="3" s="1"/>
  <c r="T30" i="3" s="1"/>
  <c r="DC30" i="3"/>
  <c r="AK29" i="3"/>
  <c r="AK30" i="3" s="1"/>
  <c r="AB30" i="3"/>
  <c r="AH30" i="3"/>
  <c r="BI29" i="3"/>
  <c r="BI30" i="3" s="1"/>
  <c r="AI30" i="3"/>
  <c r="BT29" i="3"/>
  <c r="BT30" i="3" s="1"/>
  <c r="CN29" i="3"/>
  <c r="CN30" i="3" s="1"/>
  <c r="AZ30" i="3"/>
  <c r="AY30" i="3"/>
  <c r="BM30" i="3"/>
  <c r="CK30" i="3"/>
  <c r="V29" i="3"/>
  <c r="V30" i="3" s="1"/>
  <c r="BP29" i="3"/>
  <c r="BP30" i="3" s="1"/>
  <c r="AS29" i="3"/>
  <c r="AS30" i="3" s="1"/>
  <c r="CJ29" i="3"/>
  <c r="CJ30" i="3" s="1"/>
  <c r="BK30" i="3"/>
  <c r="AD29" i="3"/>
  <c r="AD30" i="3" s="1"/>
  <c r="BA29" i="3"/>
  <c r="BA30" i="3" s="1"/>
  <c r="DQ29" i="3"/>
  <c r="DQ30" i="3" s="1"/>
  <c r="DI29" i="3"/>
  <c r="DI30" i="3" s="1"/>
  <c r="DG30" i="3"/>
  <c r="N29" i="3"/>
  <c r="N30" i="3" s="1"/>
  <c r="AU29" i="3"/>
  <c r="AU30" i="3" s="1"/>
  <c r="BX30" i="3"/>
  <c r="BW30" i="3"/>
  <c r="AL29" i="3"/>
  <c r="AL30" i="3" s="1"/>
  <c r="AW29" i="3"/>
  <c r="AW30" i="3" s="1"/>
  <c r="BB29" i="3"/>
  <c r="BB30" i="3" s="1"/>
</calcChain>
</file>

<file path=xl/sharedStrings.xml><?xml version="1.0" encoding="utf-8"?>
<sst xmlns="http://schemas.openxmlformats.org/spreadsheetml/2006/main" count="523" uniqueCount="163">
  <si>
    <t>As informações registradas são aquelas disponíveis até o final das Sessões.</t>
  </si>
  <si>
    <t>Votação é o ato complementar da discussão, por meio do qual o Plenário manifesta sua vontade deliberativa. Considera-se qualquer matéria em fase de votação a partir do momento em que o Presidente declara encerrada a discussão. São dois os processos de votação: simbólica e nominal.</t>
  </si>
  <si>
    <t>1 – Simbólica: Quando não há registro individual de votos. O Presidente da sessão pede aos parlamentares favoráveis à matéria que permaneçam como se encontram, cabendo aos contrários manifestarem-se.</t>
  </si>
  <si>
    <t>2 – Nominal: Quando há consignação expressa do nome e voto de cada Vereador, por meio de chamada ou por processo eletrônico.</t>
  </si>
  <si>
    <t>O Vereador presente poderá votar a favor, contra ou abster-se. O registro de voto é de responsabilidade do Vereador, ao qual se reconhece a utilização dos meios democráticos de manifestação, oposição e obstrução, segundo suas convicções pessoais e posições político-partidárias, especialmente quando integrante das minorias.</t>
  </si>
  <si>
    <t>ORDEM DO DIA</t>
  </si>
  <si>
    <t xml:space="preserve"> SEGUNDA  DISCUSSÃO</t>
  </si>
  <si>
    <t>PRIMEIRA  DISCUSSÃO</t>
  </si>
  <si>
    <t>CÂMARA MUNICIPAL DE OSASCO</t>
  </si>
  <si>
    <t>verificação de quorum</t>
  </si>
  <si>
    <t>PRESENTE</t>
  </si>
  <si>
    <t>AUSENTE</t>
  </si>
  <si>
    <t>NA_PRESIDÊNCIA</t>
  </si>
  <si>
    <t>TOTAL DE PRESENTES</t>
  </si>
  <si>
    <t>TOTAL DE AUSENTES</t>
  </si>
  <si>
    <t>Presidência registra presença após a primeira chamada dos seguintes vereadores:</t>
  </si>
  <si>
    <t>maioria qualificada 2/3 - são 14 votos, o Presidente vota</t>
  </si>
  <si>
    <t>maioria simples  11 votos, vota no caso de empate</t>
  </si>
  <si>
    <t>SIM</t>
  </si>
  <si>
    <t>NÃO</t>
  </si>
  <si>
    <t>ABSTENÇÃO</t>
  </si>
  <si>
    <t xml:space="preserve"> DISCUSSÃO ÚNICA</t>
  </si>
  <si>
    <t>Elsa Oliveira</t>
  </si>
  <si>
    <t>Emerson Osasco</t>
  </si>
  <si>
    <t>Fábio Chirinhan</t>
  </si>
  <si>
    <t>Josias da Juco</t>
  </si>
  <si>
    <t>Paulo Junior</t>
  </si>
  <si>
    <t>MOÇÕES</t>
  </si>
  <si>
    <t xml:space="preserve">Délbio Teruel </t>
  </si>
  <si>
    <t>PRESENÇA DOS VEREADORES</t>
  </si>
  <si>
    <t xml:space="preserve"> chamada - abertura da ORDEM DO DIA</t>
  </si>
  <si>
    <t xml:space="preserve"> VETOS                (DISCUSSÃO ÚNICA)</t>
  </si>
  <si>
    <t>DISCUSSÃO ÚNICA  (RECURSOS)</t>
  </si>
  <si>
    <t xml:space="preserve"> DISCUSSÃO ÚNICA (REQUERIMENTOS)</t>
  </si>
  <si>
    <t>REQUERIMENTOS</t>
  </si>
  <si>
    <t xml:space="preserve"> Vereadores presentes após a chamada da ordem do dia da sessão</t>
  </si>
  <si>
    <t xml:space="preserve"> Vereadores presentes após a chamada abertura da sessão</t>
  </si>
  <si>
    <t>EXEMPLO: Com 14 votos favoráveis. &gt;&gt; sim, não, ausente, na presidência.</t>
  </si>
  <si>
    <t>1. REQUERIMENTO Nº 87/2017 – FRANCISCA JENILÚCIA RIBEIRO DE ANDRADE – Solicita informações se há algum projeto de plano de carreira para os auxiliares e técnicos de enfermagem no Município.</t>
  </si>
  <si>
    <r>
      <rPr>
        <b/>
        <sz val="10"/>
        <color theme="1"/>
        <rFont val="Arial"/>
        <family val="2"/>
      </rPr>
      <t>2. RECURSO DE AUTORIA DO VEREADOR RALFI SILVA N.º 121/2018 AO PL N.º 241/2017</t>
    </r>
    <r>
      <rPr>
        <sz val="10"/>
        <color theme="1"/>
        <rFont val="Arial"/>
        <family val="2"/>
      </rPr>
      <t>, que dispõe sobre divulgação da demanda atendida e lista de espera por vagas nos Centros de Educação Infantil (CEI) e creches municipais da Cidade de Osasco, em face do parecer contrário da Comissão de Constituição e Justiça - CCJ n.º 151/2018.</t>
    </r>
  </si>
  <si>
    <r>
      <rPr>
        <b/>
        <sz val="10"/>
        <color theme="1"/>
        <rFont val="Arial"/>
        <family val="2"/>
      </rPr>
      <t>1.      RECURSO DE AUTORIA DA VEREADORA LÚCIA DA SAÚDE N.º 119/2018 AO PL N.º 238/2017</t>
    </r>
    <r>
      <rPr>
        <sz val="10"/>
        <color theme="1"/>
        <rFont val="Arial"/>
        <family val="2"/>
      </rPr>
      <t xml:space="preserve">, que dispõe sobre a publicação eletrônica da lista de espera para vagas nas Creches e Escolas da Educação Infantil do Município de Osasco, </t>
    </r>
    <r>
      <rPr>
        <b/>
        <sz val="10"/>
        <color theme="1"/>
        <rFont val="Arial"/>
        <family val="2"/>
      </rPr>
      <t>em</t>
    </r>
    <r>
      <rPr>
        <sz val="10"/>
        <color theme="1"/>
        <rFont val="Arial"/>
        <family val="2"/>
      </rPr>
      <t xml:space="preserve"> </t>
    </r>
    <r>
      <rPr>
        <b/>
        <sz val="10"/>
        <color theme="1"/>
        <rFont val="Arial"/>
        <family val="2"/>
      </rPr>
      <t>face do parecer contrário da Comissão de Constituição e Justiça - CCJ de n.º</t>
    </r>
    <r>
      <rPr>
        <sz val="10"/>
        <color theme="1"/>
        <rFont val="Arial"/>
        <family val="2"/>
      </rPr>
      <t xml:space="preserve"> </t>
    </r>
    <r>
      <rPr>
        <b/>
        <sz val="10"/>
        <color theme="1"/>
        <rFont val="Arial"/>
        <family val="2"/>
      </rPr>
      <t>150/2018.</t>
    </r>
  </si>
  <si>
    <r>
      <rPr>
        <b/>
        <sz val="10"/>
        <color theme="1"/>
        <rFont val="Arial"/>
        <family val="2"/>
      </rPr>
      <t>3. RECURSO DE AUTORIA DO VEREADOR RALFI SILVA AO PL N.º 34/2019</t>
    </r>
    <r>
      <rPr>
        <sz val="10"/>
        <color theme="1"/>
        <rFont val="Arial"/>
        <family val="2"/>
      </rPr>
      <t>, que autoriza o Poder Executivo Municipal, a implantar o Programa Corujão da Saúde no âmbito do Município de Osasco em face do parecer contrário da Comissão de Constituição e Justiça - CCJ de n.º 280/2019.</t>
    </r>
  </si>
  <si>
    <r>
      <rPr>
        <b/>
        <sz val="10"/>
        <color theme="1"/>
        <rFont val="Arial"/>
        <family val="2"/>
      </rPr>
      <t>4. RECURSO DE AUTORIA DO VEREADOR RALFI SILVA AO PL N.º 34/2020</t>
    </r>
    <r>
      <rPr>
        <sz val="10"/>
        <color theme="1"/>
        <rFont val="Arial"/>
        <family val="2"/>
      </rPr>
      <t>, que autoriza a contratação de Hospitais e Clínicas Particulares visando o tratamento da Corona Vírus (Covid 19) em face do parecer contrário da Comissão de Constituição e Justiça - CCJ de n.º 38/2021.</t>
    </r>
  </si>
  <si>
    <r>
      <rPr>
        <b/>
        <sz val="10"/>
        <color theme="1"/>
        <rFont val="Arial"/>
        <family val="2"/>
      </rPr>
      <t>5. RECURSO DE AUTORIA DO VEREADOR RALFI SILVA AO PL N.º 18/2020</t>
    </r>
    <r>
      <rPr>
        <sz val="10"/>
        <color theme="1"/>
        <rFont val="Arial"/>
        <family val="2"/>
      </rPr>
      <t>, que cria a Câmara de Conciliação para reposição de bens móveis e serviços de manutenção nas propriedades sofridas por enchentes, no âmbito do município de Osasco, em face do parecer contrário da Comissão de Constituição e Justiça - CCJ de n.º 39/2021.</t>
    </r>
  </si>
  <si>
    <r>
      <rPr>
        <b/>
        <sz val="10"/>
        <color theme="1"/>
        <rFont val="Arial"/>
        <family val="2"/>
      </rPr>
      <t>6. RECURSO DE AUTORIA DO VEREADOR RALFI SILVA AO PL N.º 77/2020</t>
    </r>
    <r>
      <rPr>
        <sz val="10"/>
        <color theme="1"/>
        <rFont val="Arial"/>
        <family val="2"/>
      </rPr>
      <t>, que dispõe sobre a concessão de auxílio emergencial aos prestadores de serviço de transporte escolar, público e privado, em virtude dos impactos sociais e econômicos da pandemia de COVID19, em face do parecer contrário da Comissão de Constituição e Justiça - CCJ de n.º 44/2021.</t>
    </r>
  </si>
  <si>
    <t xml:space="preserve">EXEMPLOS: vereador ausente pautado na próxima sessão; aprovado; rejeitado; </t>
  </si>
  <si>
    <t>Vereador Ausente. Pautar na próxima sessão</t>
  </si>
  <si>
    <t xml:space="preserve"> chamada - REABERTURA DA ORDEM DO DIA</t>
  </si>
  <si>
    <t>PROPOSITURAS LIDAS</t>
  </si>
  <si>
    <t>Presentes</t>
  </si>
  <si>
    <t>Ausentes</t>
  </si>
  <si>
    <t>Intervalo</t>
  </si>
  <si>
    <t>Rodrigo Gansinho</t>
  </si>
  <si>
    <t xml:space="preserve"> chamada - ABERTURA DO EXPEDIENTE</t>
  </si>
  <si>
    <t>Alexandre Capriotti</t>
  </si>
  <si>
    <t>presente</t>
  </si>
  <si>
    <t>ausente</t>
  </si>
  <si>
    <t>Cantor Goleiro</t>
  </si>
  <si>
    <t xml:space="preserve">Carmônio Bastos - Presidente </t>
  </si>
  <si>
    <t>Elania Silva</t>
  </si>
  <si>
    <t>Gabriel Saúde</t>
  </si>
  <si>
    <t>Guilherme Prado</t>
  </si>
  <si>
    <t>Heber do JuntOZ</t>
  </si>
  <si>
    <t>Laércio Mendonça</t>
  </si>
  <si>
    <t>Pedrinho Cantagessi</t>
  </si>
  <si>
    <t>Sérgio Fontellas</t>
  </si>
  <si>
    <t>Stephane Rossi</t>
  </si>
  <si>
    <r>
      <rPr>
        <b/>
        <sz val="10"/>
        <color theme="1"/>
        <rFont val="Arial"/>
        <family val="2"/>
      </rPr>
      <t>7. RECURSO DE AUTORIA DA VEREADOR DELBIO TERUEL AO PL N.º 44/2022</t>
    </r>
    <r>
      <rPr>
        <b/>
        <sz val="11"/>
        <color theme="1"/>
        <rFont val="Arial"/>
        <family val="2"/>
      </rPr>
      <t>,</t>
    </r>
    <r>
      <rPr>
        <sz val="11"/>
        <color theme="1"/>
        <rFont val="Arial"/>
        <family val="2"/>
      </rPr>
      <t xml:space="preserve">, que dispõe sobre a proibição de transformação de banheiros feminino e masculino em unissex e de edificação de banheiros exclusivamente unissex em estabelecimentos públicos e privados no município de Osasco, </t>
    </r>
    <r>
      <rPr>
        <b/>
        <sz val="11"/>
        <color theme="1"/>
        <rFont val="Arial"/>
        <family val="2"/>
      </rPr>
      <t>em</t>
    </r>
    <r>
      <rPr>
        <sz val="11"/>
        <color theme="1"/>
        <rFont val="Arial"/>
        <family val="2"/>
      </rPr>
      <t xml:space="preserve"> </t>
    </r>
    <r>
      <rPr>
        <b/>
        <sz val="11"/>
        <color theme="1"/>
        <rFont val="Arial"/>
        <family val="2"/>
      </rPr>
      <t>face do parecer contrário da Comissão de Constituição e Justiça – CCJ, de n.º 164/2022.</t>
    </r>
  </si>
  <si>
    <t>2. REQUERIMENTO N.º 11/2022 – RALFI – Requer o envio de ofício ao Poder Executivo solicitando informações relacionadas a todos os contratos vinculados à Secretaria de Saúde que estejam vigorando de forma emergencial.</t>
  </si>
  <si>
    <t xml:space="preserve">3. REQUERIMENTO N.º 12/2022 – RALFI – Requer o envio de ofício ao Poder Executivo solicitando informações relacionadas a todos os contratos vinculados à </t>
  </si>
  <si>
    <r>
      <t>4.</t>
    </r>
    <r>
      <rPr>
        <sz val="7"/>
        <color theme="1"/>
        <rFont val="Times New Roman"/>
        <family val="1"/>
      </rPr>
      <t xml:space="preserve">    </t>
    </r>
    <r>
      <rPr>
        <b/>
        <sz val="11"/>
        <color theme="1"/>
        <rFont val="Arial"/>
        <family val="2"/>
      </rPr>
      <t xml:space="preserve">REQUERIMENTO n.º 14/2022 – Emerson Osasco – </t>
    </r>
    <r>
      <rPr>
        <sz val="11"/>
        <color theme="1"/>
        <rFont val="Arial"/>
        <family val="2"/>
      </rPr>
      <t>Requer o envio de ofício ao Poder Executivo solicitando informações relacionadas ao plano de trabalho e contrato vigente do CEU das Artes – Yolanda Aparecida Avelino Ribeiro com o Instituto Morgan.</t>
    </r>
  </si>
  <si>
    <r>
      <t xml:space="preserve">5. REQUERIMENTO n.º 06/2023 – Emerson Osasco – </t>
    </r>
    <r>
      <rPr>
        <sz val="11"/>
        <color theme="1"/>
        <rFont val="Arial"/>
        <family val="2"/>
      </rPr>
      <t>Requer o envio de ofício ao Poder Executivo solicitando informações relacionadas ao contrato e relação de pagamentos das empresas Medical Corp, Dermarcor e Assim Clínica Ltda, na integra e com anexos.</t>
    </r>
  </si>
  <si>
    <r>
      <t xml:space="preserve">6. REQUERIMENTO n.º 07/2023 – Emerson Osasco – </t>
    </r>
    <r>
      <rPr>
        <sz val="11"/>
        <color theme="1"/>
        <rFont val="Arial"/>
        <family val="2"/>
      </rPr>
      <t>Requer o envio de ofício ao Poder Executivo solicitando informações relacionadas à Maternidade Amador Aguiar, sobre os contratos das empresas Medical Corp e Dermarcor.</t>
    </r>
  </si>
  <si>
    <r>
      <t xml:space="preserve">7. REQUERIMENTO n.º 08/2023 – Emerson Osasco – </t>
    </r>
    <r>
      <rPr>
        <sz val="11"/>
        <color theme="1"/>
        <rFont val="Arial"/>
        <family val="2"/>
      </rPr>
      <t>Requer o envio de ofício ao Poder Executivo solicitando informações relacionadas à Maternidade Amador Aguiar, no que diz respeito ao número de óbitos mensais, no período entre 2017 e 2023, bem como o contato dos familiares e comparativos entre as médias municipal, estadual e federal.</t>
    </r>
  </si>
  <si>
    <r>
      <t xml:space="preserve">8.REQUERIMENTO n.º 09/2023 – Emerson Osasco – </t>
    </r>
    <r>
      <rPr>
        <sz val="11"/>
        <color theme="1"/>
        <rFont val="Arial"/>
        <family val="2"/>
      </rPr>
      <t>Requer o envio de ofício ao Poder Executivo solicitando informações relacionadas à verba mensal destinada para manutenção das ambulâncias do SAMU.</t>
    </r>
  </si>
  <si>
    <r>
      <t xml:space="preserve">9.REQUERIMENTO N.º 11/2023 – EMERSON OSASCO – </t>
    </r>
    <r>
      <rPr>
        <sz val="11"/>
        <color theme="1"/>
        <rFont val="Arial"/>
        <family val="2"/>
      </rPr>
      <t>Requer o envio de ofício ao Poder Executivo solicitando informações relacionadas às desapropriações no bairro Bonança e Morro do Socó.</t>
    </r>
  </si>
  <si>
    <r>
      <t xml:space="preserve">10.REQUERIMENTO N.º 03/2024 – EMERSON OSASCO – </t>
    </r>
    <r>
      <rPr>
        <sz val="11"/>
        <color theme="1"/>
        <rFont val="Arial"/>
        <family val="2"/>
      </rPr>
      <t>Requer o envio de ofício ao Poder Executivo solicitando informações relacionadas ao contrato celebrado com a organização civil Instituto Solução Social - CNPJ: 13.779.122/0001-70.</t>
    </r>
  </si>
  <si>
    <r>
      <t xml:space="preserve">11.REQUERIMENTO N.º 04/2024 – EMERSON OSASCO – </t>
    </r>
    <r>
      <rPr>
        <sz val="11"/>
        <color theme="1"/>
        <rFont val="Arial"/>
        <family val="2"/>
      </rPr>
      <t>Requer o envio de ofício ao Poder Executivo solicitando informações relacionadas ao contrato celebrado com a organização civil Associação das Mães Unidas do Novo Osasco - AMUNO - CNPJ: 51.240.240/0001-02.</t>
    </r>
  </si>
  <si>
    <r>
      <t>12.REQUERIMENTO N.º 05/2024 – EMERSON OSASCO –</t>
    </r>
    <r>
      <rPr>
        <sz val="11"/>
        <color theme="1"/>
        <rFont val="Arial"/>
        <family val="2"/>
      </rPr>
      <t xml:space="preserve"> Requer o envio de ofício ao Poder Executivo solicitando informações relacionadas ao contrato celebrado com a organização civil Associação de Proteção à Maternidade a Infância e a Adolescência - ASPROMATINA - CNPJ: 73.062.325/0005-04.</t>
    </r>
  </si>
  <si>
    <r>
      <t xml:space="preserve">13.REQUERIMENTO N.º 06/2024 – EMERSON OSASCO – </t>
    </r>
    <r>
      <rPr>
        <sz val="11"/>
        <color theme="1"/>
        <rFont val="Arial"/>
        <family val="2"/>
      </rPr>
      <t>Requer o envio de ofício ao Poder Executivo solicitando informações relacionadas ao contrato celebrado com a organização civil Instituto Inovação Social - CNPJ: 23.794.590/0001-77.</t>
    </r>
  </si>
  <si>
    <r>
      <t xml:space="preserve">14.REQUERIMENTO N.º 07/2024 – EMERSON OSASCO – </t>
    </r>
    <r>
      <rPr>
        <sz val="11"/>
        <color theme="1"/>
        <rFont val="Arial"/>
        <family val="2"/>
      </rPr>
      <t>Requer o envio de ofício ao Poder Executivo solicitando informações relacionadas ao contrato celebrado com a organização civil Associação das Mães do Jardim Veloso - CNPJ: 53.414.702/88.</t>
    </r>
  </si>
  <si>
    <r>
      <t xml:space="preserve">15.REQUERIMENTO N.º 08/2024 – EMERSON OSASCO – </t>
    </r>
    <r>
      <rPr>
        <sz val="11"/>
        <color theme="1"/>
        <rFont val="Arial"/>
        <family val="2"/>
      </rPr>
      <t>Requer o envio de ofício ao Poder Executivo solicitando informações relacionadas ao contrato celebrado com a organização Associação Quintal Mágico - CNPJ: 03.301.548/0001-60.</t>
    </r>
  </si>
  <si>
    <r>
      <t xml:space="preserve">16.REQUERIMENTO N.º 09/2024 – EMERSON OSASCO – </t>
    </r>
    <r>
      <rPr>
        <sz val="11"/>
        <color theme="1"/>
        <rFont val="Arial"/>
        <family val="2"/>
      </rPr>
      <t>Requer o envio de ofício ao Poder Executivo solicitando informações relacionadas ao contrato celebrado com a organização civil Associação Educacional Maria do Carmo Ferreira Paula - CNPJ: 22.533.209/0001-53.</t>
    </r>
  </si>
  <si>
    <r>
      <t xml:space="preserve">17.REQUERIMENTO N.º 10/2024 – EMERSON OSASCO – </t>
    </r>
    <r>
      <rPr>
        <sz val="11"/>
        <color theme="1"/>
        <rFont val="Arial"/>
        <family val="2"/>
      </rPr>
      <t>Requer o envio de ofício ao Poder Executivo solicitando informações relacionadas ao contrato celebrado com a organização civil Centro de Participação Popular do Jardim Veloso - CNPJ: 51.448.496/0001-00.</t>
    </r>
  </si>
  <si>
    <r>
      <t>18.REQUERIMENTO N.º 11/2024 – EMERSON OSASCO –</t>
    </r>
    <r>
      <rPr>
        <sz val="11"/>
        <color theme="1"/>
        <rFont val="Arial"/>
        <family val="2"/>
      </rPr>
      <t xml:space="preserve"> Requer o envio de ofício ao Poder Executivo solicitando informações relacionadas ao contrato celebrado com a organização civil Associação das Mulheres em Defesa à Criança- AMDC - CNPJ: 57.386.609/0001-68.</t>
    </r>
  </si>
  <si>
    <r>
      <t>19.REQUERIMENTO N.º 12/2024 – EMERSON OSASCO –</t>
    </r>
    <r>
      <rPr>
        <sz val="11"/>
        <color theme="1"/>
        <rFont val="Arial"/>
        <family val="2"/>
      </rPr>
      <t xml:space="preserve"> Requer o envio de ofício ao Poder Executivo solicitando informações relacionadas ao contrato celebrado com a organização civil Associação Solidária Crescendo Cidadã - CNPJ: 07.375.464/0001-21.</t>
    </r>
  </si>
  <si>
    <r>
      <t xml:space="preserve">20.REQUERIMENTO N.º 13/2024 – EMERSON OSASCO – </t>
    </r>
    <r>
      <rPr>
        <sz val="11"/>
        <color theme="1"/>
        <rFont val="Arial"/>
        <family val="2"/>
      </rPr>
      <t>Requer o envio de ofício ao Poder Executivo solicitando informações relacionadas ao contrato celebrado com a organização civil Instituto Veracidade - CNPJ: 13.256.793/0001-56.</t>
    </r>
  </si>
  <si>
    <t>21.REQUERIMENTO N.º 14/2024 – EMERSON OSASCO – Requer o envio de ofício ao Poder Executivo solicitando informações relacionadas ao contrato celebrado com a organização civil Associação para Gestão de Unidades Administrativas Sociais - ÁGUAS - CNPJ: 12.661.184/0001-10.</t>
  </si>
  <si>
    <t>22 - REQUERIMENTO N.º 15/2024 – EMERSON OSASCO – Requer o envio de ofício ao Poder Executivo solicitando informações relacionadas à reabertura da Casa de Angola de Osasco.</t>
  </si>
  <si>
    <t>23 - REQUERIMENTO N.º 16/2024 – EMERSON OSASCO – Requer o envio de ofício ao Poder Executivo solicitando informações relacionadas ao projeto de implementação de Centro de Referência de Cultura Afro-brasileira e de Religiões de Matriz Africana, previsto para o parque Glauco Vilas Boas.</t>
  </si>
  <si>
    <t xml:space="preserve"> Vereadores presentes após a chamada do expedinte</t>
  </si>
  <si>
    <t xml:space="preserve"> 1ª chamada abertura da sessão </t>
  </si>
  <si>
    <t>APROVADA</t>
  </si>
  <si>
    <t>pela ausência do autor, será pautada na próxima sessão.</t>
  </si>
  <si>
    <t>APROVADO</t>
  </si>
  <si>
    <t>sim</t>
  </si>
  <si>
    <t xml:space="preserve"> </t>
  </si>
  <si>
    <t>Batista Comunidade</t>
  </si>
  <si>
    <t>Lúcia da Saúde</t>
  </si>
  <si>
    <t>na presidência</t>
  </si>
  <si>
    <r>
      <t xml:space="preserve">MOÇÃO DE APLAUSOS Nº 321/2025 – BATISTA COMUNIDADE - </t>
    </r>
    <r>
      <rPr>
        <sz val="11"/>
        <color theme="1"/>
        <rFont val="Arial"/>
        <family val="2"/>
      </rPr>
      <t>À Senhora Michele Cassemiro Aroni, em reconhecimento à sua trajetória de vida, dedicação e compromisso com o serviço público e exemplo de superação e fé.</t>
    </r>
  </si>
  <si>
    <t>Ralfi Silva</t>
  </si>
  <si>
    <r>
      <t xml:space="preserve">MOÇÃO DE APLAUSOS Nº 327/2025 – SÉRGIO FONTELLAS - </t>
    </r>
    <r>
      <rPr>
        <sz val="11"/>
        <color theme="1"/>
        <rFont val="Arial"/>
        <family val="2"/>
      </rPr>
      <t>Ao Grupo Saúde Universal (GSU), pela mobilização voluntária em prol da conscientização da doação de sangue, realizada em todo o território nacional, especialmente a atuação do grupo, na Unidade da Fundação Pró-Sangue, localizada no Hospital Regional da Cidade de Osasco, incentivando a população à prática da doação de sangue, promovendo a solidariedade e estimulando os voluntários a salvarem vidas através da doação de sangue.</t>
    </r>
  </si>
  <si>
    <r>
      <t>MOÇÃO DE APLAUSOS Nº 337/2025 – SÉRGIO FONTELLAS -</t>
    </r>
    <r>
      <rPr>
        <sz val="11"/>
        <color theme="1"/>
        <rFont val="Arial"/>
        <family val="2"/>
      </rPr>
      <t xml:space="preserve"> À Sandra de Andrade, que desde muito jovem, enfrentou os desafios trazidos pela paralisia infantil, mas nunca permitiu que isso limitasse sua vontade de viver com dignidade e propósito. Sandra encontrou na venda de doces, uma forma de sustento e superação, pois com seu carinho e dedicação, percorre repartições públicas levando não apenas seus doces, mas também um sorriso e uma história de força que inspira a todos ao seu redor.</t>
    </r>
  </si>
  <si>
    <r>
      <t xml:space="preserve">MOÇÃO DE RECONHECIMENTO Nº 351/2025 – LÚCIA DA SAÚDE - </t>
    </r>
    <r>
      <rPr>
        <sz val="11"/>
        <color theme="1"/>
        <rFont val="Arial"/>
        <family val="2"/>
      </rPr>
      <t>À Dra. Sanelly Mendes Pereira, por sua trajetória brilhante e comprometimento que tem sido um exemplo de excelência na medicina para muitas famílias de nossa cidade.</t>
    </r>
  </si>
  <si>
    <t>pela ausência da autora, será pautada na próxima sessão.</t>
  </si>
  <si>
    <r>
      <t xml:space="preserve">MOÇÃO DE RECONHECIMENTO Nº 352/2025 – LÚCIA DA SAÚDE - </t>
    </r>
    <r>
      <rPr>
        <sz val="11"/>
        <color theme="1"/>
        <rFont val="Arial"/>
        <family val="2"/>
      </rPr>
      <t>Ao Dr. Ricardo Cassio Mendes Júnior, médico generalista da nossa cidade, pelos relevantes serviços prestados à comunidade de Osasco, ao longo de sua carreira dedicada ao cuidado e bem-estar de nossos munícipes.</t>
    </r>
  </si>
  <si>
    <r>
      <t xml:space="preserve">MOÇÃO DE RECONHECIMENTO Nº 353/20525 – LÚCIA DA SAÚDE - </t>
    </r>
    <r>
      <rPr>
        <sz val="11"/>
        <color theme="1"/>
        <rFont val="Arial"/>
        <family val="2"/>
      </rPr>
      <t>Ao Dr. Pablo Henrique de Lima, médico da família e comunidade, pelos serviços de excelência e dedicação à saúde pública de Osasco.</t>
    </r>
  </si>
  <si>
    <r>
      <t xml:space="preserve">MOÇÃO DE APLAUSOS Nº 358/2025 – ELSA OLIVEIRA - </t>
    </r>
    <r>
      <rPr>
        <sz val="11"/>
        <color theme="1"/>
        <rFont val="Arial"/>
        <family val="2"/>
      </rPr>
      <t>Ao Sistema Único de Saúde (SUS), pela conquista histórica do Brasil na eliminação da transmissão vertical do HIV, de mãe para filho, fato reconhecido oficialmente pela Organização Mundial da Saúde (OMS) em julho de 2025.</t>
    </r>
  </si>
  <si>
    <r>
      <t>MOÇÃO DE CONGRATULAÇÕES Nº 360/2025 – GABRIEL SAÚDE -</t>
    </r>
    <r>
      <rPr>
        <sz val="11"/>
        <color theme="1"/>
        <rFont val="Arial"/>
        <family val="2"/>
      </rPr>
      <t xml:space="preserve"> À Igreja Apostólica Fonte de Vida em Cristo - FVC Church, pelos seus 18 anos de fundação, celebrados no dia 12 de julho de 2025.</t>
    </r>
  </si>
  <si>
    <r>
      <t xml:space="preserve">MOÇÃO DE REPÚDIO Nº 363/2025 – LÚCIA DA SAÚDE - </t>
    </r>
    <r>
      <rPr>
        <sz val="11"/>
        <color theme="1"/>
        <rFont val="Arial"/>
        <family val="2"/>
      </rPr>
      <t>À violência física e psicológica contra Juliana dos Santos, vítima de tentativa feminicídio em Natal-RN.</t>
    </r>
  </si>
  <si>
    <r>
      <t>MOÇÃO DE RECONHECIMENTO Nº 366/2025 – GABRIEL SAÚDE -</t>
    </r>
    <r>
      <rPr>
        <sz val="11"/>
        <color theme="1"/>
        <rFont val="Arial"/>
        <family val="2"/>
      </rPr>
      <t xml:space="preserve"> À Jackeline Correa Martins, instrutora de trânsito e organizadora de feiras que fortalecem o pequeno empreendedor local.</t>
    </r>
  </si>
  <si>
    <r>
      <t xml:space="preserve">MOÇÃO DE CONGRATULAÇÕES 367/2025 – GABRIEL SAÚDE - </t>
    </r>
    <r>
      <rPr>
        <sz val="11"/>
        <color theme="1"/>
        <rFont val="Arial"/>
        <family val="2"/>
      </rPr>
      <t>Ao Congresso Nacional e ao executivo Nacional pela aprovação e sanção da Lei nº 15.176/2025, que reconhece a fibromialgia como deficiência para fins legais em todo o território nacional.</t>
    </r>
  </si>
  <si>
    <t>39ª SESSÃO ORDINÁRIA</t>
  </si>
  <si>
    <t>DIA 7 DE AGOSTO DE 2025 - QUINTA-FEIRA</t>
  </si>
  <si>
    <t>Ofício Prolegis nº 18/2025 – Prefeito do Município de Osasco - Informa a sanção da Lei nº 5.398, de 17 de junho de 2025, referente ao projeto de lei nº 69/2024 de autoria do vereador Carmônio Bastos, que dispõe sobre a concessão de Título de Utilidade Pública ao Instituto Divertere.</t>
  </si>
  <si>
    <t>Ofício Prolegis nº 20/2025 – Prefeito do Município de Osasco - Informa a sanção da Lei nº 5.400, de 17 de junho de 2025, referente ao projeto de lei nº 67/2025 de autoria do vereador Guiga, que institui a semana da municipal do Bem-estar.</t>
  </si>
  <si>
    <t>Ofício Prolegis nº 21/2025 – Prefeito do Município de Osasco - Informa a sanção da Lei nº 5.401, de 17 de junho de 2025, referente ao projeto de lei nº 45/2025 de autoria do vereador Laércio Mendonça, que institui a semana da Saúde Mental do Servidor Público.</t>
  </si>
  <si>
    <t>Ofício Prolegis nº 22/2025 – Prefeito do Município de Osasco - Informa a sanção da Lei nº 5.402, de 17 de junho de 2025, referente ao projeto de lei nº 76/2025 de autoria do vereador Pedrinho Cantagessi, que institui a semana municipal de conscientização sobre o vitiligo.</t>
  </si>
  <si>
    <t>Ofício Prolegis nº 23/2025 – Prefeito do Município de Osasco - Informa a sanção da Lei nº 5.403, de 17 de junho de 2025, referente ao projeto de lei nº 83/2025 de autoria do vereador Guiga, que institui o “Osasco Tatto Festival.</t>
  </si>
  <si>
    <t>Ofício Prolegis nº 24/2025 – Prefeito do Município de Osasco - Informa a sanção da Lei nº 5.404, de 30 de junho de 2025, referente ao projeto de lei nº 71/2025 de autoria do Prefeito do Município de Osasco, que dispõe sobre a alteração da Lei n° 5.311, de 22 de dezembro de 2023, que autorizou o Poder Executivo a contratar operação de crédito internacional com o Fundo Financeiro para o Desenvolvimento da Bacia do Prata - FONPLATA, e a oferecer garantias.</t>
  </si>
  <si>
    <t>Ofício Prolegis nº 25/2025 – Prefeito do Município de Osasco - Informa a sanção da Lei nº 5.405, de 30 de junho de 2025, referente ao projeto de lei nº 63/2025 de autoria do vereador Guiga, que institui o “Dia da Paz e Gentileza nas Escolas”.</t>
  </si>
  <si>
    <t>Ofício Prolegis nº 26/2025 – Prefeito do Município de Osasco - Informa a sanção da Lei nº 5.406, de 30 de junho de 2025, referente ao projeto de lei nº 75/2024 de autoria do vereador Alexandre Capriotti, que institui o Dia do Tutor de Pets.</t>
  </si>
  <si>
    <t>Ofício Prolegis nº 27/2025 – Prefeito do Município de Osasco - Informa a sanção da Lei nº 5.407, de 02 de julho de 2025, referente ao projeto de lei nº 91/2025 de autoria do Prefeito do Município de Osasco, que dispõe sobre a desafetação e posterior doação de área de terreno ao Estado de São Paulo e dá outras providências.</t>
  </si>
  <si>
    <t>Ofício Prolegis nº 28/2025 – Prefeito do Município de Osasco - Informa a sanção da Lei nº 5.408, de 02 de julho de 2025, referente ao projeto de lei nº 102/2025 de autoria do Prefeito do Município de Osasco, que dispõe sobre abertura de crédito adicional especial ao orçamento vigente e dá outras providências.</t>
  </si>
  <si>
    <t>Ofício Prolegis nº 29/2025 – Prefeito do Município de Osasco - Informa a sanção da Lei nº 5.409, de 02 de julho de 2025, referente ao projeto de lei nº 103/2025 de autoria do Prefeito do Município de Osasco, que dispõe sobre abertura de crédito adicional especial ao orçamento vigente e dá outras providências.</t>
  </si>
  <si>
    <t>Ofício Prolegis nº 30/2025 – Prefeito do Município de Osasco - Informa a sanção da Lei Complementar nº 447, de 02 de julho de 2025, referente ao projeto de lei nº 04/2025 de autoria do Prefeito do Município de Osasco, que altera a Lei Complementar nº 404 de 28 de dezembro de 2022, que dispõe sobre o Código Tributário do Município de Osasco.</t>
  </si>
  <si>
    <t>Ofício Prolegis nº 31/2025 – Prefeito do Município de Osasco - Informa a sanção da Lei Complementar nº 448, de 02 de julho de 2025, referente ao projeto de lei nº 05/2025 de autoria do Prefeito do Município de Osasco, que altera a Lei Complementar n° 403, de 28 de dezembro de 2022, que dispõe sobre a Política Municipal de Inovação Tecnológica e Sistema Municipal de Inovação, cria o Comitê Gestor de Desenvolvimento Tecnológico e Inovação, cria o Fundo Municipal de Desenvolvimento de Inovação Tecnológica, autoriza a criação da Agência Municipal e Desenvolvimento Tecnológico e Inovação e delega Serviços Públicos Municipais.</t>
  </si>
  <si>
    <t>Ofício Prolegis nº 32/2025 – Prefeito do Município de Osasco - Informa a sanção da Lei Complementar nº 449, de 02 de julho de 2025, referente ao projeto de lei nº 06/2025 de autoria do Prefeito do Município de Osasco, que altera a Lei Complementar nº 206, de 09 de maio de 2011, que dispõe sobre a ordenação da paisagem e controle sonoro no meio ambiente urbano do Município de Osasco.</t>
  </si>
  <si>
    <t>Decreto nº 14.679 de 18 de junho de 2025 - Prefeito do Município de Osasco – Estabelece o fluxo para a obtenção de autorização do Sr. Prefeito referente à participação em viagens, congressos, cursos e subgêneros e dispõe sobre a alteração do anexo VIII do Decreto nº 14.539, de 23 de janeiro de 2025.</t>
  </si>
  <si>
    <t>Decreto nº 14.680 de 26 de junho de 2025 - Prefeito do Município de Osasco – Dispõe sobre abertura de crédito adicional suplementar ao orçamento vigente e dá outras providências.</t>
  </si>
  <si>
    <t>Decreto nº 14.681 de 30 de junho de 2025 - Prefeito do Município de Osasco – Dispõe sobre permissão de uso de área de terreno pela Associação de Incentivo ao Núcleo de Trabalhos Especiais - ADIANTE.</t>
  </si>
  <si>
    <t>Decreto nº 14.682 de 30 de junho de 2025 - Prefeito do Município de Osasco – Dispõe sobre permissão de uso de área de terreno pela Sociedade Beneficente Gotas de Amor.</t>
  </si>
  <si>
    <t>Decreto nº 14.683 de 30 de junho de 2025 - Prefeito do Município de Osasco – Dispõe sobre permissão de uso de área de imóvel pela Federação das Associações Amigos de Bairro do Município de Osasco – FESABO.</t>
  </si>
  <si>
    <t>Decreto nº 14.684 de 30 de junho de 2025 - Prefeito do Município de Osasco – Dispõe sobre permissão de uso de imóvel pela Casa do Violeiro do Brasil.</t>
  </si>
  <si>
    <t>Decreto nº 14.685 de 30 de junho de 2025 - Prefeito do Município de Osasco – Dispõe sobre permissão de uso de área de terreno pela Associação Empresarial Parque Industrial Mazzei – ASSEDINO.</t>
  </si>
  <si>
    <t>Decreto nº 14.686 de 30 de junho de 2025 - Prefeito do Município de Osasco – Dispõe sobre permissão de uso de terreno pela Associação Comunitária Nossa Senhora do Carmo – ANOSCAR.</t>
  </si>
  <si>
    <t>Decreto nº 14.687 de 30 de junho de 2025 - Prefeito do Município de Osasco – Dispõe sobre permissão de uso de área de terreno pelo Instituto Próxima Geração.</t>
  </si>
  <si>
    <t>Decreto nº 14.688 de 30 de junho de 2025 - Prefeito do Município de Osasco – Dispõe sobre permissão de uso de área de terreno pelo 30° Grupo Escoteiro Tuidara.</t>
  </si>
  <si>
    <t>Decretos nº 14.689 a 14.692 de junho de 2025 - Prefeito do Município de Osasco – Dispõe sobre abertura de crédito adicional suplementar ao orçamento vigente e dá outras providências.</t>
  </si>
  <si>
    <t>Decretos nº 14.693, 14.694, 14.696, 14.699, 14.700, 14.701, 14.704, 14.706, 14.707, 14.708, 14.709, 14.711, 14.712, 14.713, 14.726 a 14.735, 14.737, 14.741 a 14.743 e 14.745 de julho de 2025 - Prefeito do Município de Osasco – Dispõe sobre abertura de crédito adicional suplementar ao orçamento vigente e dá outras providências.</t>
  </si>
  <si>
    <t>Decreto nº 14.748, 14.749, 14.751 e 14.752 de 01 de agosto de 2025 - Prefeito do Município de Osasco – Dispõe sobre abertura de crédito adicional especial ao orçamento vigente e dá outras providências.</t>
  </si>
  <si>
    <t>Decretos nº 14.695,14.697, 14.698, 14.702, 14.705, 14.710, 14.714 ao 14.725, 14.736, 14.738 a 14.740 e 14.744 de julho de 2025 - Prefeito do Município de Osasco – Dispõe sobre abertura de crédito adicional especial ao orçamento vigente e dá outras providências.</t>
  </si>
  <si>
    <t>Decreto nº 14.750 de 04 de agosto de 2025 - Prefeito do Município de Osasco – Dispõe sobre abertura de crédito adicional especial ao orçamento vigente e dá outras providências.</t>
  </si>
  <si>
    <t>Decreto nº 14.703 de 11 de julho de 2025 - Prefeito do Município de Osasco – Institui a Política de Segurança da Informação no âmbito da Administração Direta no Município de Osasco e cria o Comitê Gestor de Tecnologia da Informação e Comunicação da Prefeitura Municipal de Osasco.</t>
  </si>
  <si>
    <t>Decreto nº 14.746 de 01 de agosto de 2025 - Prefeito do Município de Osasco – Dispõe sobre Permissão de Uso de área de terreno pela Associação Amigos do Jardim Bonança II.</t>
  </si>
  <si>
    <t>Decreto nº 14.747 de 01 de agosto de 2025 - Prefeito do Município de Osasco – Altera o Decreto nº 11.384, 10 de novembro de 2016, que regulamenta o regime jurídico das parcerias voluntárias entre a Administração Pública Municipal e as Organizações da Sociedade Civil, instituído pela Lei Federal nº 13.019, de 31 de julho de 2014, e suas alterações, e estabelece regras específicas no âmbito do Município de Osasco.</t>
  </si>
  <si>
    <r>
      <t xml:space="preserve">MOÇÃO DE RECONHECIMENTO Nº 336/2025 – SÉRGIO FONTELLAS - </t>
    </r>
    <r>
      <rPr>
        <sz val="11"/>
        <color theme="1"/>
        <rFont val="Arial"/>
        <family val="2"/>
      </rPr>
      <t>Ao Diretor Leonardo Abrantes e a toda equipe que compõe o trabalho desenvolvido pela TV Câmara: Gurupi Martins, Herodes Bezerra, Robson Cotait, Cristina Vieira, Rafael Mendes, Bruno Aguilar, Leonardo Novachi, Alexsandro Sakatauskas, Ricardo Gama e Claudiene de Lima, pelo excelente trabalho desempenhado na cobertura das atividades legislativas, na produção de reportagens e matérias de interesse público.</t>
    </r>
  </si>
  <si>
    <r>
      <t xml:space="preserve">MOÇÃO DE RECONHECIMENTO Nº 350/2025 – LÚCIA DA SAÚDE - </t>
    </r>
    <r>
      <rPr>
        <sz val="11"/>
        <color theme="1"/>
        <rFont val="Arial"/>
        <family val="2"/>
      </rPr>
      <t>Ao Dr. Marcelo Correa Affonso, médico ginecologista, pelos relevantes serviços prestados à saúde e bem-estar da população de nossa cidade, com um trabalho exemplar e de extrema dedicação.</t>
    </r>
  </si>
  <si>
    <r>
      <t>MOÇÃO DE RECONHECIMENTO Nº 354/2025 – LÚCIA DA SAÚDE -</t>
    </r>
    <r>
      <rPr>
        <sz val="11"/>
        <color theme="1"/>
        <rFont val="Arial"/>
        <family val="2"/>
      </rPr>
      <t xml:space="preserve"> À Dra. Maura Herédia Estrada pelos relevantes serviços prestados à população de Osasco, especialmente no âmbito da saúde pública.</t>
    </r>
  </si>
  <si>
    <r>
      <t>MOÇÃO DE APLAUSOS Nº 357/2025 – ELSA OLIVEIRA -</t>
    </r>
    <r>
      <rPr>
        <sz val="11"/>
        <color theme="1"/>
        <rFont val="Arial"/>
        <family val="2"/>
      </rPr>
      <t xml:space="preserve"> à Sra. Amarilda Gonçalves Gandra, técnica de enfermagem atuante na Unidade de Terapia Intensiva (UTI) do Hospital Antônio Giglio em reconhecimento à sua dedicação profissional, à superação pessoal e ao compromisso com a dignidade humana por meio do trabalho voluntário e da assistência à população vulnerável.</t>
    </r>
  </si>
  <si>
    <r>
      <t xml:space="preserve">MOÇÃO DE APELO Nº 359/2025 – ELSA OLIVEIRA </t>
    </r>
    <r>
      <rPr>
        <sz val="11"/>
        <color theme="1"/>
        <rFont val="Arial"/>
        <family val="2"/>
      </rPr>
      <t>- Aos partidos políticos, ao Congresso Nacional, ao Tribunal Superior Eleitoral (TSE) e às instituições democráticas, para que adotem medidas concretas e urgentes para ampliar a participação de mulheres nos espaços de decisão política, diante da alarmante posição ocupada pelo Brasil no cenário internacional.</t>
    </r>
  </si>
  <si>
    <r>
      <t>MOÇÃO DE CONGRATULAÇÕES Nº 361/2025 – JOSIAS DA JUCO -</t>
    </r>
    <r>
      <rPr>
        <sz val="11"/>
        <color theme="1"/>
        <rFont val="Arial"/>
        <family val="2"/>
      </rPr>
      <t xml:space="preserve"> À Família do Sr. Guido Collino, na celebração de seu centenário de nascimento.</t>
    </r>
  </si>
  <si>
    <r>
      <t xml:space="preserve">MOÇÃO DE APLAUSOS Nº 362/2025 – BATISTA COMUNIDADE - </t>
    </r>
    <r>
      <rPr>
        <sz val="11"/>
        <color theme="1"/>
        <rFont val="Arial"/>
        <family val="2"/>
      </rPr>
      <t>Ao servidor público Claudio Lúcio de Souza Moraes, pelos relevantes serviços prestados à educação e à comunidade do município de Osasco.</t>
    </r>
  </si>
  <si>
    <r>
      <t xml:space="preserve">MOÇÃO DE RECONHECIMENTO Nº 365/2025 – BATISTA COMUNIDADE - </t>
    </r>
    <r>
      <rPr>
        <sz val="11"/>
        <color theme="1"/>
        <rFont val="Arial"/>
        <family val="2"/>
      </rPr>
      <t>Ao Time Intermenck pela conquista do título de Campeão da Primeira Divisão de Osasco. Temporada 2024/2025, um feito histórico que orgulha toda a cidade, especialmente os moradores da Vila Menck.</t>
    </r>
  </si>
  <si>
    <r>
      <t>MOÇÃO DE APLAUSOS Nº 368/2025 – BATISTA COMUNIDADE -</t>
    </r>
    <r>
      <rPr>
        <sz val="11"/>
        <color theme="1"/>
        <rFont val="Arial"/>
        <family val="2"/>
      </rPr>
      <t xml:space="preserve"> Ao senhor Márcio Almeida Campos, em reconhecimento à sua trajetória exemplar de dedicação à educação, à gestão empresarial e ao compromisso com causas sociais e comunitárias.</t>
    </r>
  </si>
  <si>
    <r>
      <t xml:space="preserve">MOÇÃO DE APLAUSOS Nº 369/2025 – STEPHANE ROSSI - </t>
    </r>
    <r>
      <rPr>
        <sz val="11"/>
        <color theme="1"/>
        <rFont val="Arial"/>
        <family val="2"/>
      </rPr>
      <t>Ao enxadrista osasquense Daniel Costa Santana, pela conquista do primeiro lugar no Campeonato Brasileiro Amador 2025 de Xadrez e uma vaga para o Campeonato Mundial Amador.</t>
    </r>
  </si>
  <si>
    <r>
      <t xml:space="preserve">MOÇÃO DE CONGRATULAÇÕES Nº 370/2025 – DÉLBIO TERUEL - </t>
    </r>
    <r>
      <rPr>
        <sz val="11"/>
        <color theme="1"/>
        <rFont val="Arial"/>
        <family val="2"/>
      </rPr>
      <t>Pelos 50 anos da Associação dos Engenheiros e Arquitetos de Osasco - AEAO, representada por seu Presidente, Engenheiro Civil Paulo Sérgio Bertoni Fiorita.</t>
    </r>
  </si>
  <si>
    <r>
      <t>VETO TOTAL AO PROJETO DE LEI Nº 29/2025 – STEPHANE ROSSI –</t>
    </r>
    <r>
      <rPr>
        <sz val="12"/>
        <color theme="1"/>
        <rFont val="Arial"/>
        <family val="2"/>
      </rPr>
      <t xml:space="preserve"> Institui o Dia Municipal do Natal Encantado. </t>
    </r>
  </si>
  <si>
    <t>Veto
Aceito</t>
  </si>
  <si>
    <t>não</t>
  </si>
  <si>
    <r>
      <t xml:space="preserve">PROJETO DE LEI Nº 35/2025 – DÉLBIO TERUEL – </t>
    </r>
    <r>
      <rPr>
        <sz val="11"/>
        <color theme="1"/>
        <rFont val="Arial"/>
        <family val="2"/>
      </rPr>
      <t>Dispõe sobre alteração da denominação da Avenida das Comunicações para Avenida Silvio Santos.</t>
    </r>
  </si>
  <si>
    <r>
      <t>PROJETO DE LEI Nº 114/2025 – CARMÔNIO BASTOS -</t>
    </r>
    <r>
      <rPr>
        <sz val="11"/>
        <color theme="1"/>
        <rFont val="Arial"/>
        <family val="2"/>
      </rPr>
      <t xml:space="preserve"> Dispõe sobre denominação da UBS Adalgiza Correia Soares.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</si>
</sst>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Calibri"/>
      <family val="2"/>
      <scheme val="minor"/>
    </font>
    <font>
      <b/>
      <sz val="11"/>
      <color theme="1"/>
      <name val="Calibri"/>
      <family val="2"/>
      <scheme val="minor"/>
    </font>
    <font>
      <sz val="9"/>
      <color rgb="FF333333"/>
      <name val="Myriad-Pro"/>
      <charset val="1"/>
    </font>
    <font>
      <sz val="11"/>
      <color theme="1"/>
      <name val="Arial"/>
      <family val="2"/>
    </font>
    <font>
      <b/>
      <sz val="11"/>
      <color theme="1"/>
      <name val="Arial"/>
      <family val="2"/>
    </font>
    <font>
      <sz val="12"/>
      <color theme="1"/>
      <name val="Arial"/>
      <family val="2"/>
    </font>
    <font>
      <b/>
      <sz val="12"/>
      <color theme="1"/>
      <name val="Arial"/>
      <family val="2"/>
    </font>
    <font>
      <sz val="11"/>
      <color theme="1"/>
      <name val="Calibri"/>
      <family val="2"/>
      <scheme val="minor"/>
    </font>
    <font>
      <sz val="14"/>
      <color theme="1"/>
      <name val="Arial"/>
      <family val="2"/>
    </font>
    <font>
      <b/>
      <sz val="14"/>
      <color theme="1"/>
      <name val="Arial"/>
      <family val="2"/>
    </font>
    <font>
      <sz val="14"/>
      <color rgb="FFFF0000"/>
      <name val="Calibri"/>
      <family val="2"/>
      <scheme val="minor"/>
    </font>
    <font>
      <b/>
      <u/>
      <sz val="14"/>
      <color rgb="FFFF0000"/>
      <name val="Arial"/>
      <family val="2"/>
    </font>
    <font>
      <b/>
      <u/>
      <sz val="11"/>
      <color theme="1"/>
      <name val="Arial"/>
      <family val="2"/>
    </font>
    <font>
      <b/>
      <u/>
      <sz val="11"/>
      <name val="Arial"/>
      <family val="2"/>
    </font>
    <font>
      <b/>
      <sz val="16"/>
      <color theme="1"/>
      <name val="Arial"/>
      <family val="2"/>
    </font>
    <font>
      <b/>
      <sz val="10"/>
      <color theme="1"/>
      <name val="Arial"/>
      <family val="2"/>
    </font>
    <font>
      <b/>
      <sz val="10"/>
      <color theme="1"/>
      <name val="Calibri"/>
      <family val="2"/>
      <scheme val="minor"/>
    </font>
    <font>
      <sz val="10"/>
      <color theme="1"/>
      <name val="Calibri"/>
      <family val="2"/>
      <scheme val="minor"/>
    </font>
    <font>
      <b/>
      <u/>
      <sz val="10"/>
      <color rgb="FFFF0000"/>
      <name val="Arial"/>
      <family val="2"/>
    </font>
    <font>
      <sz val="10"/>
      <color theme="1"/>
      <name val="Arial"/>
      <family val="2"/>
    </font>
    <font>
      <sz val="10"/>
      <color rgb="FF333333"/>
      <name val="Myriad-Pro"/>
      <charset val="1"/>
    </font>
    <font>
      <b/>
      <i/>
      <u/>
      <sz val="16"/>
      <color theme="1"/>
      <name val="Arial"/>
      <family val="2"/>
    </font>
    <font>
      <b/>
      <i/>
      <u/>
      <sz val="12"/>
      <color theme="1"/>
      <name val="Arial"/>
      <family val="2"/>
    </font>
    <font>
      <b/>
      <sz val="12"/>
      <name val="Arial"/>
      <family val="2"/>
    </font>
    <font>
      <b/>
      <sz val="14"/>
      <color rgb="FFFF0000"/>
      <name val="Arial"/>
      <family val="2"/>
    </font>
    <font>
      <b/>
      <u/>
      <sz val="11"/>
      <color rgb="FFFF0000"/>
      <name val="Arial"/>
      <family val="2"/>
    </font>
    <font>
      <b/>
      <sz val="14"/>
      <color theme="1"/>
      <name val="Calibri"/>
      <family val="2"/>
      <scheme val="minor"/>
    </font>
    <font>
      <sz val="8"/>
      <name val="Calibri"/>
      <family val="2"/>
      <scheme val="minor"/>
    </font>
    <font>
      <b/>
      <u/>
      <sz val="10"/>
      <name val="Arial"/>
      <family val="2"/>
    </font>
    <font>
      <sz val="11"/>
      <name val="Calibri"/>
      <family val="2"/>
      <scheme val="minor"/>
    </font>
    <font>
      <sz val="7"/>
      <color theme="1"/>
      <name val="Times New Roman"/>
      <family val="1"/>
    </font>
    <font>
      <b/>
      <sz val="12"/>
      <color rgb="FF00B050"/>
      <name val="Arial"/>
      <family val="2"/>
    </font>
    <font>
      <b/>
      <sz val="11"/>
      <color rgb="FF00B050"/>
      <name val="Calibri"/>
      <family val="2"/>
      <scheme val="minor"/>
    </font>
    <font>
      <sz val="12"/>
      <name val="Arial"/>
      <family val="2"/>
    </font>
    <font>
      <b/>
      <sz val="14"/>
      <name val="Calibri"/>
      <family val="2"/>
      <scheme val="minor"/>
    </font>
    <font>
      <sz val="14"/>
      <name val="Calibri"/>
      <family val="2"/>
      <scheme val="minor"/>
    </font>
    <font>
      <b/>
      <sz val="10"/>
      <color rgb="FF0070C0"/>
      <name val="Arial"/>
      <family val="2"/>
    </font>
    <font>
      <b/>
      <u/>
      <sz val="14"/>
      <color theme="1"/>
      <name val="Calibri"/>
      <family val="2"/>
      <scheme val="minor"/>
    </font>
    <font>
      <b/>
      <i/>
      <u/>
      <sz val="12"/>
      <color theme="1"/>
      <name val="Calibri"/>
      <family val="2"/>
      <scheme val="minor"/>
    </font>
    <font>
      <b/>
      <sz val="16"/>
      <color rgb="FFFF0000"/>
      <name val="Arial"/>
      <family val="2"/>
    </font>
    <font>
      <b/>
      <sz val="11"/>
      <color theme="1"/>
      <name val="Arial"/>
      <family val="1"/>
    </font>
    <font>
      <b/>
      <sz val="12"/>
      <color rgb="FFFF0000"/>
      <name val="Arial"/>
      <family val="2"/>
    </font>
    <font>
      <b/>
      <sz val="14"/>
      <color rgb="FF00B050"/>
      <name val="Arial"/>
      <family val="2"/>
    </font>
    <font>
      <b/>
      <sz val="11"/>
      <name val="Calibri"/>
      <family val="2"/>
      <scheme val="minor"/>
    </font>
    <font>
      <b/>
      <sz val="12"/>
      <color rgb="FF000000"/>
      <name val="Calibri"/>
      <family val="2"/>
    </font>
    <font>
      <b/>
      <sz val="10"/>
      <name val="Arial"/>
      <family val="2"/>
    </font>
    <font>
      <b/>
      <sz val="11"/>
      <color rgb="FFFF0000"/>
      <name val="Calibri"/>
      <family val="2"/>
      <scheme val="minor"/>
    </font>
  </fonts>
  <fills count="10">
    <fill>
      <patternFill patternType="none"/>
    </fill>
    <fill>
      <patternFill patternType="gray125"/>
    </fill>
    <fill>
      <patternFill patternType="solid">
        <fgColor rgb="FFFFFFFF"/>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bottom/>
      <diagonal/>
    </border>
    <border>
      <left/>
      <right style="thin">
        <color indexed="64"/>
      </right>
      <top style="thin">
        <color indexed="64"/>
      </top>
      <bottom style="thin">
        <color indexed="64"/>
      </bottom>
      <diagonal/>
    </border>
  </borders>
  <cellStyleXfs count="1">
    <xf numFmtId="0" fontId="0" fillId="0" borderId="0"/>
  </cellStyleXfs>
  <cellXfs count="151">
    <xf numFmtId="0" fontId="0" fillId="0" borderId="0" xfId="0"/>
    <xf numFmtId="0" fontId="2" fillId="2" borderId="0" xfId="0" applyFont="1" applyFill="1" applyAlignment="1">
      <alignment wrapText="1"/>
    </xf>
    <xf numFmtId="0" fontId="1" fillId="0" borderId="0" xfId="0" applyFont="1" applyAlignment="1">
      <alignment horizontal="center"/>
    </xf>
    <xf numFmtId="0" fontId="3" fillId="0" borderId="0" xfId="0" applyFont="1" applyAlignment="1">
      <alignment horizontal="justify" vertical="center"/>
    </xf>
    <xf numFmtId="0" fontId="4" fillId="0" borderId="0" xfId="0" applyFont="1" applyAlignment="1">
      <alignment horizontal="justify" vertical="center"/>
    </xf>
    <xf numFmtId="0" fontId="7" fillId="0" borderId="0" xfId="0" applyFont="1"/>
    <xf numFmtId="0" fontId="0" fillId="0" borderId="0" xfId="0" applyAlignment="1">
      <alignment horizontal="center" wrapText="1"/>
    </xf>
    <xf numFmtId="0" fontId="5" fillId="0" borderId="0" xfId="0" applyFont="1"/>
    <xf numFmtId="0" fontId="3" fillId="0" borderId="0" xfId="0" applyFont="1" applyAlignment="1">
      <alignment horizontal="justify" vertical="top"/>
    </xf>
    <xf numFmtId="0" fontId="5" fillId="0" borderId="0" xfId="0" applyFont="1" applyAlignment="1">
      <alignment horizontal="justify" vertical="top"/>
    </xf>
    <xf numFmtId="0" fontId="12" fillId="0" borderId="0" xfId="0" applyFont="1" applyAlignment="1">
      <alignment horizontal="center" vertical="center"/>
    </xf>
    <xf numFmtId="0" fontId="13" fillId="0" borderId="0" xfId="0" applyFont="1" applyAlignment="1">
      <alignment horizontal="center" vertical="center"/>
    </xf>
    <xf numFmtId="0" fontId="5" fillId="0" borderId="0" xfId="0" applyFont="1" applyAlignment="1">
      <alignment horizontal="center" wrapText="1"/>
    </xf>
    <xf numFmtId="0" fontId="6" fillId="0" borderId="0" xfId="0" applyFont="1" applyAlignment="1">
      <alignment horizontal="justify" vertical="top"/>
    </xf>
    <xf numFmtId="0" fontId="6" fillId="0" borderId="0" xfId="0" applyFont="1" applyAlignment="1">
      <alignment horizontal="right" vertical="center"/>
    </xf>
    <xf numFmtId="0" fontId="6" fillId="5" borderId="0" xfId="0" applyFont="1" applyFill="1" applyAlignment="1">
      <alignment horizontal="right" vertical="center"/>
    </xf>
    <xf numFmtId="0" fontId="0" fillId="5" borderId="0" xfId="0" applyFill="1"/>
    <xf numFmtId="0" fontId="6" fillId="6" borderId="0" xfId="0" applyFont="1" applyFill="1" applyAlignment="1">
      <alignment horizontal="right" vertical="center"/>
    </xf>
    <xf numFmtId="0" fontId="0" fillId="6" borderId="0" xfId="0" applyFill="1"/>
    <xf numFmtId="0" fontId="6" fillId="7" borderId="0" xfId="0" applyFont="1" applyFill="1" applyAlignment="1">
      <alignment horizontal="right" vertical="center"/>
    </xf>
    <xf numFmtId="0" fontId="0" fillId="7" borderId="0" xfId="0" applyFill="1"/>
    <xf numFmtId="0" fontId="16" fillId="0" borderId="0" xfId="0" applyFont="1" applyAlignment="1">
      <alignment horizontal="center"/>
    </xf>
    <xf numFmtId="0" fontId="17" fillId="0" borderId="0" xfId="0" applyFont="1"/>
    <xf numFmtId="0" fontId="19" fillId="0" borderId="0" xfId="0" applyFont="1"/>
    <xf numFmtId="0" fontId="15" fillId="5" borderId="0" xfId="0" applyFont="1" applyFill="1" applyAlignment="1">
      <alignment horizontal="right" vertical="center"/>
    </xf>
    <xf numFmtId="0" fontId="17" fillId="5" borderId="0" xfId="0" applyFont="1" applyFill="1"/>
    <xf numFmtId="0" fontId="15" fillId="6" borderId="0" xfId="0" applyFont="1" applyFill="1" applyAlignment="1">
      <alignment horizontal="right" vertical="center"/>
    </xf>
    <xf numFmtId="0" fontId="17" fillId="6" borderId="0" xfId="0" applyFont="1" applyFill="1"/>
    <xf numFmtId="0" fontId="15" fillId="0" borderId="0" xfId="0" applyFont="1" applyAlignment="1">
      <alignment horizontal="right" vertical="center"/>
    </xf>
    <xf numFmtId="0" fontId="15" fillId="7" borderId="0" xfId="0" applyFont="1" applyFill="1" applyAlignment="1">
      <alignment horizontal="right" vertical="center"/>
    </xf>
    <xf numFmtId="0" fontId="17" fillId="7" borderId="0" xfId="0" applyFont="1" applyFill="1"/>
    <xf numFmtId="0" fontId="20" fillId="2" borderId="0" xfId="0" applyFont="1" applyFill="1" applyAlignment="1">
      <alignment wrapText="1"/>
    </xf>
    <xf numFmtId="0" fontId="5" fillId="0" borderId="0" xfId="0" applyFont="1" applyAlignment="1">
      <alignment horizontal="center"/>
    </xf>
    <xf numFmtId="0" fontId="10" fillId="0" borderId="0" xfId="0" applyFont="1"/>
    <xf numFmtId="0" fontId="8" fillId="4" borderId="0" xfId="0" applyFont="1" applyFill="1"/>
    <xf numFmtId="0" fontId="7" fillId="0" borderId="1" xfId="0" applyFont="1" applyBorder="1"/>
    <xf numFmtId="0" fontId="5" fillId="0" borderId="1" xfId="0" applyFont="1" applyBorder="1" applyAlignment="1">
      <alignment horizontal="center" wrapText="1"/>
    </xf>
    <xf numFmtId="0" fontId="5" fillId="0" borderId="11" xfId="0" applyFont="1" applyBorder="1" applyAlignment="1">
      <alignment horizontal="center" wrapText="1"/>
    </xf>
    <xf numFmtId="0" fontId="5" fillId="7" borderId="3" xfId="0" applyFont="1" applyFill="1" applyBorder="1"/>
    <xf numFmtId="0" fontId="5" fillId="7" borderId="6" xfId="0" applyFont="1" applyFill="1" applyBorder="1"/>
    <xf numFmtId="0" fontId="0" fillId="0" borderId="1" xfId="0" applyBorder="1"/>
    <xf numFmtId="0" fontId="7" fillId="0" borderId="11" xfId="0" applyFont="1" applyBorder="1"/>
    <xf numFmtId="0" fontId="7" fillId="0" borderId="12" xfId="0" applyFont="1" applyBorder="1"/>
    <xf numFmtId="0" fontId="5" fillId="0" borderId="12" xfId="0" applyFont="1" applyBorder="1" applyAlignment="1">
      <alignment horizontal="center" wrapText="1"/>
    </xf>
    <xf numFmtId="0" fontId="7" fillId="0" borderId="12" xfId="0" applyFont="1" applyBorder="1" applyAlignment="1">
      <alignment horizontal="center" wrapText="1"/>
    </xf>
    <xf numFmtId="0" fontId="7" fillId="0" borderId="12" xfId="0" applyFont="1" applyBorder="1" applyAlignment="1">
      <alignment wrapText="1"/>
    </xf>
    <xf numFmtId="0" fontId="14" fillId="9" borderId="5" xfId="0" applyFont="1" applyFill="1" applyBorder="1"/>
    <xf numFmtId="0" fontId="7" fillId="0" borderId="6" xfId="0" applyFont="1" applyBorder="1" applyAlignment="1">
      <alignment horizontal="center"/>
    </xf>
    <xf numFmtId="0" fontId="21" fillId="0" borderId="0" xfId="0" applyFont="1" applyAlignment="1">
      <alignment horizontal="center" vertical="center"/>
    </xf>
    <xf numFmtId="0" fontId="1" fillId="0" borderId="9" xfId="0" applyFont="1" applyBorder="1"/>
    <xf numFmtId="0" fontId="18" fillId="0" borderId="1" xfId="0" applyFont="1" applyBorder="1" applyAlignment="1">
      <alignment horizontal="center" vertical="center"/>
    </xf>
    <xf numFmtId="0" fontId="22" fillId="7" borderId="1" xfId="0" applyFont="1" applyFill="1" applyBorder="1" applyAlignment="1">
      <alignment horizontal="center" vertical="center"/>
    </xf>
    <xf numFmtId="0" fontId="21" fillId="8" borderId="6" xfId="0" applyFont="1" applyFill="1" applyBorder="1" applyAlignment="1">
      <alignment horizontal="center" vertical="center"/>
    </xf>
    <xf numFmtId="0" fontId="26" fillId="0" borderId="0" xfId="0" applyFont="1" applyAlignment="1">
      <alignment horizontal="center" wrapText="1"/>
    </xf>
    <xf numFmtId="0" fontId="15" fillId="0" borderId="0" xfId="0" applyFont="1" applyAlignment="1">
      <alignment horizontal="center"/>
    </xf>
    <xf numFmtId="0" fontId="4" fillId="0" borderId="0" xfId="0" applyFont="1" applyAlignment="1">
      <alignment horizontal="center" vertical="center" wrapText="1"/>
    </xf>
    <xf numFmtId="0" fontId="29" fillId="0" borderId="0" xfId="0" applyFont="1"/>
    <xf numFmtId="0" fontId="1" fillId="0" borderId="0" xfId="0" applyFont="1" applyAlignment="1">
      <alignment horizontal="center" vertical="center" wrapText="1"/>
    </xf>
    <xf numFmtId="0" fontId="15" fillId="0" borderId="0" xfId="0" applyFont="1" applyAlignment="1">
      <alignment horizontal="center" vertical="center" wrapText="1"/>
    </xf>
    <xf numFmtId="0" fontId="16" fillId="0" borderId="0" xfId="0" applyFont="1" applyAlignment="1">
      <alignment horizontal="center" vertical="center"/>
    </xf>
    <xf numFmtId="0" fontId="4" fillId="0" borderId="0" xfId="0" applyFont="1" applyAlignment="1">
      <alignment horizontal="left" vertical="top" wrapText="1"/>
    </xf>
    <xf numFmtId="0" fontId="5" fillId="0" borderId="13" xfId="0" applyFont="1" applyBorder="1" applyAlignment="1">
      <alignment horizontal="center" wrapText="1"/>
    </xf>
    <xf numFmtId="0" fontId="31" fillId="0" borderId="10" xfId="0" applyFont="1" applyBorder="1" applyAlignment="1">
      <alignment horizontal="center"/>
    </xf>
    <xf numFmtId="0" fontId="1" fillId="3" borderId="10" xfId="0" applyFont="1" applyFill="1" applyBorder="1"/>
    <xf numFmtId="0" fontId="6" fillId="0" borderId="1" xfId="0" applyFont="1" applyBorder="1" applyAlignment="1">
      <alignment horizontal="center" wrapText="1"/>
    </xf>
    <xf numFmtId="0" fontId="1" fillId="0" borderId="1" xfId="0" applyFont="1" applyBorder="1" applyAlignment="1">
      <alignment horizontal="center"/>
    </xf>
    <xf numFmtId="0" fontId="1" fillId="3" borderId="1" xfId="0" applyFont="1" applyFill="1" applyBorder="1"/>
    <xf numFmtId="0" fontId="1" fillId="3" borderId="1" xfId="0" applyFont="1" applyFill="1" applyBorder="1" applyAlignment="1">
      <alignment horizontal="center" wrapText="1"/>
    </xf>
    <xf numFmtId="0" fontId="23" fillId="0" borderId="10" xfId="0" applyFont="1" applyBorder="1" applyAlignment="1">
      <alignment horizontal="center"/>
    </xf>
    <xf numFmtId="0" fontId="4" fillId="0" borderId="1" xfId="0" applyFont="1" applyBorder="1" applyAlignment="1">
      <alignment horizontal="left" vertical="top" wrapText="1"/>
    </xf>
    <xf numFmtId="0" fontId="5" fillId="0" borderId="12" xfId="0" applyFont="1" applyBorder="1" applyAlignment="1">
      <alignment horizontal="center" vertical="center" wrapText="1"/>
    </xf>
    <xf numFmtId="0" fontId="9" fillId="0" borderId="0" xfId="0" applyFont="1" applyAlignment="1">
      <alignment horizontal="center" vertical="center"/>
    </xf>
    <xf numFmtId="0" fontId="34" fillId="0" borderId="0" xfId="0" applyFont="1" applyAlignment="1">
      <alignment horizontal="center" wrapText="1"/>
    </xf>
    <xf numFmtId="0" fontId="29" fillId="0" borderId="0" xfId="0" applyFont="1" applyAlignment="1">
      <alignment horizontal="center" wrapText="1"/>
    </xf>
    <xf numFmtId="0" fontId="35" fillId="0" borderId="0" xfId="0" applyFont="1"/>
    <xf numFmtId="0" fontId="1" fillId="0" borderId="0" xfId="0" applyFont="1"/>
    <xf numFmtId="0" fontId="36" fillId="0" borderId="0" xfId="0" applyFont="1" applyAlignment="1">
      <alignment horizontal="center" vertical="center" wrapText="1"/>
    </xf>
    <xf numFmtId="0" fontId="1" fillId="0" borderId="1" xfId="0" applyFont="1" applyBorder="1"/>
    <xf numFmtId="0" fontId="36" fillId="0" borderId="0" xfId="0" applyFont="1" applyAlignment="1">
      <alignment horizontal="center" wrapText="1"/>
    </xf>
    <xf numFmtId="0" fontId="37" fillId="0" borderId="0" xfId="0" applyFont="1" applyAlignment="1">
      <alignment horizontal="center" vertical="center"/>
    </xf>
    <xf numFmtId="0" fontId="26" fillId="0" borderId="0" xfId="0" applyFont="1" applyAlignment="1">
      <alignment horizontal="center" vertical="center" wrapText="1"/>
    </xf>
    <xf numFmtId="0" fontId="26" fillId="0" borderId="0" xfId="0" applyFont="1" applyAlignment="1">
      <alignment horizontal="justify" vertical="center"/>
    </xf>
    <xf numFmtId="0" fontId="26" fillId="0" borderId="0" xfId="0" applyFont="1"/>
    <xf numFmtId="0" fontId="39" fillId="9" borderId="5" xfId="0" applyFont="1" applyFill="1" applyBorder="1"/>
    <xf numFmtId="0" fontId="6" fillId="0" borderId="1" xfId="0" applyFont="1" applyBorder="1"/>
    <xf numFmtId="0" fontId="40" fillId="0" borderId="1" xfId="0" applyFont="1" applyBorder="1" applyAlignment="1">
      <alignment horizontal="left" vertical="top" wrapText="1"/>
    </xf>
    <xf numFmtId="0" fontId="0" fillId="7" borderId="12" xfId="0" applyFill="1" applyBorder="1"/>
    <xf numFmtId="0" fontId="6" fillId="7" borderId="15" xfId="0" applyFont="1" applyFill="1" applyBorder="1" applyAlignment="1">
      <alignment horizontal="center" wrapText="1"/>
    </xf>
    <xf numFmtId="0" fontId="7" fillId="0" borderId="14" xfId="0" applyFont="1" applyBorder="1"/>
    <xf numFmtId="0" fontId="1" fillId="3" borderId="16" xfId="0" applyFont="1" applyFill="1" applyBorder="1"/>
    <xf numFmtId="0" fontId="1" fillId="0" borderId="17" xfId="0" applyFont="1" applyBorder="1" applyAlignment="1">
      <alignment horizontal="center"/>
    </xf>
    <xf numFmtId="0" fontId="6" fillId="0" borderId="17" xfId="0" applyFont="1" applyBorder="1" applyAlignment="1">
      <alignment horizontal="center"/>
    </xf>
    <xf numFmtId="0" fontId="6" fillId="0" borderId="17" xfId="0" applyFont="1" applyBorder="1" applyAlignment="1">
      <alignment horizontal="center" wrapText="1"/>
    </xf>
    <xf numFmtId="0" fontId="33" fillId="0" borderId="12" xfId="0" applyFont="1" applyBorder="1" applyAlignment="1">
      <alignment horizontal="center" wrapText="1"/>
    </xf>
    <xf numFmtId="0" fontId="1" fillId="0" borderId="15" xfId="0" applyFont="1" applyBorder="1" applyAlignment="1">
      <alignment horizontal="center"/>
    </xf>
    <xf numFmtId="0" fontId="5" fillId="7" borderId="13" xfId="0" applyFont="1" applyFill="1" applyBorder="1" applyAlignment="1">
      <alignment horizontal="center" wrapText="1"/>
    </xf>
    <xf numFmtId="0" fontId="23" fillId="7" borderId="18" xfId="0" applyFont="1" applyFill="1" applyBorder="1" applyAlignment="1">
      <alignment horizontal="center" wrapText="1"/>
    </xf>
    <xf numFmtId="0" fontId="23" fillId="7" borderId="19" xfId="0" applyFont="1" applyFill="1" applyBorder="1" applyAlignment="1">
      <alignment horizontal="center" wrapText="1"/>
    </xf>
    <xf numFmtId="0" fontId="6" fillId="7" borderId="18" xfId="0" applyFont="1" applyFill="1" applyBorder="1" applyAlignment="1">
      <alignment horizontal="center" wrapText="1"/>
    </xf>
    <xf numFmtId="0" fontId="1" fillId="7" borderId="2" xfId="0" applyFont="1" applyFill="1" applyBorder="1"/>
    <xf numFmtId="0" fontId="26" fillId="0" borderId="7" xfId="0" applyFont="1" applyBorder="1" applyAlignment="1">
      <alignment vertical="top" wrapText="1"/>
    </xf>
    <xf numFmtId="0" fontId="23" fillId="7" borderId="2" xfId="0" applyFont="1" applyFill="1" applyBorder="1" applyAlignment="1">
      <alignment horizontal="center" wrapText="1"/>
    </xf>
    <xf numFmtId="0" fontId="23" fillId="7" borderId="19" xfId="0" applyFont="1" applyFill="1" applyBorder="1" applyAlignment="1">
      <alignment horizontal="center"/>
    </xf>
    <xf numFmtId="0" fontId="41" fillId="0" borderId="10" xfId="0" applyFont="1" applyBorder="1" applyAlignment="1">
      <alignment horizontal="center"/>
    </xf>
    <xf numFmtId="0" fontId="0" fillId="5" borderId="1" xfId="0" applyFill="1" applyBorder="1"/>
    <xf numFmtId="0" fontId="0" fillId="6" borderId="1" xfId="0" applyFill="1" applyBorder="1"/>
    <xf numFmtId="0" fontId="0" fillId="7" borderId="1" xfId="0" applyFill="1" applyBorder="1"/>
    <xf numFmtId="0" fontId="4" fillId="0" borderId="1" xfId="0" applyFont="1" applyBorder="1" applyAlignment="1">
      <alignment horizontal="justify" vertical="top"/>
    </xf>
    <xf numFmtId="0" fontId="32" fillId="0" borderId="1" xfId="0" applyFont="1" applyBorder="1" applyAlignment="1">
      <alignment horizontal="center"/>
    </xf>
    <xf numFmtId="0" fontId="24" fillId="0" borderId="21" xfId="0" applyFont="1" applyBorder="1" applyAlignment="1">
      <alignment horizontal="center" vertical="center" wrapText="1"/>
    </xf>
    <xf numFmtId="0" fontId="11" fillId="0" borderId="22"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21" xfId="0" applyFont="1" applyBorder="1" applyAlignment="1">
      <alignment horizontal="center" vertical="center"/>
    </xf>
    <xf numFmtId="0" fontId="18" fillId="0" borderId="21" xfId="0" applyFont="1" applyBorder="1" applyAlignment="1">
      <alignment horizontal="center" vertical="center"/>
    </xf>
    <xf numFmtId="0" fontId="42" fillId="0" borderId="1" xfId="0" applyFont="1" applyBorder="1" applyAlignment="1">
      <alignment horizontal="center" vertical="center" wrapText="1"/>
    </xf>
    <xf numFmtId="0" fontId="43" fillId="0" borderId="1" xfId="0" applyFont="1" applyBorder="1" applyAlignment="1">
      <alignment horizontal="center"/>
    </xf>
    <xf numFmtId="0" fontId="1" fillId="0" borderId="23" xfId="0" applyFont="1" applyBorder="1" applyAlignment="1">
      <alignment horizontal="center"/>
    </xf>
    <xf numFmtId="0" fontId="0" fillId="0" borderId="0" xfId="0" applyAlignment="1">
      <alignment horizontal="center"/>
    </xf>
    <xf numFmtId="0" fontId="44" fillId="0" borderId="1" xfId="0" applyFont="1" applyBorder="1" applyAlignment="1">
      <alignment horizontal="left" vertical="top" wrapText="1"/>
    </xf>
    <xf numFmtId="0" fontId="45" fillId="0" borderId="1" xfId="0" applyFont="1" applyBorder="1" applyAlignment="1">
      <alignment horizontal="center" vertical="center" wrapText="1"/>
    </xf>
    <xf numFmtId="0" fontId="13" fillId="0" borderId="22" xfId="0" applyFont="1" applyBorder="1" applyAlignment="1">
      <alignment horizontal="center" vertical="center"/>
    </xf>
    <xf numFmtId="0" fontId="21" fillId="8" borderId="2" xfId="0" applyFont="1" applyFill="1" applyBorder="1" applyAlignment="1">
      <alignment horizontal="center" vertical="center"/>
    </xf>
    <xf numFmtId="0" fontId="1" fillId="0" borderId="11" xfId="0" applyFont="1" applyBorder="1"/>
    <xf numFmtId="0" fontId="38" fillId="0" borderId="20" xfId="0" applyFont="1" applyBorder="1" applyAlignment="1">
      <alignment horizontal="center" vertical="center" wrapText="1"/>
    </xf>
    <xf numFmtId="0" fontId="25" fillId="0" borderId="24" xfId="0" applyFont="1" applyBorder="1" applyAlignment="1">
      <alignment horizontal="justify" vertical="center"/>
    </xf>
    <xf numFmtId="0" fontId="40" fillId="0" borderId="21" xfId="0" applyFont="1" applyBorder="1" applyAlignment="1">
      <alignment horizontal="left" vertical="top" wrapText="1"/>
    </xf>
    <xf numFmtId="0" fontId="1" fillId="3" borderId="20" xfId="0" applyFont="1" applyFill="1" applyBorder="1" applyAlignment="1">
      <alignment horizontal="center" wrapText="1"/>
    </xf>
    <xf numFmtId="0" fontId="1" fillId="0" borderId="20" xfId="0" applyFont="1" applyBorder="1" applyAlignment="1">
      <alignment horizontal="center"/>
    </xf>
    <xf numFmtId="0" fontId="6" fillId="9" borderId="5" xfId="0" applyFont="1" applyFill="1" applyBorder="1"/>
    <xf numFmtId="0" fontId="41" fillId="9" borderId="5" xfId="0" applyFont="1" applyFill="1" applyBorder="1"/>
    <xf numFmtId="0" fontId="9" fillId="9" borderId="5" xfId="0" applyFont="1" applyFill="1" applyBorder="1"/>
    <xf numFmtId="0" fontId="24" fillId="9" borderId="5" xfId="0" applyFont="1" applyFill="1" applyBorder="1"/>
    <xf numFmtId="0" fontId="19" fillId="0" borderId="1" xfId="0" applyFont="1" applyBorder="1" applyAlignment="1">
      <alignment horizontal="justify" vertical="top"/>
    </xf>
    <xf numFmtId="0" fontId="28" fillId="0" borderId="1" xfId="0" applyFont="1" applyBorder="1" applyAlignment="1">
      <alignment horizontal="center" vertical="center"/>
    </xf>
    <xf numFmtId="0" fontId="19" fillId="0" borderId="1" xfId="0" applyFont="1" applyBorder="1" applyAlignment="1">
      <alignment wrapText="1"/>
    </xf>
    <xf numFmtId="0" fontId="19" fillId="0" borderId="1" xfId="0" applyFont="1" applyBorder="1"/>
    <xf numFmtId="0" fontId="19" fillId="5" borderId="1" xfId="0" applyFont="1" applyFill="1" applyBorder="1"/>
    <xf numFmtId="0" fontId="19" fillId="6" borderId="1" xfId="0" applyFont="1" applyFill="1" applyBorder="1"/>
    <xf numFmtId="0" fontId="19" fillId="7" borderId="1" xfId="0" applyFont="1" applyFill="1" applyBorder="1"/>
    <xf numFmtId="0" fontId="3" fillId="0" borderId="1" xfId="0" applyFont="1" applyBorder="1" applyAlignment="1">
      <alignment horizontal="justify" vertical="center"/>
    </xf>
    <xf numFmtId="0" fontId="6" fillId="0" borderId="1" xfId="0" applyFont="1" applyBorder="1" applyAlignment="1">
      <alignment horizontal="justify" vertical="center"/>
    </xf>
    <xf numFmtId="0" fontId="43" fillId="0" borderId="0" xfId="0" applyFont="1" applyAlignment="1">
      <alignment horizontal="center"/>
    </xf>
    <xf numFmtId="0" fontId="4" fillId="0" borderId="1" xfId="0" applyFont="1" applyBorder="1" applyAlignment="1">
      <alignment horizontal="justify" vertical="top" wrapText="1"/>
    </xf>
    <xf numFmtId="0" fontId="9" fillId="0" borderId="1" xfId="0" applyFont="1" applyBorder="1" applyAlignment="1">
      <alignment horizontal="justify" vertical="top" wrapText="1"/>
    </xf>
    <xf numFmtId="0" fontId="9" fillId="0" borderId="8" xfId="0" applyFont="1" applyBorder="1" applyAlignment="1">
      <alignment horizontal="center" vertical="center"/>
    </xf>
    <xf numFmtId="0" fontId="9" fillId="0" borderId="4" xfId="0" applyFont="1" applyBorder="1" applyAlignment="1">
      <alignment horizontal="center" vertical="center"/>
    </xf>
    <xf numFmtId="0" fontId="9" fillId="0" borderId="9" xfId="0" applyFont="1" applyBorder="1" applyAlignment="1">
      <alignment horizontal="center" vertical="center"/>
    </xf>
    <xf numFmtId="0" fontId="9" fillId="0" borderId="0" xfId="0" applyFont="1" applyAlignment="1">
      <alignment horizontal="center" vertical="center"/>
    </xf>
    <xf numFmtId="0" fontId="7" fillId="0" borderId="0" xfId="0" applyFont="1" applyAlignment="1">
      <alignment horizontal="center"/>
    </xf>
    <xf numFmtId="0" fontId="46" fillId="0" borderId="1" xfId="0" applyFont="1" applyBorder="1" applyAlignment="1">
      <alignment horizontal="center"/>
    </xf>
    <xf numFmtId="0" fontId="26"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Vota&#231;&#227;o%200906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ENÇA"/>
      <sheetName val="MOÇÃO E REQUERIMENTO"/>
      <sheetName val="VETO E SEGUNDA DISCUSSÃO"/>
      <sheetName val="PRIMEIRA DISCUSSÃO"/>
      <sheetName val="DISCUSSÃO ÚNICA"/>
      <sheetName val="RECURSOS- DISCUSSÃO ÚNICA"/>
      <sheetName val="REQUERIMENTOS - DISCUSSÃO ÚNICA"/>
    </sheetNames>
    <sheetDataSet>
      <sheetData sheetId="0"/>
      <sheetData sheetId="1">
        <row r="7">
          <cell r="B7" t="str">
            <v>EXPEDIENTE</v>
          </cell>
        </row>
      </sheetData>
      <sheetData sheetId="2"/>
      <sheetData sheetId="3"/>
      <sheetData sheetId="4"/>
      <sheetData sheetId="5"/>
      <sheetData sheetId="6"/>
    </sheetDataSet>
  </externalBook>
</externalLink>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dimension ref="A1:AB78"/>
  <sheetViews>
    <sheetView zoomScale="70" zoomScaleNormal="70" workbookViewId="0">
      <selection activeCell="A55" sqref="A55"/>
    </sheetView>
  </sheetViews>
  <sheetFormatPr defaultColWidth="9.140625" defaultRowHeight="15"/>
  <cols>
    <col min="1" max="1" width="67.28515625" style="5" customWidth="1"/>
    <col min="2" max="2" width="4.42578125" style="5" customWidth="1"/>
    <col min="3" max="3" width="24.7109375" style="56" customWidth="1"/>
    <col min="4" max="4" width="4.42578125" style="56" customWidth="1"/>
    <col min="5" max="5" width="24.42578125" style="56" customWidth="1"/>
    <col min="6" max="6" width="4.42578125" style="5" customWidth="1"/>
    <col min="7" max="7" width="25.5703125" style="5" customWidth="1"/>
    <col min="8" max="8" width="3.7109375" style="5" customWidth="1"/>
    <col min="9" max="9" width="13.5703125" style="5" customWidth="1"/>
    <col min="10" max="10" width="4.85546875" style="5" customWidth="1"/>
    <col min="11" max="11" width="24.42578125" style="5" customWidth="1"/>
    <col min="12" max="12" width="3.42578125" style="5" hidden="1" customWidth="1"/>
    <col min="13" max="13" width="18.28515625" style="5" hidden="1" customWidth="1"/>
    <col min="14" max="14" width="4.85546875" style="5" customWidth="1"/>
    <col min="15" max="15" width="23.42578125" style="5" customWidth="1"/>
    <col min="16" max="16" width="4.85546875" style="5" customWidth="1"/>
    <col min="17" max="17" width="5" style="5" customWidth="1"/>
    <col min="18" max="18" width="24.42578125" style="5" customWidth="1"/>
    <col min="19" max="19" width="18.7109375" style="5" customWidth="1"/>
    <col min="20" max="20" width="20.42578125" style="5" hidden="1" customWidth="1"/>
    <col min="21" max="21" width="20.5703125" style="5" hidden="1" customWidth="1"/>
    <col min="22" max="22" width="27.7109375" style="5" hidden="1" customWidth="1"/>
    <col min="23" max="23" width="26.7109375" style="5" hidden="1" customWidth="1"/>
    <col min="24" max="24" width="27.7109375" style="5" hidden="1" customWidth="1"/>
    <col min="25" max="25" width="9.140625" style="5" hidden="1" customWidth="1"/>
    <col min="26" max="16384" width="9.140625" style="5"/>
  </cols>
  <sheetData>
    <row r="1" spans="1:28" ht="23.25" customHeight="1">
      <c r="A1" s="84" t="s">
        <v>8</v>
      </c>
      <c r="B1" s="144" t="s">
        <v>29</v>
      </c>
      <c r="C1" s="145"/>
      <c r="D1" s="145"/>
      <c r="E1" s="145"/>
      <c r="F1" s="145"/>
      <c r="G1" s="145"/>
      <c r="H1" s="145"/>
      <c r="I1" s="145"/>
      <c r="J1" s="145"/>
      <c r="K1" s="145"/>
      <c r="L1" s="145"/>
      <c r="M1" s="145"/>
      <c r="N1" s="71"/>
      <c r="O1" s="71"/>
      <c r="P1" s="71"/>
      <c r="Q1" s="40">
        <v>1</v>
      </c>
      <c r="R1" s="36" t="s">
        <v>10</v>
      </c>
      <c r="T1" s="148"/>
      <c r="U1" s="148"/>
      <c r="V1" s="148"/>
      <c r="W1" s="148"/>
      <c r="X1" s="148"/>
      <c r="Y1" s="148"/>
      <c r="Z1" s="7" t="s">
        <v>16</v>
      </c>
    </row>
    <row r="2" spans="1:28" ht="19.5" customHeight="1">
      <c r="A2" s="84" t="s">
        <v>113</v>
      </c>
      <c r="B2" s="146"/>
      <c r="C2" s="147"/>
      <c r="D2" s="147"/>
      <c r="E2" s="147"/>
      <c r="F2" s="147"/>
      <c r="G2" s="147"/>
      <c r="H2" s="147"/>
      <c r="I2" s="147"/>
      <c r="J2" s="147"/>
      <c r="K2" s="147"/>
      <c r="L2" s="147"/>
      <c r="M2" s="147"/>
      <c r="N2" s="71"/>
      <c r="O2" s="71"/>
      <c r="P2" s="71"/>
      <c r="Q2" s="35">
        <v>2</v>
      </c>
      <c r="R2" s="36" t="s">
        <v>11</v>
      </c>
      <c r="T2" s="148"/>
      <c r="U2" s="148"/>
      <c r="V2" s="148"/>
      <c r="W2" s="148"/>
      <c r="X2" s="148"/>
      <c r="Y2" s="148"/>
      <c r="Z2" s="7" t="s">
        <v>17</v>
      </c>
    </row>
    <row r="3" spans="1:28" ht="19.5" customHeight="1" thickBot="1">
      <c r="A3" s="84" t="s">
        <v>114</v>
      </c>
      <c r="B3" s="146"/>
      <c r="C3" s="147"/>
      <c r="D3" s="147"/>
      <c r="E3" s="147"/>
      <c r="F3" s="147"/>
      <c r="G3" s="147"/>
      <c r="H3" s="147"/>
      <c r="I3" s="147"/>
      <c r="J3" s="147"/>
      <c r="K3" s="147"/>
      <c r="L3" s="147"/>
      <c r="M3" s="147"/>
      <c r="N3" s="71"/>
      <c r="O3" s="71"/>
      <c r="P3" s="71"/>
      <c r="Q3" s="41">
        <v>3</v>
      </c>
      <c r="R3" s="37" t="s">
        <v>12</v>
      </c>
      <c r="T3" s="148"/>
      <c r="U3" s="148"/>
      <c r="V3" s="148"/>
      <c r="W3" s="148"/>
      <c r="X3" s="148"/>
      <c r="Y3" s="148"/>
    </row>
    <row r="4" spans="1:28" ht="46.5" thickBot="1">
      <c r="A4" s="47"/>
      <c r="B4" s="88"/>
      <c r="C4" s="93" t="s">
        <v>91</v>
      </c>
      <c r="D4" s="93"/>
      <c r="E4" s="93"/>
      <c r="F4" s="44"/>
      <c r="G4" s="43" t="s">
        <v>53</v>
      </c>
      <c r="H4" s="43"/>
      <c r="I4" s="70" t="s">
        <v>51</v>
      </c>
      <c r="J4" s="45"/>
      <c r="K4" s="43" t="s">
        <v>30</v>
      </c>
      <c r="L4" s="45"/>
      <c r="M4" s="43" t="s">
        <v>30</v>
      </c>
      <c r="N4" s="45"/>
      <c r="O4" s="43" t="s">
        <v>47</v>
      </c>
      <c r="P4" s="45"/>
      <c r="Q4" s="42"/>
      <c r="R4" s="61" t="s">
        <v>9</v>
      </c>
      <c r="S4" s="94"/>
      <c r="T4" s="148"/>
      <c r="U4" s="148"/>
      <c r="V4" s="148"/>
      <c r="W4" s="148"/>
      <c r="X4" s="148"/>
      <c r="Y4" s="148"/>
    </row>
    <row r="5" spans="1:28" ht="18" customHeight="1">
      <c r="A5" s="46" t="s">
        <v>54</v>
      </c>
      <c r="B5" s="89">
        <v>1</v>
      </c>
      <c r="C5" s="62" t="s">
        <v>55</v>
      </c>
      <c r="D5" s="63"/>
      <c r="E5" s="62"/>
      <c r="F5" s="89">
        <v>1</v>
      </c>
      <c r="G5" s="62" t="s">
        <v>55</v>
      </c>
      <c r="H5" s="63"/>
      <c r="I5" s="62"/>
      <c r="J5" s="63">
        <v>1</v>
      </c>
      <c r="K5" s="62" t="s">
        <v>55</v>
      </c>
      <c r="L5" s="126"/>
      <c r="M5" s="127"/>
      <c r="N5" s="63"/>
      <c r="O5" s="62"/>
      <c r="P5" s="63"/>
      <c r="Q5" s="63"/>
      <c r="R5" s="103"/>
      <c r="S5" s="116"/>
      <c r="T5" s="148"/>
      <c r="U5" s="148"/>
      <c r="V5" s="148"/>
      <c r="W5" s="148"/>
      <c r="X5" s="148"/>
      <c r="Y5" s="148"/>
    </row>
    <row r="6" spans="1:28" ht="18" customHeight="1">
      <c r="A6" s="46" t="s">
        <v>97</v>
      </c>
      <c r="B6" s="89">
        <v>2</v>
      </c>
      <c r="C6" s="103" t="s">
        <v>56</v>
      </c>
      <c r="D6" s="63"/>
      <c r="E6" s="103"/>
      <c r="F6" s="89">
        <v>1</v>
      </c>
      <c r="G6" s="62" t="s">
        <v>55</v>
      </c>
      <c r="H6" s="63"/>
      <c r="I6" s="62"/>
      <c r="J6" s="63">
        <v>1</v>
      </c>
      <c r="K6" s="62" t="s">
        <v>55</v>
      </c>
      <c r="L6" s="67"/>
      <c r="M6" s="65"/>
      <c r="N6" s="63"/>
      <c r="O6" s="103"/>
      <c r="P6" s="63"/>
      <c r="Q6" s="63"/>
      <c r="R6" s="103"/>
      <c r="S6" s="90"/>
      <c r="T6" s="148"/>
      <c r="U6" s="148"/>
      <c r="V6" s="148"/>
      <c r="W6" s="148"/>
      <c r="X6" s="148"/>
      <c r="Y6" s="148"/>
    </row>
    <row r="7" spans="1:28" ht="18" customHeight="1">
      <c r="A7" s="46" t="s">
        <v>57</v>
      </c>
      <c r="B7" s="89">
        <v>1</v>
      </c>
      <c r="C7" s="62" t="s">
        <v>55</v>
      </c>
      <c r="D7" s="63"/>
      <c r="E7" s="62"/>
      <c r="F7" s="89">
        <v>1</v>
      </c>
      <c r="G7" s="62" t="s">
        <v>55</v>
      </c>
      <c r="H7" s="63"/>
      <c r="I7" s="62"/>
      <c r="J7" s="63">
        <v>1</v>
      </c>
      <c r="K7" s="62" t="s">
        <v>55</v>
      </c>
      <c r="L7" s="67"/>
      <c r="M7" s="65"/>
      <c r="N7" s="63"/>
      <c r="O7" s="103"/>
      <c r="P7" s="63"/>
      <c r="Q7" s="63"/>
      <c r="R7" s="103"/>
      <c r="S7" s="90"/>
      <c r="T7" s="148"/>
      <c r="U7" s="148"/>
      <c r="V7" s="148"/>
      <c r="W7" s="148"/>
      <c r="X7" s="148"/>
      <c r="Y7" s="148"/>
    </row>
    <row r="8" spans="1:28" ht="18" customHeight="1">
      <c r="A8" s="83" t="s">
        <v>58</v>
      </c>
      <c r="B8" s="89">
        <v>1</v>
      </c>
      <c r="C8" s="62" t="s">
        <v>55</v>
      </c>
      <c r="D8" s="63"/>
      <c r="E8" s="62"/>
      <c r="F8" s="89">
        <v>1</v>
      </c>
      <c r="G8" s="62" t="s">
        <v>55</v>
      </c>
      <c r="H8" s="63"/>
      <c r="I8" s="62"/>
      <c r="J8" s="63">
        <v>1</v>
      </c>
      <c r="K8" s="62" t="s">
        <v>55</v>
      </c>
      <c r="L8" s="67"/>
      <c r="M8" s="65"/>
      <c r="N8" s="63"/>
      <c r="O8" s="62"/>
      <c r="P8" s="63"/>
      <c r="Q8" s="63"/>
      <c r="R8" s="62"/>
      <c r="S8" s="90"/>
      <c r="T8" s="148"/>
      <c r="U8" s="148"/>
      <c r="V8" s="148"/>
      <c r="W8" s="148"/>
      <c r="X8" s="148"/>
      <c r="Y8" s="148"/>
    </row>
    <row r="9" spans="1:28" ht="18" customHeight="1">
      <c r="A9" s="46" t="s">
        <v>28</v>
      </c>
      <c r="B9" s="89">
        <v>2</v>
      </c>
      <c r="C9" s="103" t="s">
        <v>56</v>
      </c>
      <c r="D9" s="63"/>
      <c r="E9" s="62"/>
      <c r="F9" s="89">
        <v>2</v>
      </c>
      <c r="G9" s="103" t="s">
        <v>56</v>
      </c>
      <c r="H9" s="63"/>
      <c r="I9" s="62"/>
      <c r="J9" s="63">
        <v>2</v>
      </c>
      <c r="K9" s="103" t="s">
        <v>56</v>
      </c>
      <c r="L9" s="67"/>
      <c r="M9" s="65"/>
      <c r="N9" s="63"/>
      <c r="O9" s="103"/>
      <c r="P9" s="63"/>
      <c r="Q9" s="63"/>
      <c r="R9" s="103"/>
      <c r="S9" s="90"/>
      <c r="T9" s="148"/>
      <c r="U9" s="148"/>
      <c r="V9" s="148"/>
      <c r="W9" s="148"/>
      <c r="X9" s="148"/>
      <c r="Y9" s="148"/>
    </row>
    <row r="10" spans="1:28" ht="18" customHeight="1">
      <c r="A10" s="46" t="s">
        <v>59</v>
      </c>
      <c r="B10" s="89">
        <v>2</v>
      </c>
      <c r="C10" s="103" t="s">
        <v>56</v>
      </c>
      <c r="D10" s="63"/>
      <c r="E10" s="62"/>
      <c r="F10" s="89">
        <v>1</v>
      </c>
      <c r="G10" s="62" t="s">
        <v>55</v>
      </c>
      <c r="H10" s="63"/>
      <c r="I10" s="62"/>
      <c r="J10" s="63">
        <v>1</v>
      </c>
      <c r="K10" s="62" t="s">
        <v>55</v>
      </c>
      <c r="L10" s="67"/>
      <c r="M10" s="65"/>
      <c r="N10" s="63"/>
      <c r="O10" s="62"/>
      <c r="P10" s="63"/>
      <c r="Q10" s="63"/>
      <c r="R10" s="62"/>
      <c r="S10" s="90"/>
      <c r="T10" s="148"/>
      <c r="U10" s="148"/>
      <c r="V10" s="148"/>
      <c r="W10" s="148"/>
      <c r="X10" s="148"/>
      <c r="Y10" s="148"/>
    </row>
    <row r="11" spans="1:28" ht="20.25">
      <c r="A11" s="46" t="s">
        <v>22</v>
      </c>
      <c r="B11" s="89">
        <v>1</v>
      </c>
      <c r="C11" s="62" t="s">
        <v>55</v>
      </c>
      <c r="D11" s="63"/>
      <c r="E11" s="62"/>
      <c r="F11" s="89">
        <v>1</v>
      </c>
      <c r="G11" s="62" t="s">
        <v>55</v>
      </c>
      <c r="H11" s="63"/>
      <c r="I11" s="62"/>
      <c r="J11" s="63">
        <v>1</v>
      </c>
      <c r="K11" s="62" t="s">
        <v>55</v>
      </c>
      <c r="L11" s="67"/>
      <c r="M11" s="65"/>
      <c r="N11" s="63"/>
      <c r="O11" s="103"/>
      <c r="P11" s="63"/>
      <c r="Q11" s="63"/>
      <c r="R11" s="62"/>
      <c r="S11" s="91"/>
      <c r="T11" s="148"/>
      <c r="U11" s="148"/>
      <c r="V11" s="148"/>
      <c r="W11" s="148"/>
      <c r="X11" s="148"/>
      <c r="Y11" s="148"/>
    </row>
    <row r="12" spans="1:28" ht="18" customHeight="1">
      <c r="A12" s="46" t="s">
        <v>23</v>
      </c>
      <c r="B12" s="89">
        <v>2</v>
      </c>
      <c r="C12" s="103" t="s">
        <v>56</v>
      </c>
      <c r="D12" s="63"/>
      <c r="E12" s="103"/>
      <c r="F12" s="89">
        <v>1</v>
      </c>
      <c r="G12" s="62" t="s">
        <v>55</v>
      </c>
      <c r="H12" s="63"/>
      <c r="I12" s="68"/>
      <c r="J12" s="63">
        <v>1</v>
      </c>
      <c r="K12" s="62" t="s">
        <v>55</v>
      </c>
      <c r="L12" s="67"/>
      <c r="M12" s="65"/>
      <c r="N12" s="63"/>
      <c r="O12" s="103"/>
      <c r="P12" s="63"/>
      <c r="Q12" s="63"/>
      <c r="R12" s="103"/>
      <c r="S12" s="92"/>
      <c r="T12" s="148"/>
      <c r="U12" s="148"/>
      <c r="V12" s="148"/>
      <c r="W12" s="148"/>
      <c r="X12" s="148"/>
      <c r="Y12" s="148"/>
      <c r="AB12" s="12"/>
    </row>
    <row r="13" spans="1:28" ht="18" customHeight="1">
      <c r="A13" s="46" t="s">
        <v>24</v>
      </c>
      <c r="B13" s="89">
        <v>1</v>
      </c>
      <c r="C13" s="62" t="s">
        <v>55</v>
      </c>
      <c r="D13" s="63"/>
      <c r="E13" s="62"/>
      <c r="F13" s="89">
        <v>1</v>
      </c>
      <c r="G13" s="62" t="s">
        <v>55</v>
      </c>
      <c r="H13" s="63"/>
      <c r="I13" s="62"/>
      <c r="J13" s="63">
        <v>2</v>
      </c>
      <c r="K13" s="103" t="s">
        <v>56</v>
      </c>
      <c r="L13" s="67"/>
      <c r="M13" s="65"/>
      <c r="N13" s="63"/>
      <c r="O13" s="62"/>
      <c r="P13" s="63"/>
      <c r="Q13" s="63"/>
      <c r="R13" s="103"/>
      <c r="S13" s="92"/>
      <c r="T13" s="148"/>
      <c r="U13" s="148"/>
      <c r="V13" s="148"/>
      <c r="W13" s="148"/>
      <c r="X13" s="148"/>
      <c r="Y13" s="148"/>
    </row>
    <row r="14" spans="1:28" ht="18" customHeight="1">
      <c r="A14" s="46" t="s">
        <v>60</v>
      </c>
      <c r="B14" s="89">
        <v>1</v>
      </c>
      <c r="C14" s="62" t="s">
        <v>55</v>
      </c>
      <c r="D14" s="63"/>
      <c r="E14" s="62"/>
      <c r="F14" s="89">
        <v>1</v>
      </c>
      <c r="G14" s="62" t="s">
        <v>55</v>
      </c>
      <c r="H14" s="63"/>
      <c r="I14" s="62"/>
      <c r="J14" s="63">
        <v>1</v>
      </c>
      <c r="K14" s="62" t="s">
        <v>55</v>
      </c>
      <c r="L14" s="67"/>
      <c r="M14" s="65"/>
      <c r="N14" s="63"/>
      <c r="O14" s="62"/>
      <c r="P14" s="63"/>
      <c r="Q14" s="63"/>
      <c r="R14" s="103"/>
      <c r="S14" s="92"/>
      <c r="T14" s="148"/>
      <c r="U14" s="148"/>
      <c r="V14" s="148"/>
      <c r="W14" s="148"/>
      <c r="X14" s="148"/>
      <c r="Y14" s="148"/>
    </row>
    <row r="15" spans="1:28" ht="18" customHeight="1">
      <c r="A15" s="46" t="s">
        <v>61</v>
      </c>
      <c r="B15" s="89">
        <v>1</v>
      </c>
      <c r="C15" s="62" t="s">
        <v>55</v>
      </c>
      <c r="D15" s="63"/>
      <c r="E15" s="62"/>
      <c r="F15" s="89">
        <v>1</v>
      </c>
      <c r="G15" s="62" t="s">
        <v>55</v>
      </c>
      <c r="H15" s="63"/>
      <c r="I15" s="62"/>
      <c r="J15" s="63">
        <v>1</v>
      </c>
      <c r="K15" s="62" t="s">
        <v>55</v>
      </c>
      <c r="L15" s="67"/>
      <c r="M15" s="65"/>
      <c r="N15" s="63"/>
      <c r="O15" s="62"/>
      <c r="P15" s="63"/>
      <c r="Q15" s="63"/>
      <c r="R15" s="103"/>
      <c r="S15" s="92"/>
      <c r="T15" s="148"/>
      <c r="U15" s="148"/>
      <c r="V15" s="148"/>
      <c r="W15" s="148"/>
      <c r="X15" s="148"/>
      <c r="Y15" s="148"/>
    </row>
    <row r="16" spans="1:28" ht="18" customHeight="1">
      <c r="A16" s="46" t="s">
        <v>62</v>
      </c>
      <c r="B16" s="89">
        <v>1</v>
      </c>
      <c r="C16" s="62" t="s">
        <v>55</v>
      </c>
      <c r="D16" s="63"/>
      <c r="E16" s="62"/>
      <c r="F16" s="89">
        <v>1</v>
      </c>
      <c r="G16" s="62" t="s">
        <v>55</v>
      </c>
      <c r="H16" s="63"/>
      <c r="I16" s="62"/>
      <c r="J16" s="63">
        <v>1</v>
      </c>
      <c r="K16" s="62" t="s">
        <v>55</v>
      </c>
      <c r="L16" s="67"/>
      <c r="M16" s="65"/>
      <c r="N16" s="63"/>
      <c r="O16" s="62"/>
      <c r="P16" s="63"/>
      <c r="Q16" s="63"/>
      <c r="R16" s="103"/>
      <c r="S16" s="92"/>
      <c r="T16" s="148"/>
      <c r="U16" s="148"/>
      <c r="V16" s="148"/>
      <c r="W16" s="148"/>
      <c r="X16" s="148"/>
      <c r="Y16" s="148"/>
    </row>
    <row r="17" spans="1:28" ht="18.75" customHeight="1">
      <c r="A17" s="46" t="s">
        <v>25</v>
      </c>
      <c r="B17" s="89">
        <v>1</v>
      </c>
      <c r="C17" s="62" t="s">
        <v>55</v>
      </c>
      <c r="D17" s="63"/>
      <c r="E17" s="62"/>
      <c r="F17" s="89">
        <v>1</v>
      </c>
      <c r="G17" s="62" t="s">
        <v>55</v>
      </c>
      <c r="H17" s="63"/>
      <c r="I17" s="68"/>
      <c r="J17" s="63">
        <v>1</v>
      </c>
      <c r="K17" s="62" t="s">
        <v>55</v>
      </c>
      <c r="L17" s="67"/>
      <c r="M17" s="65"/>
      <c r="N17" s="63"/>
      <c r="O17" s="62"/>
      <c r="P17" s="63"/>
      <c r="Q17" s="63"/>
      <c r="R17" s="103"/>
      <c r="S17" s="92"/>
      <c r="T17" s="148"/>
      <c r="U17" s="148"/>
      <c r="V17" s="148"/>
      <c r="W17" s="148"/>
      <c r="X17" s="148"/>
      <c r="Y17" s="148"/>
    </row>
    <row r="18" spans="1:28" ht="17.25" customHeight="1">
      <c r="A18" s="46" t="s">
        <v>63</v>
      </c>
      <c r="B18" s="89">
        <v>1</v>
      </c>
      <c r="C18" s="62" t="s">
        <v>55</v>
      </c>
      <c r="D18" s="63"/>
      <c r="E18" s="62"/>
      <c r="F18" s="89">
        <v>1</v>
      </c>
      <c r="G18" s="62" t="s">
        <v>55</v>
      </c>
      <c r="H18" s="63"/>
      <c r="I18" s="62"/>
      <c r="J18" s="63">
        <v>1</v>
      </c>
      <c r="K18" s="62" t="s">
        <v>55</v>
      </c>
      <c r="L18" s="67"/>
      <c r="M18" s="65"/>
      <c r="N18" s="63"/>
      <c r="O18" s="62"/>
      <c r="P18" s="63"/>
      <c r="Q18" s="63"/>
      <c r="R18" s="103"/>
      <c r="S18" s="92"/>
      <c r="T18" s="148"/>
      <c r="U18" s="148"/>
      <c r="V18" s="148"/>
      <c r="W18" s="148"/>
      <c r="X18" s="148"/>
      <c r="Y18" s="148"/>
    </row>
    <row r="19" spans="1:28" ht="18" customHeight="1">
      <c r="A19" s="46" t="s">
        <v>98</v>
      </c>
      <c r="B19" s="89">
        <v>1</v>
      </c>
      <c r="C19" s="62" t="s">
        <v>55</v>
      </c>
      <c r="D19" s="63"/>
      <c r="E19" s="103"/>
      <c r="F19" s="89">
        <v>1</v>
      </c>
      <c r="G19" s="62" t="s">
        <v>55</v>
      </c>
      <c r="H19" s="63"/>
      <c r="I19" s="62"/>
      <c r="J19" s="63">
        <v>2</v>
      </c>
      <c r="K19" s="103" t="s">
        <v>56</v>
      </c>
      <c r="L19" s="67"/>
      <c r="M19" s="65"/>
      <c r="N19" s="63"/>
      <c r="O19" s="62"/>
      <c r="P19" s="63"/>
      <c r="Q19" s="63"/>
      <c r="R19" s="103"/>
      <c r="S19" s="92"/>
      <c r="T19" s="148"/>
      <c r="U19" s="148"/>
      <c r="V19" s="148"/>
      <c r="W19" s="148"/>
      <c r="X19" s="148"/>
      <c r="Y19" s="148"/>
    </row>
    <row r="20" spans="1:28" ht="18" customHeight="1">
      <c r="A20" s="46" t="s">
        <v>26</v>
      </c>
      <c r="B20" s="89">
        <v>2</v>
      </c>
      <c r="C20" s="103" t="s">
        <v>56</v>
      </c>
      <c r="D20" s="63"/>
      <c r="E20" s="62"/>
      <c r="F20" s="89">
        <v>1</v>
      </c>
      <c r="G20" s="62" t="s">
        <v>55</v>
      </c>
      <c r="H20" s="63"/>
      <c r="I20" s="68"/>
      <c r="J20" s="63">
        <v>1</v>
      </c>
      <c r="K20" s="62" t="s">
        <v>55</v>
      </c>
      <c r="L20" s="67"/>
      <c r="M20" s="65"/>
      <c r="N20" s="63"/>
      <c r="O20" s="62"/>
      <c r="P20" s="63"/>
      <c r="Q20" s="63"/>
      <c r="R20" s="103"/>
      <c r="S20" s="92"/>
      <c r="T20" s="148"/>
      <c r="U20" s="148"/>
      <c r="V20" s="148"/>
      <c r="W20" s="148"/>
      <c r="X20" s="148"/>
      <c r="Y20" s="148"/>
    </row>
    <row r="21" spans="1:28" ht="18.75" customHeight="1">
      <c r="A21" s="46" t="s">
        <v>64</v>
      </c>
      <c r="B21" s="89">
        <v>2</v>
      </c>
      <c r="C21" s="103" t="s">
        <v>56</v>
      </c>
      <c r="D21" s="63"/>
      <c r="E21" s="62"/>
      <c r="F21" s="89">
        <v>1</v>
      </c>
      <c r="G21" s="62" t="s">
        <v>55</v>
      </c>
      <c r="H21" s="63"/>
      <c r="I21" s="62"/>
      <c r="J21" s="63">
        <v>1</v>
      </c>
      <c r="K21" s="62" t="s">
        <v>55</v>
      </c>
      <c r="L21" s="64"/>
      <c r="M21" s="64"/>
      <c r="N21" s="63"/>
      <c r="O21" s="62"/>
      <c r="P21" s="63"/>
      <c r="Q21" s="63"/>
      <c r="R21" s="62"/>
      <c r="S21" s="92"/>
      <c r="T21" s="148"/>
      <c r="U21" s="148"/>
      <c r="V21" s="148"/>
      <c r="W21" s="148"/>
      <c r="X21" s="148"/>
      <c r="Y21" s="148"/>
    </row>
    <row r="22" spans="1:28" ht="18" customHeight="1">
      <c r="A22" s="46" t="s">
        <v>101</v>
      </c>
      <c r="B22" s="89">
        <v>2</v>
      </c>
      <c r="C22" s="103" t="s">
        <v>56</v>
      </c>
      <c r="D22" s="63"/>
      <c r="E22" s="103"/>
      <c r="F22" s="89">
        <v>1</v>
      </c>
      <c r="G22" s="62" t="s">
        <v>55</v>
      </c>
      <c r="H22" s="63"/>
      <c r="I22" s="68"/>
      <c r="J22" s="63">
        <v>2</v>
      </c>
      <c r="K22" s="103" t="s">
        <v>56</v>
      </c>
      <c r="L22" s="67"/>
      <c r="M22" s="65"/>
      <c r="N22" s="63"/>
      <c r="O22" s="103"/>
      <c r="P22" s="63"/>
      <c r="Q22" s="63"/>
      <c r="R22" s="103"/>
      <c r="S22" s="92"/>
      <c r="T22" s="148"/>
      <c r="U22" s="148"/>
      <c r="V22" s="148"/>
      <c r="W22" s="148"/>
      <c r="X22" s="148"/>
      <c r="Y22" s="148"/>
    </row>
    <row r="23" spans="1:28" ht="18" customHeight="1">
      <c r="A23" s="46" t="s">
        <v>52</v>
      </c>
      <c r="B23" s="89">
        <v>2</v>
      </c>
      <c r="C23" s="103" t="s">
        <v>56</v>
      </c>
      <c r="D23" s="63"/>
      <c r="E23" s="62"/>
      <c r="F23" s="89">
        <v>1</v>
      </c>
      <c r="G23" s="62" t="s">
        <v>55</v>
      </c>
      <c r="H23" s="63"/>
      <c r="I23" s="62"/>
      <c r="J23" s="63">
        <v>2</v>
      </c>
      <c r="K23" s="103" t="s">
        <v>56</v>
      </c>
      <c r="L23" s="67"/>
      <c r="M23" s="65"/>
      <c r="N23" s="63"/>
      <c r="O23" s="62"/>
      <c r="P23" s="63"/>
      <c r="Q23" s="63"/>
      <c r="R23" s="62"/>
      <c r="S23" s="92"/>
      <c r="T23" s="148"/>
      <c r="U23" s="148"/>
      <c r="V23" s="148"/>
      <c r="W23" s="148"/>
      <c r="X23" s="148"/>
      <c r="Y23" s="148"/>
    </row>
    <row r="24" spans="1:28" ht="20.25">
      <c r="A24" s="46" t="s">
        <v>65</v>
      </c>
      <c r="B24" s="89">
        <v>2</v>
      </c>
      <c r="C24" s="103" t="s">
        <v>56</v>
      </c>
      <c r="D24" s="63"/>
      <c r="E24" s="62"/>
      <c r="F24" s="89">
        <v>1</v>
      </c>
      <c r="G24" s="62" t="s">
        <v>55</v>
      </c>
      <c r="H24" s="63"/>
      <c r="I24" s="62"/>
      <c r="J24" s="63">
        <v>1</v>
      </c>
      <c r="K24" s="62" t="s">
        <v>55</v>
      </c>
      <c r="L24" s="67"/>
      <c r="M24" s="65"/>
      <c r="N24" s="63"/>
      <c r="O24" s="62"/>
      <c r="P24" s="63"/>
      <c r="Q24" s="63"/>
      <c r="R24" s="103"/>
      <c r="S24" s="92"/>
      <c r="T24" s="148"/>
      <c r="U24" s="148"/>
      <c r="V24" s="148"/>
      <c r="W24" s="148"/>
      <c r="X24" s="148"/>
      <c r="Y24" s="148"/>
    </row>
    <row r="25" spans="1:28" ht="18" customHeight="1" thickBot="1">
      <c r="A25" s="46" t="s">
        <v>66</v>
      </c>
      <c r="B25" s="89">
        <v>1</v>
      </c>
      <c r="C25" s="62" t="s">
        <v>55</v>
      </c>
      <c r="D25" s="63"/>
      <c r="E25" s="62"/>
      <c r="F25" s="89">
        <v>1</v>
      </c>
      <c r="G25" s="62" t="s">
        <v>55</v>
      </c>
      <c r="H25" s="63"/>
      <c r="I25" s="68"/>
      <c r="J25" s="63">
        <v>1</v>
      </c>
      <c r="K25" s="62" t="s">
        <v>55</v>
      </c>
      <c r="L25" s="67"/>
      <c r="M25" s="65"/>
      <c r="N25" s="63"/>
      <c r="O25" s="62"/>
      <c r="P25" s="63"/>
      <c r="Q25" s="66"/>
      <c r="R25" s="103"/>
      <c r="S25" s="92"/>
      <c r="T25" s="148"/>
      <c r="U25" s="148"/>
      <c r="V25" s="148"/>
      <c r="W25" s="148"/>
      <c r="X25" s="148"/>
      <c r="Y25" s="148"/>
    </row>
    <row r="26" spans="1:28" ht="16.5" thickBot="1">
      <c r="A26" s="38" t="s">
        <v>13</v>
      </c>
      <c r="B26" s="99">
        <v>12</v>
      </c>
      <c r="C26" s="97" t="s">
        <v>49</v>
      </c>
      <c r="D26" s="99"/>
      <c r="E26" s="97"/>
      <c r="F26" s="99">
        <v>20</v>
      </c>
      <c r="G26" s="97" t="s">
        <v>49</v>
      </c>
      <c r="H26" s="101"/>
      <c r="I26" s="102"/>
      <c r="J26" s="99">
        <v>16</v>
      </c>
      <c r="K26" s="96" t="s">
        <v>49</v>
      </c>
      <c r="L26" s="86"/>
      <c r="M26" s="95"/>
      <c r="N26" s="99"/>
      <c r="O26" s="97" t="s">
        <v>49</v>
      </c>
      <c r="P26" s="99"/>
      <c r="Q26" s="99"/>
      <c r="R26" s="98" t="s">
        <v>49</v>
      </c>
      <c r="S26" s="87"/>
      <c r="V26" s="12"/>
      <c r="W26" s="12"/>
    </row>
    <row r="27" spans="1:28" ht="16.5" thickBot="1">
      <c r="A27" s="39" t="s">
        <v>14</v>
      </c>
      <c r="B27" s="99">
        <v>9</v>
      </c>
      <c r="C27" s="97" t="s">
        <v>50</v>
      </c>
      <c r="D27" s="99"/>
      <c r="E27" s="97"/>
      <c r="F27" s="99">
        <v>1</v>
      </c>
      <c r="G27" s="97" t="s">
        <v>50</v>
      </c>
      <c r="H27" s="101"/>
      <c r="I27" s="97"/>
      <c r="J27" s="99">
        <v>5</v>
      </c>
      <c r="K27" s="96" t="s">
        <v>50</v>
      </c>
      <c r="L27" s="86"/>
      <c r="M27" s="95"/>
      <c r="N27" s="99"/>
      <c r="O27" s="97" t="s">
        <v>50</v>
      </c>
      <c r="P27" s="99"/>
      <c r="Q27" s="99"/>
      <c r="R27" s="96" t="s">
        <v>50</v>
      </c>
      <c r="S27" s="87"/>
      <c r="V27" s="12"/>
      <c r="W27" s="12"/>
      <c r="AB27" s="5" t="s">
        <v>96</v>
      </c>
    </row>
    <row r="28" spans="1:28" ht="19.5" customHeight="1">
      <c r="A28"/>
      <c r="B28" s="53"/>
      <c r="C28" s="72"/>
      <c r="D28" s="72"/>
      <c r="E28" s="72"/>
      <c r="F28" s="53"/>
      <c r="G28" s="53"/>
      <c r="H28" s="53"/>
      <c r="I28" s="6"/>
      <c r="J28" s="6"/>
      <c r="K28" s="6"/>
      <c r="L28" s="6"/>
      <c r="M28" s="6"/>
      <c r="N28" s="6"/>
      <c r="O28" s="6"/>
      <c r="P28" s="6"/>
      <c r="Q28" s="6"/>
      <c r="R28" s="6"/>
      <c r="S28" s="53"/>
      <c r="V28" s="12"/>
      <c r="W28" s="12"/>
    </row>
    <row r="29" spans="1:28" ht="15.75">
      <c r="A29"/>
      <c r="C29" s="73"/>
      <c r="D29" s="73"/>
      <c r="E29" s="73"/>
      <c r="I29" s="6"/>
      <c r="K29" s="6"/>
      <c r="M29" s="6"/>
      <c r="O29" s="6"/>
      <c r="R29" s="6"/>
      <c r="S29" s="6"/>
      <c r="V29" s="12"/>
      <c r="W29" s="12"/>
    </row>
    <row r="30" spans="1:28" ht="18.75">
      <c r="A30" s="33" t="s">
        <v>15</v>
      </c>
      <c r="B30" s="33"/>
      <c r="C30" s="74"/>
      <c r="D30" s="74"/>
      <c r="E30" s="74"/>
      <c r="F30" s="33"/>
      <c r="G30" s="33"/>
      <c r="H30" s="33"/>
      <c r="I30" s="33"/>
      <c r="R30" s="33"/>
      <c r="V30" s="12"/>
      <c r="W30" s="12"/>
    </row>
    <row r="31" spans="1:28" ht="15.75">
      <c r="A31" s="7" t="s">
        <v>36</v>
      </c>
      <c r="V31" s="12"/>
      <c r="W31" s="12"/>
    </row>
    <row r="32" spans="1:28" ht="18">
      <c r="A32" s="34" t="s">
        <v>97</v>
      </c>
      <c r="V32" s="12"/>
      <c r="W32" s="12"/>
    </row>
    <row r="33" spans="1:23" ht="18">
      <c r="A33" s="34" t="s">
        <v>26</v>
      </c>
      <c r="V33" s="12"/>
      <c r="W33" s="12"/>
    </row>
    <row r="34" spans="1:23" ht="18">
      <c r="A34" s="34" t="s">
        <v>65</v>
      </c>
      <c r="V34" s="12"/>
      <c r="W34" s="12"/>
    </row>
    <row r="35" spans="1:23" ht="18">
      <c r="A35" s="34" t="s">
        <v>101</v>
      </c>
      <c r="V35" s="12"/>
      <c r="W35" s="12"/>
    </row>
    <row r="36" spans="1:23" ht="18">
      <c r="A36" s="34" t="s">
        <v>23</v>
      </c>
      <c r="V36" s="32"/>
      <c r="W36" s="12"/>
    </row>
    <row r="37" spans="1:23" ht="18">
      <c r="A37" s="34" t="s">
        <v>52</v>
      </c>
      <c r="V37" s="12"/>
      <c r="W37" s="12"/>
    </row>
    <row r="38" spans="1:23" ht="18">
      <c r="A38" s="34" t="s">
        <v>63</v>
      </c>
      <c r="V38" s="12"/>
      <c r="W38" s="12"/>
    </row>
    <row r="39" spans="1:23" ht="18">
      <c r="A39" s="34" t="s">
        <v>59</v>
      </c>
      <c r="V39" s="12"/>
      <c r="W39" s="12"/>
    </row>
    <row r="40" spans="1:23" ht="15.75">
      <c r="A40" s="7" t="s">
        <v>90</v>
      </c>
      <c r="V40" s="12"/>
      <c r="W40" s="12"/>
    </row>
    <row r="41" spans="1:23" ht="18">
      <c r="A41" s="34" t="s">
        <v>28</v>
      </c>
      <c r="V41" s="12"/>
      <c r="W41" s="12"/>
    </row>
    <row r="42" spans="1:23" ht="18">
      <c r="A42" s="34"/>
      <c r="V42" s="12"/>
      <c r="W42" s="12"/>
    </row>
    <row r="43" spans="1:23" ht="18">
      <c r="A43" s="34"/>
      <c r="V43" s="12"/>
      <c r="W43" s="12"/>
    </row>
    <row r="44" spans="1:23" ht="18">
      <c r="A44" s="34"/>
      <c r="V44" s="12"/>
      <c r="W44" s="12"/>
    </row>
    <row r="45" spans="1:23" ht="18">
      <c r="A45" s="34"/>
      <c r="B45" s="7"/>
      <c r="V45" s="12"/>
      <c r="W45" s="32"/>
    </row>
    <row r="46" spans="1:23" ht="18">
      <c r="A46" s="34"/>
      <c r="W46" s="12"/>
    </row>
    <row r="47" spans="1:23" ht="18">
      <c r="A47" s="34"/>
      <c r="W47" s="12"/>
    </row>
    <row r="48" spans="1:23" ht="18">
      <c r="A48" s="34"/>
      <c r="W48" s="12"/>
    </row>
    <row r="49" spans="1:23" ht="18">
      <c r="A49" s="34"/>
      <c r="M49"/>
      <c r="W49" s="12"/>
    </row>
    <row r="50" spans="1:23" ht="15.75">
      <c r="A50" s="5" t="s">
        <v>35</v>
      </c>
      <c r="M50"/>
      <c r="W50" s="12"/>
    </row>
    <row r="51" spans="1:23" ht="18">
      <c r="A51" s="34" t="s">
        <v>28</v>
      </c>
    </row>
    <row r="52" spans="1:23" ht="18">
      <c r="A52" s="34" t="s">
        <v>24</v>
      </c>
    </row>
    <row r="53" spans="1:23" ht="18">
      <c r="A53" s="34" t="s">
        <v>98</v>
      </c>
    </row>
    <row r="54" spans="1:23" ht="18">
      <c r="A54" s="34" t="s">
        <v>101</v>
      </c>
    </row>
    <row r="55" spans="1:23" ht="18">
      <c r="A55" s="34" t="s">
        <v>52</v>
      </c>
    </row>
    <row r="56" spans="1:23" ht="18">
      <c r="A56" s="34"/>
    </row>
    <row r="57" spans="1:23" ht="18">
      <c r="A57" s="34"/>
    </row>
    <row r="58" spans="1:23" ht="18">
      <c r="A58" s="34"/>
    </row>
    <row r="60" spans="1:23" ht="18">
      <c r="A60" s="34"/>
    </row>
    <row r="61" spans="1:23" ht="18">
      <c r="A61" s="34"/>
    </row>
    <row r="62" spans="1:23" ht="18">
      <c r="A62" s="34"/>
    </row>
    <row r="63" spans="1:23" ht="18">
      <c r="A63" s="34"/>
    </row>
    <row r="64" spans="1:23" ht="18">
      <c r="A64" s="34"/>
    </row>
    <row r="65" spans="1:1" ht="18">
      <c r="A65" s="34"/>
    </row>
    <row r="66" spans="1:1" ht="18">
      <c r="A66" s="34"/>
    </row>
    <row r="67" spans="1:1" ht="18">
      <c r="A67" s="34"/>
    </row>
    <row r="68" spans="1:1" ht="18">
      <c r="A68" s="34"/>
    </row>
    <row r="69" spans="1:1" ht="15.75">
      <c r="A69" s="7"/>
    </row>
    <row r="70" spans="1:1" ht="18">
      <c r="A70" s="34"/>
    </row>
    <row r="71" spans="1:1" ht="18">
      <c r="A71" s="34"/>
    </row>
    <row r="72" spans="1:1" ht="18">
      <c r="A72" s="34"/>
    </row>
    <row r="73" spans="1:1" ht="18">
      <c r="A73" s="34"/>
    </row>
    <row r="74" spans="1:1" ht="18">
      <c r="A74" s="34"/>
    </row>
    <row r="75" spans="1:1" ht="18">
      <c r="A75" s="34"/>
    </row>
    <row r="76" spans="1:1" ht="18">
      <c r="A76" s="34"/>
    </row>
    <row r="77" spans="1:1" ht="18">
      <c r="A77" s="34"/>
    </row>
    <row r="78" spans="1:1" ht="18">
      <c r="A78" s="34"/>
    </row>
  </sheetData>
  <mergeCells count="2">
    <mergeCell ref="B1:M3"/>
    <mergeCell ref="T1:Y25"/>
  </mergeCells>
  <dataValidations count="2">
    <dataValidation type="custom" allowBlank="1" showInputMessage="1" showErrorMessage="1" sqref="A70:A78 A60:A68" xr:uid="{201F3B03-C924-4B48-A5BC-AE6429F789F2}">
      <formula1>"a5:a25"</formula1>
    </dataValidation>
    <dataValidation type="list" allowBlank="1" showInputMessage="1" showErrorMessage="1" sqref="A32:A39 A41:A49 A51:A58" xr:uid="{B252DB4A-E8B6-4617-B61D-95E734AD4288}">
      <formula1>$A$5:$A$25</formula1>
    </dataValidation>
  </dataValidation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2"/>
  <dimension ref="A1:BG39"/>
  <sheetViews>
    <sheetView workbookViewId="0">
      <pane xSplit="1" topLeftCell="B1" activePane="topRight" state="frozen"/>
      <selection pane="topRight" activeCell="BG18" sqref="BG18"/>
    </sheetView>
  </sheetViews>
  <sheetFormatPr defaultColWidth="9.140625" defaultRowHeight="12.75"/>
  <cols>
    <col min="1" max="1" width="47.7109375" style="22" customWidth="1"/>
    <col min="2" max="34" width="23.7109375" style="22" customWidth="1"/>
    <col min="35" max="35" width="19" style="22" customWidth="1"/>
    <col min="36" max="36" width="26.28515625" style="22" customWidth="1"/>
    <col min="37" max="37" width="22.140625" style="22" customWidth="1"/>
    <col min="38" max="59" width="22.7109375" style="22" customWidth="1"/>
    <col min="60" max="16384" width="9.140625" style="22"/>
  </cols>
  <sheetData>
    <row r="1" spans="1:59" ht="15">
      <c r="A1" s="77" t="s">
        <v>8</v>
      </c>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row>
    <row r="2" spans="1:59" ht="15">
      <c r="A2" s="77" t="s">
        <v>113</v>
      </c>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row>
    <row r="3" spans="1:59" ht="17.25" customHeight="1">
      <c r="A3" s="77" t="s">
        <v>114</v>
      </c>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row>
    <row r="4" spans="1:59" ht="63" customHeight="1">
      <c r="A4" s="51" t="str">
        <f>'[1]MOÇÃO E REQUERIMENTO'!B7</f>
        <v>EXPEDIENTE</v>
      </c>
      <c r="B4" s="50" t="s">
        <v>48</v>
      </c>
      <c r="C4" s="118" t="s">
        <v>115</v>
      </c>
      <c r="D4" s="118" t="s">
        <v>116</v>
      </c>
      <c r="E4" s="118" t="s">
        <v>117</v>
      </c>
      <c r="F4" s="118" t="s">
        <v>118</v>
      </c>
      <c r="G4" s="118" t="s">
        <v>119</v>
      </c>
      <c r="H4" s="118" t="s">
        <v>120</v>
      </c>
      <c r="I4" s="118" t="s">
        <v>121</v>
      </c>
      <c r="J4" s="118" t="s">
        <v>122</v>
      </c>
      <c r="K4" s="118" t="s">
        <v>123</v>
      </c>
      <c r="L4" s="118" t="s">
        <v>124</v>
      </c>
      <c r="M4" s="118" t="s">
        <v>125</v>
      </c>
      <c r="N4" s="118" t="s">
        <v>126</v>
      </c>
      <c r="O4" s="118" t="s">
        <v>127</v>
      </c>
      <c r="P4" s="118" t="s">
        <v>128</v>
      </c>
      <c r="Q4" s="118" t="s">
        <v>129</v>
      </c>
      <c r="R4" s="118" t="s">
        <v>130</v>
      </c>
      <c r="S4" s="118" t="s">
        <v>131</v>
      </c>
      <c r="T4" s="118" t="s">
        <v>132</v>
      </c>
      <c r="U4" s="118" t="s">
        <v>133</v>
      </c>
      <c r="V4" s="118" t="s">
        <v>134</v>
      </c>
      <c r="W4" s="118" t="s">
        <v>135</v>
      </c>
      <c r="X4" s="118" t="s">
        <v>136</v>
      </c>
      <c r="Y4" s="118" t="s">
        <v>137</v>
      </c>
      <c r="Z4" s="118" t="s">
        <v>138</v>
      </c>
      <c r="AA4" s="118" t="s">
        <v>139</v>
      </c>
      <c r="AB4" s="118" t="s">
        <v>140</v>
      </c>
      <c r="AC4" s="118" t="s">
        <v>141</v>
      </c>
      <c r="AD4" s="118" t="s">
        <v>142</v>
      </c>
      <c r="AE4" s="118" t="s">
        <v>143</v>
      </c>
      <c r="AF4" s="118" t="s">
        <v>144</v>
      </c>
      <c r="AG4" s="118" t="s">
        <v>145</v>
      </c>
      <c r="AH4" s="118" t="s">
        <v>146</v>
      </c>
      <c r="AI4" s="113" t="s">
        <v>34</v>
      </c>
      <c r="AJ4" s="125"/>
      <c r="AK4" s="50" t="s">
        <v>27</v>
      </c>
      <c r="AL4" s="85" t="s">
        <v>100</v>
      </c>
      <c r="AM4" s="85" t="s">
        <v>102</v>
      </c>
      <c r="AN4" s="85" t="s">
        <v>147</v>
      </c>
      <c r="AO4" s="85" t="s">
        <v>103</v>
      </c>
      <c r="AP4" s="85" t="s">
        <v>148</v>
      </c>
      <c r="AQ4" s="69" t="s">
        <v>104</v>
      </c>
      <c r="AR4" s="69" t="s">
        <v>106</v>
      </c>
      <c r="AS4" s="69" t="s">
        <v>107</v>
      </c>
      <c r="AT4" s="69" t="s">
        <v>149</v>
      </c>
      <c r="AU4" s="69" t="s">
        <v>150</v>
      </c>
      <c r="AV4" s="69" t="s">
        <v>108</v>
      </c>
      <c r="AW4" s="69" t="s">
        <v>151</v>
      </c>
      <c r="AX4" s="69" t="s">
        <v>109</v>
      </c>
      <c r="AY4" s="69" t="s">
        <v>152</v>
      </c>
      <c r="AZ4" s="69" t="s">
        <v>153</v>
      </c>
      <c r="BA4" s="69" t="s">
        <v>110</v>
      </c>
      <c r="BB4" s="69" t="s">
        <v>154</v>
      </c>
      <c r="BC4" s="69" t="s">
        <v>111</v>
      </c>
      <c r="BD4" s="69" t="s">
        <v>112</v>
      </c>
      <c r="BE4" s="69" t="s">
        <v>155</v>
      </c>
      <c r="BF4" s="69" t="s">
        <v>156</v>
      </c>
      <c r="BG4" s="69" t="s">
        <v>157</v>
      </c>
    </row>
    <row r="5" spans="1:59" s="59" customFormat="1" ht="48" customHeight="1">
      <c r="A5" s="57" t="s">
        <v>45</v>
      </c>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114"/>
      <c r="AL5" s="114" t="s">
        <v>92</v>
      </c>
      <c r="AM5" s="119" t="s">
        <v>93</v>
      </c>
      <c r="AN5" s="119" t="s">
        <v>93</v>
      </c>
      <c r="AO5" s="119" t="s">
        <v>93</v>
      </c>
      <c r="AP5" s="119" t="s">
        <v>105</v>
      </c>
      <c r="AQ5" s="119" t="s">
        <v>105</v>
      </c>
      <c r="AR5" s="119" t="s">
        <v>105</v>
      </c>
      <c r="AS5" s="119" t="s">
        <v>105</v>
      </c>
      <c r="AT5" s="119" t="s">
        <v>105</v>
      </c>
      <c r="AU5" s="114" t="s">
        <v>92</v>
      </c>
      <c r="AV5" s="119" t="s">
        <v>105</v>
      </c>
      <c r="AW5" s="119" t="s">
        <v>105</v>
      </c>
      <c r="AX5" s="114" t="s">
        <v>92</v>
      </c>
      <c r="AY5" s="119" t="s">
        <v>93</v>
      </c>
      <c r="AZ5" s="114" t="s">
        <v>92</v>
      </c>
      <c r="BA5" s="114" t="s">
        <v>92</v>
      </c>
      <c r="BB5" s="119" t="s">
        <v>93</v>
      </c>
      <c r="BC5" s="119" t="s">
        <v>93</v>
      </c>
      <c r="BD5" s="119" t="s">
        <v>93</v>
      </c>
      <c r="BE5" s="119" t="s">
        <v>93</v>
      </c>
      <c r="BF5" s="114" t="s">
        <v>92</v>
      </c>
      <c r="BG5" s="119" t="s">
        <v>93</v>
      </c>
    </row>
    <row r="6" spans="1:59" ht="15.75">
      <c r="A6" s="128" t="s">
        <v>54</v>
      </c>
      <c r="AK6" s="23"/>
    </row>
    <row r="7" spans="1:59" ht="15.75">
      <c r="A7" s="128" t="s">
        <v>97</v>
      </c>
      <c r="AK7" s="23"/>
    </row>
    <row r="8" spans="1:59" ht="15.75">
      <c r="A8" s="128" t="s">
        <v>57</v>
      </c>
      <c r="AK8" s="23"/>
    </row>
    <row r="9" spans="1:59" ht="15.75">
      <c r="A9" s="129" t="s">
        <v>58</v>
      </c>
      <c r="AK9" s="23"/>
    </row>
    <row r="10" spans="1:59" ht="15.75">
      <c r="A10" s="128" t="s">
        <v>28</v>
      </c>
      <c r="AK10" s="23"/>
    </row>
    <row r="11" spans="1:59" ht="15.75">
      <c r="A11" s="128" t="s">
        <v>59</v>
      </c>
      <c r="AK11" s="23"/>
    </row>
    <row r="12" spans="1:59" ht="15.75">
      <c r="A12" s="128" t="s">
        <v>22</v>
      </c>
      <c r="AK12" s="23"/>
    </row>
    <row r="13" spans="1:59" ht="15.75">
      <c r="A13" s="128" t="s">
        <v>23</v>
      </c>
      <c r="AK13" s="23"/>
    </row>
    <row r="14" spans="1:59" ht="15.75">
      <c r="A14" s="128" t="s">
        <v>24</v>
      </c>
      <c r="AK14" s="23"/>
    </row>
    <row r="15" spans="1:59" ht="15.75">
      <c r="A15" s="128" t="s">
        <v>60</v>
      </c>
      <c r="AK15" s="23"/>
    </row>
    <row r="16" spans="1:59" ht="15.75">
      <c r="A16" s="128" t="s">
        <v>61</v>
      </c>
      <c r="AK16" s="23"/>
    </row>
    <row r="17" spans="1:37" ht="15.75">
      <c r="A17" s="128" t="s">
        <v>62</v>
      </c>
      <c r="AK17" s="23"/>
    </row>
    <row r="18" spans="1:37" ht="15.75">
      <c r="A18" s="128" t="s">
        <v>25</v>
      </c>
      <c r="AK18" s="23"/>
    </row>
    <row r="19" spans="1:37" ht="15.75">
      <c r="A19" s="128" t="s">
        <v>63</v>
      </c>
      <c r="AK19" s="23"/>
    </row>
    <row r="20" spans="1:37" ht="15.75">
      <c r="A20" s="128" t="s">
        <v>98</v>
      </c>
      <c r="AK20" s="23"/>
    </row>
    <row r="21" spans="1:37" ht="15.75">
      <c r="A21" s="128" t="s">
        <v>26</v>
      </c>
      <c r="AK21" s="23"/>
    </row>
    <row r="22" spans="1:37" ht="15.75">
      <c r="A22" s="128" t="s">
        <v>64</v>
      </c>
      <c r="AK22" s="23"/>
    </row>
    <row r="23" spans="1:37" ht="15.75">
      <c r="A23" s="128" t="s">
        <v>101</v>
      </c>
      <c r="AK23" s="23"/>
    </row>
    <row r="24" spans="1:37" ht="15.75">
      <c r="A24" s="128" t="s">
        <v>52</v>
      </c>
      <c r="AK24" s="23"/>
    </row>
    <row r="25" spans="1:37" ht="15.75">
      <c r="A25" s="128" t="s">
        <v>65</v>
      </c>
      <c r="AK25" s="23"/>
    </row>
    <row r="26" spans="1:37" ht="15.75">
      <c r="A26" s="128" t="s">
        <v>66</v>
      </c>
      <c r="AK26" s="23"/>
    </row>
    <row r="27" spans="1:37" s="25" customFormat="1">
      <c r="A27" s="24" t="s">
        <v>18</v>
      </c>
    </row>
    <row r="28" spans="1:37" s="27" customFormat="1">
      <c r="A28" s="26" t="s">
        <v>19</v>
      </c>
    </row>
    <row r="29" spans="1:37">
      <c r="A29" s="28" t="s">
        <v>11</v>
      </c>
    </row>
    <row r="30" spans="1:37" s="30" customFormat="1">
      <c r="A30" s="29" t="s">
        <v>20</v>
      </c>
    </row>
    <row r="32" spans="1:37" ht="25.5">
      <c r="A32" s="31" t="s">
        <v>0</v>
      </c>
    </row>
    <row r="33" spans="1:1" ht="76.5">
      <c r="A33" s="31" t="s">
        <v>1</v>
      </c>
    </row>
    <row r="34" spans="1:1" ht="63.75">
      <c r="A34" s="31" t="s">
        <v>2</v>
      </c>
    </row>
    <row r="35" spans="1:1" ht="38.25">
      <c r="A35" s="31" t="s">
        <v>3</v>
      </c>
    </row>
    <row r="36" spans="1:1" ht="89.25">
      <c r="A36" s="31" t="s">
        <v>4</v>
      </c>
    </row>
    <row r="39" spans="1:1">
      <c r="A39" s="58" t="s">
        <v>46</v>
      </c>
    </row>
  </sheetData>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3"/>
  <dimension ref="A1:DZ37"/>
  <sheetViews>
    <sheetView zoomScale="80" zoomScaleNormal="80" workbookViewId="0">
      <pane xSplit="1" topLeftCell="B1" activePane="topRight" state="frozen"/>
      <selection activeCell="A4" sqref="A4"/>
      <selection pane="topRight" activeCell="C6" sqref="C6"/>
    </sheetView>
  </sheetViews>
  <sheetFormatPr defaultRowHeight="15"/>
  <cols>
    <col min="1" max="1" width="61" customWidth="1"/>
    <col min="2" max="2" width="28.7109375" bestFit="1" customWidth="1"/>
    <col min="3" max="3" width="36.7109375" customWidth="1"/>
    <col min="4" max="4" width="24.7109375" customWidth="1"/>
    <col min="5" max="45" width="36.7109375" customWidth="1"/>
  </cols>
  <sheetData>
    <row r="1" spans="1:45" ht="18" customHeight="1">
      <c r="A1" s="77" t="s">
        <v>8</v>
      </c>
      <c r="B1" s="49"/>
      <c r="C1" s="75"/>
    </row>
    <row r="2" spans="1:45" ht="18" customHeight="1">
      <c r="A2" s="77" t="s">
        <v>113</v>
      </c>
      <c r="B2" s="49"/>
      <c r="C2" s="75"/>
    </row>
    <row r="3" spans="1:45" ht="17.25" customHeight="1">
      <c r="A3" s="77" t="s">
        <v>114</v>
      </c>
      <c r="B3" s="49"/>
      <c r="C3" s="75"/>
      <c r="E3" s="117"/>
    </row>
    <row r="4" spans="1:45" ht="90.75" customHeight="1" thickBot="1">
      <c r="A4" s="52" t="s">
        <v>5</v>
      </c>
      <c r="B4" s="109" t="s">
        <v>31</v>
      </c>
      <c r="C4" s="140" t="s">
        <v>158</v>
      </c>
      <c r="D4" s="110" t="s">
        <v>6</v>
      </c>
      <c r="E4" s="143"/>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3"/>
      <c r="AS4" s="3"/>
    </row>
    <row r="5" spans="1:45" s="82" customFormat="1" ht="48" customHeight="1">
      <c r="A5" s="100" t="s">
        <v>37</v>
      </c>
      <c r="B5" s="79"/>
      <c r="C5" s="114" t="s">
        <v>159</v>
      </c>
      <c r="D5" s="80"/>
      <c r="E5" s="150"/>
      <c r="F5" s="81"/>
      <c r="G5" s="81"/>
      <c r="H5" s="81"/>
      <c r="I5" s="81"/>
      <c r="J5" s="81"/>
      <c r="K5" s="81"/>
      <c r="L5" s="81"/>
      <c r="M5" s="81"/>
      <c r="N5" s="81"/>
      <c r="O5" s="81"/>
      <c r="P5" s="81"/>
      <c r="Q5" s="81"/>
      <c r="R5" s="81"/>
      <c r="S5" s="81"/>
      <c r="T5" s="81"/>
      <c r="U5" s="81"/>
      <c r="V5" s="81"/>
      <c r="W5" s="81"/>
      <c r="X5" s="81"/>
      <c r="Y5" s="81"/>
      <c r="Z5" s="81"/>
      <c r="AA5" s="81"/>
      <c r="AB5" s="81"/>
      <c r="AC5" s="81"/>
      <c r="AD5" s="81"/>
      <c r="AE5" s="81"/>
      <c r="AF5" s="81"/>
      <c r="AG5" s="81"/>
      <c r="AH5" s="81"/>
      <c r="AI5" s="81"/>
      <c r="AJ5" s="81"/>
      <c r="AK5" s="81"/>
      <c r="AL5" s="81"/>
      <c r="AM5" s="81"/>
      <c r="AN5" s="81"/>
      <c r="AO5" s="81"/>
      <c r="AP5" s="81"/>
      <c r="AQ5" s="81"/>
      <c r="AR5" s="81"/>
      <c r="AS5" s="81"/>
    </row>
    <row r="6" spans="1:45" ht="20.25">
      <c r="A6" s="46" t="s">
        <v>54</v>
      </c>
      <c r="C6" s="108" t="s">
        <v>95</v>
      </c>
      <c r="E6" s="108"/>
    </row>
    <row r="7" spans="1:45" ht="20.25">
      <c r="A7" s="46" t="s">
        <v>97</v>
      </c>
      <c r="C7" s="108" t="s">
        <v>95</v>
      </c>
      <c r="E7" s="115"/>
    </row>
    <row r="8" spans="1:45" ht="20.25">
      <c r="A8" s="46" t="s">
        <v>57</v>
      </c>
      <c r="C8" s="108" t="s">
        <v>95</v>
      </c>
      <c r="E8" s="108"/>
    </row>
    <row r="9" spans="1:45" ht="20.25">
      <c r="A9" s="83" t="s">
        <v>58</v>
      </c>
      <c r="C9" s="115" t="s">
        <v>99</v>
      </c>
      <c r="E9" s="115"/>
    </row>
    <row r="10" spans="1:45" ht="20.25">
      <c r="A10" s="46" t="s">
        <v>28</v>
      </c>
      <c r="C10" s="108" t="s">
        <v>95</v>
      </c>
      <c r="E10" s="108"/>
    </row>
    <row r="11" spans="1:45" ht="20.25">
      <c r="A11" s="46" t="s">
        <v>59</v>
      </c>
      <c r="C11" s="108" t="s">
        <v>95</v>
      </c>
      <c r="E11" s="115"/>
    </row>
    <row r="12" spans="1:45" ht="20.25">
      <c r="A12" s="46" t="s">
        <v>22</v>
      </c>
      <c r="C12" s="108" t="s">
        <v>95</v>
      </c>
      <c r="E12" s="108"/>
    </row>
    <row r="13" spans="1:45" ht="20.25">
      <c r="A13" s="46" t="s">
        <v>23</v>
      </c>
      <c r="C13" s="115" t="s">
        <v>56</v>
      </c>
      <c r="E13" s="108"/>
    </row>
    <row r="14" spans="1:45" ht="20.25">
      <c r="A14" s="46" t="s">
        <v>24</v>
      </c>
      <c r="C14" s="108" t="s">
        <v>95</v>
      </c>
      <c r="E14" s="108"/>
    </row>
    <row r="15" spans="1:45" ht="20.25">
      <c r="A15" s="46" t="s">
        <v>60</v>
      </c>
      <c r="C15" s="149" t="s">
        <v>160</v>
      </c>
      <c r="E15" s="108"/>
    </row>
    <row r="16" spans="1:45" ht="20.25">
      <c r="A16" s="46" t="s">
        <v>61</v>
      </c>
      <c r="C16" s="108" t="s">
        <v>95</v>
      </c>
      <c r="E16" s="108"/>
    </row>
    <row r="17" spans="1:130" ht="20.25">
      <c r="A17" s="46" t="s">
        <v>62</v>
      </c>
      <c r="C17" s="149" t="s">
        <v>160</v>
      </c>
      <c r="E17" s="108"/>
    </row>
    <row r="18" spans="1:130" ht="20.25">
      <c r="A18" s="46" t="s">
        <v>25</v>
      </c>
      <c r="C18" s="108" t="s">
        <v>95</v>
      </c>
      <c r="E18" s="108"/>
    </row>
    <row r="19" spans="1:130" ht="20.25">
      <c r="A19" s="46" t="s">
        <v>63</v>
      </c>
      <c r="C19" s="108" t="s">
        <v>95</v>
      </c>
      <c r="E19" s="108"/>
    </row>
    <row r="20" spans="1:130" ht="20.25">
      <c r="A20" s="46" t="s">
        <v>98</v>
      </c>
      <c r="C20" s="108" t="s">
        <v>95</v>
      </c>
      <c r="E20" s="115"/>
    </row>
    <row r="21" spans="1:130" ht="20.25">
      <c r="A21" s="46" t="s">
        <v>26</v>
      </c>
      <c r="C21" s="108" t="s">
        <v>95</v>
      </c>
      <c r="E21" s="108"/>
    </row>
    <row r="22" spans="1:130" ht="20.25">
      <c r="A22" s="46" t="s">
        <v>64</v>
      </c>
      <c r="C22" s="149" t="s">
        <v>160</v>
      </c>
      <c r="E22" s="108"/>
    </row>
    <row r="23" spans="1:130" ht="20.25">
      <c r="A23" s="46" t="s">
        <v>101</v>
      </c>
      <c r="C23" s="108" t="s">
        <v>95</v>
      </c>
      <c r="E23" s="115"/>
    </row>
    <row r="24" spans="1:130" ht="20.25">
      <c r="A24" s="46" t="s">
        <v>52</v>
      </c>
      <c r="C24" s="108" t="s">
        <v>95</v>
      </c>
      <c r="E24" s="108"/>
    </row>
    <row r="25" spans="1:130" ht="20.25">
      <c r="A25" s="46" t="s">
        <v>65</v>
      </c>
      <c r="C25" s="115" t="s">
        <v>56</v>
      </c>
      <c r="E25" s="108"/>
    </row>
    <row r="26" spans="1:130" ht="20.25">
      <c r="A26" s="46" t="s">
        <v>66</v>
      </c>
      <c r="C26" s="149" t="s">
        <v>160</v>
      </c>
      <c r="E26" s="108"/>
    </row>
    <row r="27" spans="1:130" s="16" customFormat="1" ht="15.75">
      <c r="A27" s="15" t="s">
        <v>18</v>
      </c>
      <c r="B27"/>
      <c r="C27" s="104">
        <f>COUNTIF(C6:C26,"sim")</f>
        <v>14</v>
      </c>
      <c r="D27"/>
      <c r="E27" s="104">
        <f t="shared" ref="E27" si="0">COUNTIF(E6:E26,"sim")</f>
        <v>0</v>
      </c>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row>
    <row r="28" spans="1:130" s="18" customFormat="1" ht="15.75">
      <c r="A28" s="17" t="s">
        <v>19</v>
      </c>
      <c r="B28"/>
      <c r="C28" s="105">
        <f>COUNTIF(C6:C26,"não")</f>
        <v>4</v>
      </c>
      <c r="D28"/>
      <c r="E28" s="105">
        <f t="shared" ref="E28" si="1">COUNTIF(E6:E26,"não")</f>
        <v>0</v>
      </c>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row>
    <row r="29" spans="1:130" ht="15.75">
      <c r="A29" s="14" t="s">
        <v>11</v>
      </c>
      <c r="C29" s="40">
        <f>COUNTIF(C6:C26,"ausente")</f>
        <v>2</v>
      </c>
      <c r="E29" s="40">
        <f t="shared" ref="E29" si="2">COUNTIF(E6:E26,"ausente")</f>
        <v>0</v>
      </c>
    </row>
    <row r="30" spans="1:130" s="20" customFormat="1" ht="15.75">
      <c r="A30" s="19" t="s">
        <v>20</v>
      </c>
      <c r="B30"/>
      <c r="C30" s="106">
        <f>COUNTIF(C6:C26,"abstenção")</f>
        <v>0</v>
      </c>
      <c r="D30"/>
      <c r="E30" s="106">
        <f t="shared" ref="E30" si="3">COUNTIF(E6:E26,"abstenção")</f>
        <v>0</v>
      </c>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row>
    <row r="31" spans="1:130" s="20" customFormat="1" ht="15.75">
      <c r="A31" s="19"/>
      <c r="B31"/>
      <c r="C31" s="106"/>
      <c r="D31"/>
      <c r="E31" s="106"/>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row>
    <row r="33" spans="1:1" ht="24.75">
      <c r="A33" s="1" t="s">
        <v>0</v>
      </c>
    </row>
    <row r="34" spans="1:1" ht="60.75">
      <c r="A34" s="1" t="s">
        <v>1</v>
      </c>
    </row>
    <row r="35" spans="1:1" ht="48.75">
      <c r="A35" s="1" t="s">
        <v>2</v>
      </c>
    </row>
    <row r="36" spans="1:1" ht="24.75">
      <c r="A36" s="1" t="s">
        <v>3</v>
      </c>
    </row>
    <row r="37" spans="1:1" ht="60.75">
      <c r="A37" s="1" t="s">
        <v>4</v>
      </c>
    </row>
  </sheetData>
  <phoneticPr fontId="27" type="noConversion"/>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4"/>
  <dimension ref="A1:DS37"/>
  <sheetViews>
    <sheetView zoomScale="90" zoomScaleNormal="90" workbookViewId="0">
      <pane xSplit="1" topLeftCell="B1" activePane="topRight" state="frozen"/>
      <selection pane="topRight" activeCell="A3" sqref="A3"/>
    </sheetView>
  </sheetViews>
  <sheetFormatPr defaultRowHeight="15"/>
  <cols>
    <col min="1" max="1" width="46.85546875" customWidth="1"/>
    <col min="2" max="3" width="30.42578125" customWidth="1"/>
    <col min="4" max="4" width="17.42578125" customWidth="1"/>
    <col min="5" max="5" width="16.85546875" customWidth="1"/>
    <col min="6" max="6" width="29.85546875" customWidth="1"/>
    <col min="7" max="7" width="29.28515625" customWidth="1"/>
    <col min="8" max="8" width="25.7109375" customWidth="1"/>
    <col min="9" max="9" width="28" customWidth="1"/>
    <col min="10" max="10" width="28.140625" customWidth="1"/>
    <col min="11" max="11" width="30.5703125" customWidth="1"/>
    <col min="12" max="12" width="26.7109375" customWidth="1"/>
    <col min="13" max="14" width="29.28515625" customWidth="1"/>
    <col min="15" max="15" width="29.42578125" customWidth="1"/>
    <col min="16" max="17" width="28.7109375" customWidth="1"/>
    <col min="18" max="18" width="28.140625" customWidth="1"/>
    <col min="19" max="19" width="25.7109375" customWidth="1"/>
    <col min="20" max="20" width="21.28515625" customWidth="1"/>
    <col min="21" max="21" width="19.5703125" customWidth="1"/>
    <col min="22" max="22" width="18.28515625" customWidth="1"/>
    <col min="23" max="23" width="17.28515625" customWidth="1"/>
    <col min="24" max="24" width="18.140625" customWidth="1"/>
    <col min="25" max="25" width="22" customWidth="1"/>
    <col min="26" max="26" width="16.140625" customWidth="1"/>
    <col min="27" max="27" width="18" customWidth="1"/>
    <col min="29" max="29" width="18.28515625" customWidth="1"/>
  </cols>
  <sheetData>
    <row r="1" spans="1:29">
      <c r="A1" s="77" t="s">
        <v>8</v>
      </c>
      <c r="B1" s="2"/>
      <c r="C1" s="2"/>
      <c r="D1" s="2"/>
      <c r="E1" s="2"/>
      <c r="F1" s="2"/>
      <c r="G1" s="2"/>
      <c r="H1" s="2"/>
      <c r="I1" s="2"/>
      <c r="J1" s="2"/>
      <c r="K1" s="2"/>
      <c r="L1" s="2"/>
      <c r="M1" s="2"/>
      <c r="N1" s="2"/>
      <c r="O1" s="2"/>
      <c r="P1" s="2"/>
      <c r="Q1" s="2"/>
      <c r="R1" s="2"/>
      <c r="S1" s="2"/>
      <c r="T1" s="2"/>
    </row>
    <row r="2" spans="1:29">
      <c r="A2" s="77" t="s">
        <v>113</v>
      </c>
      <c r="B2" s="2"/>
      <c r="C2" s="2"/>
      <c r="D2" s="2"/>
      <c r="E2" s="2"/>
      <c r="F2" s="2"/>
      <c r="G2" s="2"/>
      <c r="H2" s="2"/>
      <c r="I2" s="2"/>
      <c r="J2" s="2"/>
      <c r="K2" s="2"/>
      <c r="L2" s="2"/>
      <c r="M2" s="2"/>
      <c r="N2" s="2"/>
      <c r="O2" s="2"/>
      <c r="P2" s="2"/>
      <c r="Q2" s="2"/>
      <c r="R2" s="2"/>
      <c r="S2" s="2"/>
      <c r="T2" s="2"/>
    </row>
    <row r="3" spans="1:29" ht="18" customHeight="1" thickBot="1">
      <c r="A3" s="77" t="s">
        <v>114</v>
      </c>
      <c r="B3" s="2"/>
      <c r="C3" s="2"/>
      <c r="D3" s="2"/>
      <c r="E3" s="2"/>
      <c r="F3" s="2"/>
      <c r="G3" s="2"/>
      <c r="H3" s="2"/>
      <c r="I3" s="2"/>
      <c r="J3" s="2"/>
      <c r="K3" s="2"/>
      <c r="L3" s="2"/>
      <c r="M3" s="2"/>
      <c r="N3" s="2"/>
      <c r="O3" s="2"/>
      <c r="P3" s="2"/>
      <c r="Q3" s="2"/>
      <c r="R3" s="2"/>
      <c r="S3" s="2"/>
      <c r="T3" s="2"/>
    </row>
    <row r="4" spans="1:29" ht="90.6" customHeight="1" thickBot="1">
      <c r="A4" s="121" t="s">
        <v>5</v>
      </c>
      <c r="B4" s="120" t="s">
        <v>7</v>
      </c>
      <c r="C4" s="142"/>
      <c r="D4" s="60"/>
      <c r="E4" s="60"/>
      <c r="F4" s="60"/>
      <c r="G4" s="9"/>
      <c r="H4" s="9"/>
      <c r="I4" s="9"/>
      <c r="J4" s="9"/>
      <c r="K4" s="9"/>
      <c r="L4" s="9"/>
      <c r="M4" s="13"/>
      <c r="N4" s="9"/>
      <c r="O4" s="9"/>
      <c r="P4" s="9"/>
      <c r="Q4" s="9"/>
      <c r="R4" s="9"/>
      <c r="S4" s="9"/>
      <c r="T4" s="13"/>
      <c r="U4" s="13"/>
      <c r="V4" s="13"/>
      <c r="W4" s="13"/>
      <c r="X4" s="13"/>
      <c r="Y4" s="9"/>
      <c r="Z4" s="9"/>
      <c r="AA4" s="9"/>
      <c r="AC4" s="8"/>
    </row>
    <row r="5" spans="1:29" s="78" customFormat="1" ht="51.75" customHeight="1">
      <c r="B5" s="76"/>
      <c r="C5" s="114"/>
      <c r="D5" s="76"/>
      <c r="E5" s="76"/>
      <c r="F5" s="76"/>
      <c r="G5" s="76"/>
      <c r="H5" s="76"/>
      <c r="I5" s="76"/>
      <c r="J5" s="76"/>
      <c r="K5" s="76"/>
      <c r="L5" s="76"/>
      <c r="M5" s="76"/>
      <c r="N5" s="76"/>
      <c r="O5" s="76"/>
      <c r="P5" s="76"/>
      <c r="Q5" s="76"/>
      <c r="R5" s="76"/>
      <c r="S5" s="76"/>
      <c r="T5" s="76"/>
      <c r="Z5" s="76"/>
      <c r="AA5" s="76"/>
    </row>
    <row r="6" spans="1:29" ht="18">
      <c r="A6" s="130" t="s">
        <v>54</v>
      </c>
      <c r="C6" s="108"/>
      <c r="U6" s="7"/>
      <c r="V6" s="7"/>
    </row>
    <row r="7" spans="1:29" ht="18">
      <c r="A7" s="130" t="s">
        <v>97</v>
      </c>
      <c r="C7" s="115"/>
      <c r="U7" s="7"/>
      <c r="V7" s="7"/>
    </row>
    <row r="8" spans="1:29" ht="18">
      <c r="A8" s="130" t="s">
        <v>57</v>
      </c>
      <c r="C8" s="108"/>
      <c r="U8" s="7"/>
      <c r="V8" s="7"/>
    </row>
    <row r="9" spans="1:29" ht="18">
      <c r="A9" s="131" t="s">
        <v>58</v>
      </c>
      <c r="C9" s="115"/>
      <c r="U9" s="7"/>
      <c r="V9" s="7"/>
    </row>
    <row r="10" spans="1:29" ht="18">
      <c r="A10" s="130" t="s">
        <v>28</v>
      </c>
      <c r="C10" s="108"/>
      <c r="U10" s="7"/>
      <c r="V10" s="7"/>
    </row>
    <row r="11" spans="1:29" ht="18">
      <c r="A11" s="130" t="s">
        <v>59</v>
      </c>
      <c r="C11" s="115"/>
      <c r="U11" s="7"/>
      <c r="V11" s="7"/>
    </row>
    <row r="12" spans="1:29" ht="18">
      <c r="A12" s="130" t="s">
        <v>22</v>
      </c>
      <c r="C12" s="115"/>
      <c r="U12" s="7"/>
      <c r="V12" s="7"/>
    </row>
    <row r="13" spans="1:29" ht="18">
      <c r="A13" s="130" t="s">
        <v>23</v>
      </c>
      <c r="C13" s="108"/>
      <c r="U13" s="7"/>
      <c r="V13" s="7"/>
    </row>
    <row r="14" spans="1:29" ht="18">
      <c r="A14" s="130" t="s">
        <v>24</v>
      </c>
      <c r="C14" s="108"/>
      <c r="U14" s="7"/>
      <c r="V14" s="7"/>
    </row>
    <row r="15" spans="1:29" ht="18">
      <c r="A15" s="130" t="s">
        <v>60</v>
      </c>
      <c r="C15" s="108"/>
      <c r="U15" s="7"/>
      <c r="V15" s="7"/>
    </row>
    <row r="16" spans="1:29" ht="18">
      <c r="A16" s="130" t="s">
        <v>61</v>
      </c>
      <c r="C16" s="108"/>
      <c r="U16" s="7"/>
      <c r="V16" s="7"/>
    </row>
    <row r="17" spans="1:123" ht="15" customHeight="1">
      <c r="A17" s="130" t="s">
        <v>62</v>
      </c>
      <c r="C17" s="108"/>
      <c r="T17" s="8"/>
      <c r="U17" s="7"/>
      <c r="V17" s="7"/>
    </row>
    <row r="18" spans="1:123" ht="18">
      <c r="A18" s="130" t="s">
        <v>25</v>
      </c>
      <c r="C18" s="108"/>
      <c r="U18" s="7"/>
      <c r="V18" s="7"/>
    </row>
    <row r="19" spans="1:123" ht="18">
      <c r="A19" s="130" t="s">
        <v>63</v>
      </c>
      <c r="C19" s="115"/>
      <c r="U19" s="7"/>
      <c r="V19" s="7"/>
    </row>
    <row r="20" spans="1:123" ht="18">
      <c r="A20" s="130" t="s">
        <v>98</v>
      </c>
      <c r="C20" s="115"/>
      <c r="U20" s="7"/>
      <c r="V20" s="7"/>
    </row>
    <row r="21" spans="1:123" ht="18">
      <c r="A21" s="130" t="s">
        <v>26</v>
      </c>
      <c r="C21" s="108"/>
      <c r="U21" s="7"/>
      <c r="V21" s="7"/>
    </row>
    <row r="22" spans="1:123" ht="18">
      <c r="A22" s="130" t="s">
        <v>64</v>
      </c>
      <c r="C22" s="108"/>
      <c r="U22" s="7"/>
      <c r="V22" s="7"/>
    </row>
    <row r="23" spans="1:123" ht="18">
      <c r="A23" s="130" t="s">
        <v>101</v>
      </c>
      <c r="C23" s="108"/>
      <c r="U23" s="7"/>
      <c r="V23" s="7"/>
    </row>
    <row r="24" spans="1:123" ht="18">
      <c r="A24" s="130" t="s">
        <v>52</v>
      </c>
      <c r="C24" s="115"/>
      <c r="U24" s="7"/>
      <c r="V24" s="7"/>
    </row>
    <row r="25" spans="1:123" ht="18">
      <c r="A25" s="130" t="s">
        <v>65</v>
      </c>
      <c r="C25" s="108"/>
      <c r="U25" s="7"/>
      <c r="V25" s="7"/>
    </row>
    <row r="26" spans="1:123" ht="18">
      <c r="A26" s="130" t="s">
        <v>66</v>
      </c>
      <c r="C26" s="108"/>
      <c r="U26" s="7"/>
      <c r="V26" s="7"/>
    </row>
    <row r="27" spans="1:123" s="16" customFormat="1" ht="15.75">
      <c r="A27" s="15" t="s">
        <v>18</v>
      </c>
      <c r="B27" s="16">
        <f t="shared" ref="B27" si="0">COUNTIF(B6:B26,"sim")</f>
        <v>0</v>
      </c>
      <c r="C27" s="104">
        <f t="shared" ref="C27" si="1">COUNTIF(C6:C26,"sim")</f>
        <v>0</v>
      </c>
      <c r="J27" s="16">
        <f t="shared" ref="J27:AO27" si="2">COUNTIF(J6:J26,"sim")</f>
        <v>0</v>
      </c>
      <c r="K27" s="16">
        <f t="shared" si="2"/>
        <v>0</v>
      </c>
      <c r="L27" s="16">
        <f t="shared" si="2"/>
        <v>0</v>
      </c>
      <c r="M27" s="16">
        <f t="shared" si="2"/>
        <v>0</v>
      </c>
      <c r="N27" s="16">
        <f t="shared" si="2"/>
        <v>0</v>
      </c>
      <c r="O27" s="16">
        <f t="shared" si="2"/>
        <v>0</v>
      </c>
      <c r="P27" s="16">
        <f t="shared" si="2"/>
        <v>0</v>
      </c>
      <c r="Q27" s="16">
        <f t="shared" si="2"/>
        <v>0</v>
      </c>
      <c r="R27" s="16">
        <f t="shared" si="2"/>
        <v>0</v>
      </c>
      <c r="S27" s="16">
        <f t="shared" si="2"/>
        <v>0</v>
      </c>
      <c r="T27" s="16">
        <f t="shared" si="2"/>
        <v>0</v>
      </c>
      <c r="U27" s="16">
        <f t="shared" si="2"/>
        <v>0</v>
      </c>
      <c r="V27" s="16">
        <f t="shared" si="2"/>
        <v>0</v>
      </c>
      <c r="W27" s="16">
        <f t="shared" si="2"/>
        <v>0</v>
      </c>
      <c r="X27" s="16">
        <f t="shared" si="2"/>
        <v>0</v>
      </c>
      <c r="Y27" s="16">
        <f t="shared" si="2"/>
        <v>0</v>
      </c>
      <c r="Z27" s="16">
        <f t="shared" si="2"/>
        <v>0</v>
      </c>
      <c r="AA27" s="16">
        <f t="shared" si="2"/>
        <v>0</v>
      </c>
      <c r="AB27" s="16">
        <f t="shared" si="2"/>
        <v>0</v>
      </c>
      <c r="AC27" s="16">
        <f t="shared" si="2"/>
        <v>0</v>
      </c>
      <c r="AD27" s="16">
        <f t="shared" si="2"/>
        <v>0</v>
      </c>
      <c r="AE27" s="16">
        <f t="shared" si="2"/>
        <v>0</v>
      </c>
      <c r="AF27" s="16">
        <f t="shared" si="2"/>
        <v>0</v>
      </c>
      <c r="AG27" s="16">
        <f t="shared" si="2"/>
        <v>0</v>
      </c>
      <c r="AH27" s="16">
        <f t="shared" si="2"/>
        <v>0</v>
      </c>
      <c r="AI27" s="16">
        <f t="shared" si="2"/>
        <v>0</v>
      </c>
      <c r="AJ27" s="16">
        <f t="shared" si="2"/>
        <v>0</v>
      </c>
      <c r="AK27" s="16">
        <f t="shared" si="2"/>
        <v>0</v>
      </c>
      <c r="AL27" s="16">
        <f t="shared" si="2"/>
        <v>0</v>
      </c>
      <c r="AM27" s="16">
        <f t="shared" si="2"/>
        <v>0</v>
      </c>
      <c r="AN27" s="16">
        <f t="shared" si="2"/>
        <v>0</v>
      </c>
      <c r="AO27" s="16">
        <f t="shared" si="2"/>
        <v>0</v>
      </c>
      <c r="AP27" s="16">
        <f t="shared" ref="AP27:BU27" si="3">COUNTIF(AP6:AP26,"sim")</f>
        <v>0</v>
      </c>
      <c r="AQ27" s="16">
        <f t="shared" si="3"/>
        <v>0</v>
      </c>
      <c r="AR27" s="16">
        <f t="shared" si="3"/>
        <v>0</v>
      </c>
      <c r="AS27" s="16">
        <f t="shared" si="3"/>
        <v>0</v>
      </c>
      <c r="AT27" s="16">
        <f t="shared" si="3"/>
        <v>0</v>
      </c>
      <c r="AU27" s="16">
        <f t="shared" si="3"/>
        <v>0</v>
      </c>
      <c r="AV27" s="16">
        <f t="shared" si="3"/>
        <v>0</v>
      </c>
      <c r="AW27" s="16">
        <f t="shared" si="3"/>
        <v>0</v>
      </c>
      <c r="AX27" s="16">
        <f t="shared" si="3"/>
        <v>0</v>
      </c>
      <c r="AY27" s="16">
        <f t="shared" si="3"/>
        <v>0</v>
      </c>
      <c r="AZ27" s="16">
        <f t="shared" si="3"/>
        <v>0</v>
      </c>
      <c r="BA27" s="16">
        <f t="shared" si="3"/>
        <v>0</v>
      </c>
      <c r="BB27" s="16">
        <f t="shared" si="3"/>
        <v>0</v>
      </c>
      <c r="BC27" s="16">
        <f t="shared" si="3"/>
        <v>0</v>
      </c>
      <c r="BD27" s="16">
        <f t="shared" si="3"/>
        <v>0</v>
      </c>
      <c r="BE27" s="16">
        <f t="shared" si="3"/>
        <v>0</v>
      </c>
      <c r="BF27" s="16">
        <f t="shared" si="3"/>
        <v>0</v>
      </c>
      <c r="BG27" s="16">
        <f t="shared" si="3"/>
        <v>0</v>
      </c>
      <c r="BH27" s="16">
        <f t="shared" si="3"/>
        <v>0</v>
      </c>
      <c r="BI27" s="16">
        <f t="shared" si="3"/>
        <v>0</v>
      </c>
      <c r="BJ27" s="16">
        <f t="shared" si="3"/>
        <v>0</v>
      </c>
      <c r="BK27" s="16">
        <f t="shared" si="3"/>
        <v>0</v>
      </c>
      <c r="BL27" s="16">
        <f t="shared" si="3"/>
        <v>0</v>
      </c>
      <c r="BM27" s="16">
        <f t="shared" si="3"/>
        <v>0</v>
      </c>
      <c r="BN27" s="16">
        <f t="shared" si="3"/>
        <v>0</v>
      </c>
      <c r="BO27" s="16">
        <f t="shared" si="3"/>
        <v>0</v>
      </c>
      <c r="BP27" s="16">
        <f t="shared" si="3"/>
        <v>0</v>
      </c>
      <c r="BQ27" s="16">
        <f t="shared" si="3"/>
        <v>0</v>
      </c>
      <c r="BR27" s="16">
        <f t="shared" si="3"/>
        <v>0</v>
      </c>
      <c r="BS27" s="16">
        <f t="shared" si="3"/>
        <v>0</v>
      </c>
      <c r="BT27" s="16">
        <f t="shared" si="3"/>
        <v>0</v>
      </c>
      <c r="BU27" s="16">
        <f t="shared" si="3"/>
        <v>0</v>
      </c>
      <c r="BV27" s="16">
        <f t="shared" ref="BV27:DA27" si="4">COUNTIF(BV6:BV26,"sim")</f>
        <v>0</v>
      </c>
      <c r="BW27" s="16">
        <f t="shared" si="4"/>
        <v>0</v>
      </c>
      <c r="BX27" s="16">
        <f t="shared" si="4"/>
        <v>0</v>
      </c>
      <c r="BY27" s="16">
        <f t="shared" si="4"/>
        <v>0</v>
      </c>
      <c r="BZ27" s="16">
        <f t="shared" si="4"/>
        <v>0</v>
      </c>
      <c r="CA27" s="16">
        <f t="shared" si="4"/>
        <v>0</v>
      </c>
      <c r="CB27" s="16">
        <f t="shared" si="4"/>
        <v>0</v>
      </c>
      <c r="CC27" s="16">
        <f t="shared" si="4"/>
        <v>0</v>
      </c>
      <c r="CD27" s="16">
        <f t="shared" si="4"/>
        <v>0</v>
      </c>
      <c r="CE27" s="16">
        <f t="shared" si="4"/>
        <v>0</v>
      </c>
      <c r="CF27" s="16">
        <f t="shared" si="4"/>
        <v>0</v>
      </c>
      <c r="CG27" s="16">
        <f t="shared" si="4"/>
        <v>0</v>
      </c>
      <c r="CH27" s="16">
        <f t="shared" si="4"/>
        <v>0</v>
      </c>
      <c r="CI27" s="16">
        <f t="shared" si="4"/>
        <v>0</v>
      </c>
      <c r="CJ27" s="16">
        <f t="shared" si="4"/>
        <v>0</v>
      </c>
      <c r="CK27" s="16">
        <f t="shared" si="4"/>
        <v>0</v>
      </c>
      <c r="CL27" s="16">
        <f t="shared" si="4"/>
        <v>0</v>
      </c>
      <c r="CM27" s="16">
        <f t="shared" si="4"/>
        <v>0</v>
      </c>
      <c r="CN27" s="16">
        <f t="shared" si="4"/>
        <v>0</v>
      </c>
      <c r="CO27" s="16">
        <f t="shared" si="4"/>
        <v>0</v>
      </c>
      <c r="CP27" s="16">
        <f t="shared" si="4"/>
        <v>0</v>
      </c>
      <c r="CQ27" s="16">
        <f t="shared" si="4"/>
        <v>0</v>
      </c>
      <c r="CR27" s="16">
        <f t="shared" si="4"/>
        <v>0</v>
      </c>
      <c r="CS27" s="16">
        <f t="shared" si="4"/>
        <v>0</v>
      </c>
      <c r="CT27" s="16">
        <f t="shared" si="4"/>
        <v>0</v>
      </c>
      <c r="CU27" s="16">
        <f t="shared" si="4"/>
        <v>0</v>
      </c>
      <c r="CV27" s="16">
        <f t="shared" si="4"/>
        <v>0</v>
      </c>
      <c r="CW27" s="16">
        <f t="shared" si="4"/>
        <v>0</v>
      </c>
      <c r="CX27" s="16">
        <f t="shared" si="4"/>
        <v>0</v>
      </c>
      <c r="CY27" s="16">
        <f t="shared" si="4"/>
        <v>0</v>
      </c>
      <c r="CZ27" s="16">
        <f t="shared" si="4"/>
        <v>0</v>
      </c>
      <c r="DA27" s="16">
        <f t="shared" si="4"/>
        <v>0</v>
      </c>
      <c r="DB27" s="16">
        <f t="shared" ref="DB27:DS27" si="5">COUNTIF(DB6:DB26,"sim")</f>
        <v>0</v>
      </c>
      <c r="DC27" s="16">
        <f t="shared" si="5"/>
        <v>0</v>
      </c>
      <c r="DD27" s="16">
        <f t="shared" si="5"/>
        <v>0</v>
      </c>
      <c r="DE27" s="16">
        <f t="shared" si="5"/>
        <v>0</v>
      </c>
      <c r="DF27" s="16">
        <f t="shared" si="5"/>
        <v>0</v>
      </c>
      <c r="DG27" s="16">
        <f t="shared" si="5"/>
        <v>0</v>
      </c>
      <c r="DH27" s="16">
        <f t="shared" si="5"/>
        <v>0</v>
      </c>
      <c r="DI27" s="16">
        <f t="shared" si="5"/>
        <v>0</v>
      </c>
      <c r="DJ27" s="16">
        <f t="shared" si="5"/>
        <v>0</v>
      </c>
      <c r="DK27" s="16">
        <f t="shared" si="5"/>
        <v>0</v>
      </c>
      <c r="DL27" s="16">
        <f t="shared" si="5"/>
        <v>0</v>
      </c>
      <c r="DM27" s="16">
        <f t="shared" si="5"/>
        <v>0</v>
      </c>
      <c r="DN27" s="16">
        <f t="shared" si="5"/>
        <v>0</v>
      </c>
      <c r="DO27" s="16">
        <f t="shared" si="5"/>
        <v>0</v>
      </c>
      <c r="DP27" s="16">
        <f t="shared" si="5"/>
        <v>0</v>
      </c>
      <c r="DQ27" s="16">
        <f t="shared" si="5"/>
        <v>0</v>
      </c>
      <c r="DR27" s="16">
        <f t="shared" si="5"/>
        <v>0</v>
      </c>
      <c r="DS27" s="16">
        <f t="shared" si="5"/>
        <v>0</v>
      </c>
    </row>
    <row r="28" spans="1:123" s="18" customFormat="1" ht="15.75">
      <c r="A28" s="17" t="s">
        <v>19</v>
      </c>
      <c r="B28" s="18">
        <f t="shared" ref="B28" si="6">COUNTIF(B6:B26,"não")</f>
        <v>0</v>
      </c>
      <c r="C28" s="105">
        <f t="shared" ref="C28" si="7">COUNTIF(C6:C26,"não")</f>
        <v>0</v>
      </c>
      <c r="J28" s="18">
        <f t="shared" ref="J28:AO28" si="8">COUNTIF(J6:J27,"não")</f>
        <v>0</v>
      </c>
      <c r="K28" s="18">
        <f t="shared" si="8"/>
        <v>0</v>
      </c>
      <c r="L28" s="18">
        <f t="shared" si="8"/>
        <v>0</v>
      </c>
      <c r="M28" s="18">
        <f t="shared" si="8"/>
        <v>0</v>
      </c>
      <c r="N28" s="18">
        <f t="shared" si="8"/>
        <v>0</v>
      </c>
      <c r="O28" s="18">
        <f t="shared" si="8"/>
        <v>0</v>
      </c>
      <c r="P28" s="18">
        <f t="shared" si="8"/>
        <v>0</v>
      </c>
      <c r="Q28" s="18">
        <f t="shared" si="8"/>
        <v>0</v>
      </c>
      <c r="R28" s="18">
        <f t="shared" si="8"/>
        <v>0</v>
      </c>
      <c r="S28" s="18">
        <f t="shared" si="8"/>
        <v>0</v>
      </c>
      <c r="T28" s="18">
        <f t="shared" si="8"/>
        <v>0</v>
      </c>
      <c r="U28" s="18">
        <f t="shared" si="8"/>
        <v>0</v>
      </c>
      <c r="V28" s="18">
        <f t="shared" si="8"/>
        <v>0</v>
      </c>
      <c r="W28" s="18">
        <f t="shared" si="8"/>
        <v>0</v>
      </c>
      <c r="X28" s="18">
        <f t="shared" si="8"/>
        <v>0</v>
      </c>
      <c r="Y28" s="18">
        <f t="shared" si="8"/>
        <v>0</v>
      </c>
      <c r="Z28" s="18">
        <f t="shared" si="8"/>
        <v>0</v>
      </c>
      <c r="AA28" s="18">
        <f t="shared" si="8"/>
        <v>0</v>
      </c>
      <c r="AB28" s="18">
        <f t="shared" si="8"/>
        <v>0</v>
      </c>
      <c r="AC28" s="18">
        <f t="shared" si="8"/>
        <v>0</v>
      </c>
      <c r="AD28" s="18">
        <f t="shared" si="8"/>
        <v>0</v>
      </c>
      <c r="AE28" s="18">
        <f t="shared" si="8"/>
        <v>0</v>
      </c>
      <c r="AF28" s="18">
        <f t="shared" si="8"/>
        <v>0</v>
      </c>
      <c r="AG28" s="18">
        <f t="shared" si="8"/>
        <v>0</v>
      </c>
      <c r="AH28" s="18">
        <f t="shared" si="8"/>
        <v>0</v>
      </c>
      <c r="AI28" s="18">
        <f t="shared" si="8"/>
        <v>0</v>
      </c>
      <c r="AJ28" s="18">
        <f t="shared" si="8"/>
        <v>0</v>
      </c>
      <c r="AK28" s="18">
        <f t="shared" si="8"/>
        <v>0</v>
      </c>
      <c r="AL28" s="18">
        <f t="shared" si="8"/>
        <v>0</v>
      </c>
      <c r="AM28" s="18">
        <f t="shared" si="8"/>
        <v>0</v>
      </c>
      <c r="AN28" s="18">
        <f t="shared" si="8"/>
        <v>0</v>
      </c>
      <c r="AO28" s="18">
        <f t="shared" si="8"/>
        <v>0</v>
      </c>
      <c r="AP28" s="18">
        <f t="shared" ref="AP28:BU28" si="9">COUNTIF(AP6:AP27,"não")</f>
        <v>0</v>
      </c>
      <c r="AQ28" s="18">
        <f t="shared" si="9"/>
        <v>0</v>
      </c>
      <c r="AR28" s="18">
        <f t="shared" si="9"/>
        <v>0</v>
      </c>
      <c r="AS28" s="18">
        <f t="shared" si="9"/>
        <v>0</v>
      </c>
      <c r="AT28" s="18">
        <f t="shared" si="9"/>
        <v>0</v>
      </c>
      <c r="AU28" s="18">
        <f t="shared" si="9"/>
        <v>0</v>
      </c>
      <c r="AV28" s="18">
        <f t="shared" si="9"/>
        <v>0</v>
      </c>
      <c r="AW28" s="18">
        <f t="shared" si="9"/>
        <v>0</v>
      </c>
      <c r="AX28" s="18">
        <f t="shared" si="9"/>
        <v>0</v>
      </c>
      <c r="AY28" s="18">
        <f t="shared" si="9"/>
        <v>0</v>
      </c>
      <c r="AZ28" s="18">
        <f t="shared" si="9"/>
        <v>0</v>
      </c>
      <c r="BA28" s="18">
        <f t="shared" si="9"/>
        <v>0</v>
      </c>
      <c r="BB28" s="18">
        <f t="shared" si="9"/>
        <v>0</v>
      </c>
      <c r="BC28" s="18">
        <f t="shared" si="9"/>
        <v>0</v>
      </c>
      <c r="BD28" s="18">
        <f t="shared" si="9"/>
        <v>0</v>
      </c>
      <c r="BE28" s="18">
        <f t="shared" si="9"/>
        <v>0</v>
      </c>
      <c r="BF28" s="18">
        <f t="shared" si="9"/>
        <v>0</v>
      </c>
      <c r="BG28" s="18">
        <f t="shared" si="9"/>
        <v>0</v>
      </c>
      <c r="BH28" s="18">
        <f t="shared" si="9"/>
        <v>0</v>
      </c>
      <c r="BI28" s="18">
        <f t="shared" si="9"/>
        <v>0</v>
      </c>
      <c r="BJ28" s="18">
        <f t="shared" si="9"/>
        <v>0</v>
      </c>
      <c r="BK28" s="18">
        <f t="shared" si="9"/>
        <v>0</v>
      </c>
      <c r="BL28" s="18">
        <f t="shared" si="9"/>
        <v>0</v>
      </c>
      <c r="BM28" s="18">
        <f t="shared" si="9"/>
        <v>0</v>
      </c>
      <c r="BN28" s="18">
        <f t="shared" si="9"/>
        <v>0</v>
      </c>
      <c r="BO28" s="18">
        <f t="shared" si="9"/>
        <v>0</v>
      </c>
      <c r="BP28" s="18">
        <f t="shared" si="9"/>
        <v>0</v>
      </c>
      <c r="BQ28" s="18">
        <f t="shared" si="9"/>
        <v>0</v>
      </c>
      <c r="BR28" s="18">
        <f t="shared" si="9"/>
        <v>0</v>
      </c>
      <c r="BS28" s="18">
        <f t="shared" si="9"/>
        <v>0</v>
      </c>
      <c r="BT28" s="18">
        <f t="shared" si="9"/>
        <v>0</v>
      </c>
      <c r="BU28" s="18">
        <f t="shared" si="9"/>
        <v>0</v>
      </c>
      <c r="BV28" s="18">
        <f t="shared" ref="BV28:DA28" si="10">COUNTIF(BV6:BV27,"não")</f>
        <v>0</v>
      </c>
      <c r="BW28" s="18">
        <f t="shared" si="10"/>
        <v>0</v>
      </c>
      <c r="BX28" s="18">
        <f t="shared" si="10"/>
        <v>0</v>
      </c>
      <c r="BY28" s="18">
        <f t="shared" si="10"/>
        <v>0</v>
      </c>
      <c r="BZ28" s="18">
        <f t="shared" si="10"/>
        <v>0</v>
      </c>
      <c r="CA28" s="18">
        <f t="shared" si="10"/>
        <v>0</v>
      </c>
      <c r="CB28" s="18">
        <f t="shared" si="10"/>
        <v>0</v>
      </c>
      <c r="CC28" s="18">
        <f t="shared" si="10"/>
        <v>0</v>
      </c>
      <c r="CD28" s="18">
        <f t="shared" si="10"/>
        <v>0</v>
      </c>
      <c r="CE28" s="18">
        <f t="shared" si="10"/>
        <v>0</v>
      </c>
      <c r="CF28" s="18">
        <f t="shared" si="10"/>
        <v>0</v>
      </c>
      <c r="CG28" s="18">
        <f t="shared" si="10"/>
        <v>0</v>
      </c>
      <c r="CH28" s="18">
        <f t="shared" si="10"/>
        <v>0</v>
      </c>
      <c r="CI28" s="18">
        <f t="shared" si="10"/>
        <v>0</v>
      </c>
      <c r="CJ28" s="18">
        <f t="shared" si="10"/>
        <v>0</v>
      </c>
      <c r="CK28" s="18">
        <f t="shared" si="10"/>
        <v>0</v>
      </c>
      <c r="CL28" s="18">
        <f t="shared" si="10"/>
        <v>0</v>
      </c>
      <c r="CM28" s="18">
        <f t="shared" si="10"/>
        <v>0</v>
      </c>
      <c r="CN28" s="18">
        <f t="shared" si="10"/>
        <v>0</v>
      </c>
      <c r="CO28" s="18">
        <f t="shared" si="10"/>
        <v>0</v>
      </c>
      <c r="CP28" s="18">
        <f t="shared" si="10"/>
        <v>0</v>
      </c>
      <c r="CQ28" s="18">
        <f t="shared" si="10"/>
        <v>0</v>
      </c>
      <c r="CR28" s="18">
        <f t="shared" si="10"/>
        <v>0</v>
      </c>
      <c r="CS28" s="18">
        <f t="shared" si="10"/>
        <v>0</v>
      </c>
      <c r="CT28" s="18">
        <f t="shared" si="10"/>
        <v>0</v>
      </c>
      <c r="CU28" s="18">
        <f t="shared" si="10"/>
        <v>0</v>
      </c>
      <c r="CV28" s="18">
        <f t="shared" si="10"/>
        <v>0</v>
      </c>
      <c r="CW28" s="18">
        <f t="shared" si="10"/>
        <v>0</v>
      </c>
      <c r="CX28" s="18">
        <f t="shared" si="10"/>
        <v>0</v>
      </c>
      <c r="CY28" s="18">
        <f t="shared" si="10"/>
        <v>0</v>
      </c>
      <c r="CZ28" s="18">
        <f t="shared" si="10"/>
        <v>0</v>
      </c>
      <c r="DA28" s="18">
        <f t="shared" si="10"/>
        <v>0</v>
      </c>
      <c r="DB28" s="18">
        <f t="shared" ref="DB28:DS28" si="11">COUNTIF(DB6:DB27,"não")</f>
        <v>0</v>
      </c>
      <c r="DC28" s="18">
        <f t="shared" si="11"/>
        <v>0</v>
      </c>
      <c r="DD28" s="18">
        <f t="shared" si="11"/>
        <v>0</v>
      </c>
      <c r="DE28" s="18">
        <f t="shared" si="11"/>
        <v>0</v>
      </c>
      <c r="DF28" s="18">
        <f t="shared" si="11"/>
        <v>0</v>
      </c>
      <c r="DG28" s="18">
        <f t="shared" si="11"/>
        <v>0</v>
      </c>
      <c r="DH28" s="18">
        <f t="shared" si="11"/>
        <v>0</v>
      </c>
      <c r="DI28" s="18">
        <f t="shared" si="11"/>
        <v>0</v>
      </c>
      <c r="DJ28" s="18">
        <f t="shared" si="11"/>
        <v>0</v>
      </c>
      <c r="DK28" s="18">
        <f t="shared" si="11"/>
        <v>0</v>
      </c>
      <c r="DL28" s="18">
        <f t="shared" si="11"/>
        <v>0</v>
      </c>
      <c r="DM28" s="18">
        <f t="shared" si="11"/>
        <v>0</v>
      </c>
      <c r="DN28" s="18">
        <f t="shared" si="11"/>
        <v>0</v>
      </c>
      <c r="DO28" s="18">
        <f t="shared" si="11"/>
        <v>0</v>
      </c>
      <c r="DP28" s="18">
        <f t="shared" si="11"/>
        <v>0</v>
      </c>
      <c r="DQ28" s="18">
        <f t="shared" si="11"/>
        <v>0</v>
      </c>
      <c r="DR28" s="18">
        <f t="shared" si="11"/>
        <v>0</v>
      </c>
      <c r="DS28" s="18">
        <f t="shared" si="11"/>
        <v>0</v>
      </c>
    </row>
    <row r="29" spans="1:123" ht="15.75">
      <c r="A29" s="14" t="s">
        <v>11</v>
      </c>
      <c r="B29">
        <f t="shared" ref="B29" si="12">COUNTIF(B6:B26,"ausente")</f>
        <v>0</v>
      </c>
      <c r="C29" s="40">
        <f t="shared" ref="C29" si="13">COUNTIF(C6:C26,"ausente")</f>
        <v>0</v>
      </c>
      <c r="J29">
        <f t="shared" ref="J29:AO29" si="14">COUNTIF(J6:J28,"ausente")</f>
        <v>0</v>
      </c>
      <c r="K29">
        <f t="shared" si="14"/>
        <v>0</v>
      </c>
      <c r="L29">
        <f t="shared" si="14"/>
        <v>0</v>
      </c>
      <c r="M29">
        <f t="shared" si="14"/>
        <v>0</v>
      </c>
      <c r="N29">
        <f t="shared" si="14"/>
        <v>0</v>
      </c>
      <c r="O29">
        <f t="shared" si="14"/>
        <v>0</v>
      </c>
      <c r="P29">
        <f t="shared" si="14"/>
        <v>0</v>
      </c>
      <c r="Q29">
        <f t="shared" si="14"/>
        <v>0</v>
      </c>
      <c r="R29">
        <f t="shared" si="14"/>
        <v>0</v>
      </c>
      <c r="S29">
        <f t="shared" si="14"/>
        <v>0</v>
      </c>
      <c r="T29">
        <f t="shared" si="14"/>
        <v>0</v>
      </c>
      <c r="U29">
        <f t="shared" si="14"/>
        <v>0</v>
      </c>
      <c r="V29">
        <f t="shared" si="14"/>
        <v>0</v>
      </c>
      <c r="W29">
        <f t="shared" si="14"/>
        <v>0</v>
      </c>
      <c r="X29">
        <f t="shared" si="14"/>
        <v>0</v>
      </c>
      <c r="Y29">
        <f t="shared" si="14"/>
        <v>0</v>
      </c>
      <c r="Z29">
        <f t="shared" si="14"/>
        <v>0</v>
      </c>
      <c r="AA29">
        <f t="shared" si="14"/>
        <v>0</v>
      </c>
      <c r="AB29">
        <f t="shared" si="14"/>
        <v>0</v>
      </c>
      <c r="AC29">
        <f t="shared" si="14"/>
        <v>0</v>
      </c>
      <c r="AD29">
        <f t="shared" si="14"/>
        <v>0</v>
      </c>
      <c r="AE29">
        <f t="shared" si="14"/>
        <v>0</v>
      </c>
      <c r="AF29">
        <f t="shared" si="14"/>
        <v>0</v>
      </c>
      <c r="AG29">
        <f t="shared" si="14"/>
        <v>0</v>
      </c>
      <c r="AH29">
        <f t="shared" si="14"/>
        <v>0</v>
      </c>
      <c r="AI29">
        <f t="shared" si="14"/>
        <v>0</v>
      </c>
      <c r="AJ29">
        <f t="shared" si="14"/>
        <v>0</v>
      </c>
      <c r="AK29">
        <f t="shared" si="14"/>
        <v>0</v>
      </c>
      <c r="AL29">
        <f t="shared" si="14"/>
        <v>0</v>
      </c>
      <c r="AM29">
        <f t="shared" si="14"/>
        <v>0</v>
      </c>
      <c r="AN29">
        <f t="shared" si="14"/>
        <v>0</v>
      </c>
      <c r="AO29">
        <f t="shared" si="14"/>
        <v>0</v>
      </c>
      <c r="AP29">
        <f t="shared" ref="AP29:BU29" si="15">COUNTIF(AP6:AP28,"ausente")</f>
        <v>0</v>
      </c>
      <c r="AQ29">
        <f t="shared" si="15"/>
        <v>0</v>
      </c>
      <c r="AR29">
        <f t="shared" si="15"/>
        <v>0</v>
      </c>
      <c r="AS29">
        <f t="shared" si="15"/>
        <v>0</v>
      </c>
      <c r="AT29">
        <f t="shared" si="15"/>
        <v>0</v>
      </c>
      <c r="AU29">
        <f t="shared" si="15"/>
        <v>0</v>
      </c>
      <c r="AV29">
        <f t="shared" si="15"/>
        <v>0</v>
      </c>
      <c r="AW29">
        <f t="shared" si="15"/>
        <v>0</v>
      </c>
      <c r="AX29">
        <f t="shared" si="15"/>
        <v>0</v>
      </c>
      <c r="AY29">
        <f t="shared" si="15"/>
        <v>0</v>
      </c>
      <c r="AZ29">
        <f t="shared" si="15"/>
        <v>0</v>
      </c>
      <c r="BA29">
        <f t="shared" si="15"/>
        <v>0</v>
      </c>
      <c r="BB29">
        <f t="shared" si="15"/>
        <v>0</v>
      </c>
      <c r="BC29">
        <f t="shared" si="15"/>
        <v>0</v>
      </c>
      <c r="BD29">
        <f t="shared" si="15"/>
        <v>0</v>
      </c>
      <c r="BE29">
        <f t="shared" si="15"/>
        <v>0</v>
      </c>
      <c r="BF29">
        <f t="shared" si="15"/>
        <v>0</v>
      </c>
      <c r="BG29">
        <f t="shared" si="15"/>
        <v>0</v>
      </c>
      <c r="BH29">
        <f t="shared" si="15"/>
        <v>0</v>
      </c>
      <c r="BI29">
        <f t="shared" si="15"/>
        <v>0</v>
      </c>
      <c r="BJ29">
        <f t="shared" si="15"/>
        <v>0</v>
      </c>
      <c r="BK29">
        <f t="shared" si="15"/>
        <v>0</v>
      </c>
      <c r="BL29">
        <f t="shared" si="15"/>
        <v>0</v>
      </c>
      <c r="BM29">
        <f t="shared" si="15"/>
        <v>0</v>
      </c>
      <c r="BN29">
        <f t="shared" si="15"/>
        <v>0</v>
      </c>
      <c r="BO29">
        <f t="shared" si="15"/>
        <v>0</v>
      </c>
      <c r="BP29">
        <f t="shared" si="15"/>
        <v>0</v>
      </c>
      <c r="BQ29">
        <f t="shared" si="15"/>
        <v>0</v>
      </c>
      <c r="BR29">
        <f t="shared" si="15"/>
        <v>0</v>
      </c>
      <c r="BS29">
        <f t="shared" si="15"/>
        <v>0</v>
      </c>
      <c r="BT29">
        <f t="shared" si="15"/>
        <v>0</v>
      </c>
      <c r="BU29">
        <f t="shared" si="15"/>
        <v>0</v>
      </c>
      <c r="BV29">
        <f t="shared" ref="BV29:DA29" si="16">COUNTIF(BV6:BV28,"ausente")</f>
        <v>0</v>
      </c>
      <c r="BW29">
        <f t="shared" si="16"/>
        <v>0</v>
      </c>
      <c r="BX29">
        <f t="shared" si="16"/>
        <v>0</v>
      </c>
      <c r="BY29">
        <f t="shared" si="16"/>
        <v>0</v>
      </c>
      <c r="BZ29">
        <f t="shared" si="16"/>
        <v>0</v>
      </c>
      <c r="CA29">
        <f t="shared" si="16"/>
        <v>0</v>
      </c>
      <c r="CB29">
        <f t="shared" si="16"/>
        <v>0</v>
      </c>
      <c r="CC29">
        <f t="shared" si="16"/>
        <v>0</v>
      </c>
      <c r="CD29">
        <f t="shared" si="16"/>
        <v>0</v>
      </c>
      <c r="CE29">
        <f t="shared" si="16"/>
        <v>0</v>
      </c>
      <c r="CF29">
        <f t="shared" si="16"/>
        <v>0</v>
      </c>
      <c r="CG29">
        <f t="shared" si="16"/>
        <v>0</v>
      </c>
      <c r="CH29">
        <f t="shared" si="16"/>
        <v>0</v>
      </c>
      <c r="CI29">
        <f t="shared" si="16"/>
        <v>0</v>
      </c>
      <c r="CJ29">
        <f t="shared" si="16"/>
        <v>0</v>
      </c>
      <c r="CK29">
        <f t="shared" si="16"/>
        <v>0</v>
      </c>
      <c r="CL29">
        <f t="shared" si="16"/>
        <v>0</v>
      </c>
      <c r="CM29">
        <f t="shared" si="16"/>
        <v>0</v>
      </c>
      <c r="CN29">
        <f t="shared" si="16"/>
        <v>0</v>
      </c>
      <c r="CO29">
        <f t="shared" si="16"/>
        <v>0</v>
      </c>
      <c r="CP29">
        <f t="shared" si="16"/>
        <v>0</v>
      </c>
      <c r="CQ29">
        <f t="shared" si="16"/>
        <v>0</v>
      </c>
      <c r="CR29">
        <f t="shared" si="16"/>
        <v>0</v>
      </c>
      <c r="CS29">
        <f t="shared" si="16"/>
        <v>0</v>
      </c>
      <c r="CT29">
        <f t="shared" si="16"/>
        <v>0</v>
      </c>
      <c r="CU29">
        <f t="shared" si="16"/>
        <v>0</v>
      </c>
      <c r="CV29">
        <f t="shared" si="16"/>
        <v>0</v>
      </c>
      <c r="CW29">
        <f t="shared" si="16"/>
        <v>0</v>
      </c>
      <c r="CX29">
        <f t="shared" si="16"/>
        <v>0</v>
      </c>
      <c r="CY29">
        <f t="shared" si="16"/>
        <v>0</v>
      </c>
      <c r="CZ29">
        <f t="shared" si="16"/>
        <v>0</v>
      </c>
      <c r="DA29">
        <f t="shared" si="16"/>
        <v>0</v>
      </c>
      <c r="DB29">
        <f t="shared" ref="DB29:DS29" si="17">COUNTIF(DB6:DB28,"ausente")</f>
        <v>0</v>
      </c>
      <c r="DC29">
        <f t="shared" si="17"/>
        <v>0</v>
      </c>
      <c r="DD29">
        <f t="shared" si="17"/>
        <v>0</v>
      </c>
      <c r="DE29">
        <f t="shared" si="17"/>
        <v>0</v>
      </c>
      <c r="DF29">
        <f t="shared" si="17"/>
        <v>0</v>
      </c>
      <c r="DG29">
        <f t="shared" si="17"/>
        <v>0</v>
      </c>
      <c r="DH29">
        <f t="shared" si="17"/>
        <v>0</v>
      </c>
      <c r="DI29">
        <f t="shared" si="17"/>
        <v>0</v>
      </c>
      <c r="DJ29">
        <f t="shared" si="17"/>
        <v>0</v>
      </c>
      <c r="DK29">
        <f t="shared" si="17"/>
        <v>0</v>
      </c>
      <c r="DL29">
        <f t="shared" si="17"/>
        <v>0</v>
      </c>
      <c r="DM29">
        <f t="shared" si="17"/>
        <v>0</v>
      </c>
      <c r="DN29">
        <f t="shared" si="17"/>
        <v>0</v>
      </c>
      <c r="DO29">
        <f t="shared" si="17"/>
        <v>0</v>
      </c>
      <c r="DP29">
        <f t="shared" si="17"/>
        <v>0</v>
      </c>
      <c r="DQ29">
        <f t="shared" si="17"/>
        <v>0</v>
      </c>
      <c r="DR29">
        <f t="shared" si="17"/>
        <v>0</v>
      </c>
      <c r="DS29">
        <f t="shared" si="17"/>
        <v>0</v>
      </c>
    </row>
    <row r="30" spans="1:123" s="20" customFormat="1" ht="15.75">
      <c r="A30" s="19" t="s">
        <v>20</v>
      </c>
      <c r="B30" s="20">
        <f t="shared" ref="B30" si="18">COUNTIF(B6:B26,"abstenção")</f>
        <v>0</v>
      </c>
      <c r="C30" s="106">
        <f t="shared" ref="C30" si="19">COUNTIF(C6:C26,"abstenção")</f>
        <v>0</v>
      </c>
      <c r="J30" s="20">
        <f t="shared" ref="J30:AO30" si="20">COUNTIF(J10:J29,"abstenção")</f>
        <v>0</v>
      </c>
      <c r="K30" s="20">
        <f t="shared" si="20"/>
        <v>0</v>
      </c>
      <c r="L30" s="20">
        <f t="shared" si="20"/>
        <v>0</v>
      </c>
      <c r="M30" s="20">
        <f t="shared" si="20"/>
        <v>0</v>
      </c>
      <c r="N30" s="20">
        <f t="shared" si="20"/>
        <v>0</v>
      </c>
      <c r="O30" s="20">
        <f t="shared" si="20"/>
        <v>0</v>
      </c>
      <c r="P30" s="20">
        <f t="shared" si="20"/>
        <v>0</v>
      </c>
      <c r="Q30" s="20">
        <f t="shared" si="20"/>
        <v>0</v>
      </c>
      <c r="R30" s="20">
        <f t="shared" si="20"/>
        <v>0</v>
      </c>
      <c r="S30" s="20">
        <f t="shared" si="20"/>
        <v>0</v>
      </c>
      <c r="T30" s="20">
        <f t="shared" si="20"/>
        <v>0</v>
      </c>
      <c r="U30" s="20">
        <f t="shared" si="20"/>
        <v>0</v>
      </c>
      <c r="V30" s="20">
        <f t="shared" si="20"/>
        <v>0</v>
      </c>
      <c r="W30" s="20">
        <f t="shared" si="20"/>
        <v>0</v>
      </c>
      <c r="X30" s="20">
        <f t="shared" si="20"/>
        <v>0</v>
      </c>
      <c r="Y30" s="20">
        <f t="shared" si="20"/>
        <v>0</v>
      </c>
      <c r="Z30" s="20">
        <f t="shared" si="20"/>
        <v>0</v>
      </c>
      <c r="AA30" s="20">
        <f t="shared" si="20"/>
        <v>0</v>
      </c>
      <c r="AB30" s="20">
        <f t="shared" si="20"/>
        <v>0</v>
      </c>
      <c r="AC30" s="20">
        <f t="shared" si="20"/>
        <v>0</v>
      </c>
      <c r="AD30" s="20">
        <f t="shared" si="20"/>
        <v>0</v>
      </c>
      <c r="AE30" s="20">
        <f t="shared" si="20"/>
        <v>0</v>
      </c>
      <c r="AF30" s="20">
        <f t="shared" si="20"/>
        <v>0</v>
      </c>
      <c r="AG30" s="20">
        <f t="shared" si="20"/>
        <v>0</v>
      </c>
      <c r="AH30" s="20">
        <f t="shared" si="20"/>
        <v>0</v>
      </c>
      <c r="AI30" s="20">
        <f t="shared" si="20"/>
        <v>0</v>
      </c>
      <c r="AJ30" s="20">
        <f t="shared" si="20"/>
        <v>0</v>
      </c>
      <c r="AK30" s="20">
        <f t="shared" si="20"/>
        <v>0</v>
      </c>
      <c r="AL30" s="20">
        <f t="shared" si="20"/>
        <v>0</v>
      </c>
      <c r="AM30" s="20">
        <f t="shared" si="20"/>
        <v>0</v>
      </c>
      <c r="AN30" s="20">
        <f t="shared" si="20"/>
        <v>0</v>
      </c>
      <c r="AO30" s="20">
        <f t="shared" si="20"/>
        <v>0</v>
      </c>
      <c r="AP30" s="20">
        <f t="shared" ref="AP30:BH30" si="21">COUNTIF(AP10:AP29,"abstenção")</f>
        <v>0</v>
      </c>
      <c r="AQ30" s="20">
        <f t="shared" si="21"/>
        <v>0</v>
      </c>
      <c r="AR30" s="20">
        <f t="shared" si="21"/>
        <v>0</v>
      </c>
      <c r="AS30" s="20">
        <f t="shared" si="21"/>
        <v>0</v>
      </c>
      <c r="AT30" s="20">
        <f t="shared" si="21"/>
        <v>0</v>
      </c>
      <c r="AU30" s="20">
        <f t="shared" si="21"/>
        <v>0</v>
      </c>
      <c r="AV30" s="20">
        <f t="shared" si="21"/>
        <v>0</v>
      </c>
      <c r="AW30" s="20">
        <f t="shared" si="21"/>
        <v>0</v>
      </c>
      <c r="AX30" s="20">
        <f t="shared" si="21"/>
        <v>0</v>
      </c>
      <c r="AY30" s="20">
        <f t="shared" si="21"/>
        <v>0</v>
      </c>
      <c r="AZ30" s="20">
        <f t="shared" si="21"/>
        <v>0</v>
      </c>
      <c r="BA30" s="20">
        <f t="shared" si="21"/>
        <v>0</v>
      </c>
      <c r="BB30" s="20">
        <f t="shared" si="21"/>
        <v>0</v>
      </c>
      <c r="BC30" s="20">
        <f t="shared" si="21"/>
        <v>0</v>
      </c>
      <c r="BD30" s="20">
        <f t="shared" si="21"/>
        <v>0</v>
      </c>
      <c r="BE30" s="20">
        <f t="shared" si="21"/>
        <v>0</v>
      </c>
      <c r="BF30" s="20">
        <f t="shared" si="21"/>
        <v>0</v>
      </c>
      <c r="BG30" s="20">
        <f t="shared" si="21"/>
        <v>0</v>
      </c>
      <c r="BH30" s="20">
        <f t="shared" si="21"/>
        <v>0</v>
      </c>
      <c r="BI30" s="20">
        <f t="shared" ref="BI30:DS30" si="22">COUNTIF(BI10:BI29,"abstenção")</f>
        <v>0</v>
      </c>
      <c r="BJ30" s="20">
        <f t="shared" si="22"/>
        <v>0</v>
      </c>
      <c r="BK30" s="20">
        <f t="shared" si="22"/>
        <v>0</v>
      </c>
      <c r="BL30" s="20">
        <f t="shared" si="22"/>
        <v>0</v>
      </c>
      <c r="BM30" s="20">
        <f t="shared" si="22"/>
        <v>0</v>
      </c>
      <c r="BN30" s="20">
        <f t="shared" si="22"/>
        <v>0</v>
      </c>
      <c r="BO30" s="20">
        <f t="shared" si="22"/>
        <v>0</v>
      </c>
      <c r="BP30" s="20">
        <f t="shared" si="22"/>
        <v>0</v>
      </c>
      <c r="BQ30" s="20">
        <f t="shared" si="22"/>
        <v>0</v>
      </c>
      <c r="BR30" s="20">
        <f t="shared" si="22"/>
        <v>0</v>
      </c>
      <c r="BS30" s="20">
        <f t="shared" si="22"/>
        <v>0</v>
      </c>
      <c r="BT30" s="20">
        <f t="shared" si="22"/>
        <v>0</v>
      </c>
      <c r="BU30" s="20">
        <f t="shared" si="22"/>
        <v>0</v>
      </c>
      <c r="BV30" s="20">
        <f t="shared" si="22"/>
        <v>0</v>
      </c>
      <c r="BW30" s="20">
        <f t="shared" si="22"/>
        <v>0</v>
      </c>
      <c r="BX30" s="20">
        <f t="shared" si="22"/>
        <v>0</v>
      </c>
      <c r="BY30" s="20">
        <f t="shared" si="22"/>
        <v>0</v>
      </c>
      <c r="BZ30" s="20">
        <f t="shared" si="22"/>
        <v>0</v>
      </c>
      <c r="CA30" s="20">
        <f t="shared" si="22"/>
        <v>0</v>
      </c>
      <c r="CB30" s="20">
        <f t="shared" si="22"/>
        <v>0</v>
      </c>
      <c r="CC30" s="20">
        <f t="shared" si="22"/>
        <v>0</v>
      </c>
      <c r="CD30" s="20">
        <f t="shared" si="22"/>
        <v>0</v>
      </c>
      <c r="CE30" s="20">
        <f t="shared" si="22"/>
        <v>0</v>
      </c>
      <c r="CF30" s="20">
        <f t="shared" si="22"/>
        <v>0</v>
      </c>
      <c r="CG30" s="20">
        <f t="shared" si="22"/>
        <v>0</v>
      </c>
      <c r="CH30" s="20">
        <f t="shared" si="22"/>
        <v>0</v>
      </c>
      <c r="CI30" s="20">
        <f t="shared" si="22"/>
        <v>0</v>
      </c>
      <c r="CJ30" s="20">
        <f t="shared" si="22"/>
        <v>0</v>
      </c>
      <c r="CK30" s="20">
        <f t="shared" si="22"/>
        <v>0</v>
      </c>
      <c r="CL30" s="20">
        <f t="shared" si="22"/>
        <v>0</v>
      </c>
      <c r="CM30" s="20">
        <f t="shared" si="22"/>
        <v>0</v>
      </c>
      <c r="CN30" s="20">
        <f t="shared" si="22"/>
        <v>0</v>
      </c>
      <c r="CO30" s="20">
        <f t="shared" si="22"/>
        <v>0</v>
      </c>
      <c r="CP30" s="20">
        <f t="shared" si="22"/>
        <v>0</v>
      </c>
      <c r="CQ30" s="20">
        <f t="shared" si="22"/>
        <v>0</v>
      </c>
      <c r="CR30" s="20">
        <f t="shared" si="22"/>
        <v>0</v>
      </c>
      <c r="CS30" s="20">
        <f t="shared" si="22"/>
        <v>0</v>
      </c>
      <c r="CT30" s="20">
        <f t="shared" si="22"/>
        <v>0</v>
      </c>
      <c r="CU30" s="20">
        <f t="shared" si="22"/>
        <v>0</v>
      </c>
      <c r="CV30" s="20">
        <f t="shared" si="22"/>
        <v>0</v>
      </c>
      <c r="CW30" s="20">
        <f t="shared" si="22"/>
        <v>0</v>
      </c>
      <c r="CX30" s="20">
        <f t="shared" si="22"/>
        <v>0</v>
      </c>
      <c r="CY30" s="20">
        <f t="shared" si="22"/>
        <v>0</v>
      </c>
      <c r="CZ30" s="20">
        <f t="shared" si="22"/>
        <v>0</v>
      </c>
      <c r="DA30" s="20">
        <f t="shared" si="22"/>
        <v>0</v>
      </c>
      <c r="DB30" s="20">
        <f t="shared" si="22"/>
        <v>0</v>
      </c>
      <c r="DC30" s="20">
        <f t="shared" si="22"/>
        <v>0</v>
      </c>
      <c r="DD30" s="20">
        <f t="shared" si="22"/>
        <v>0</v>
      </c>
      <c r="DE30" s="20">
        <f t="shared" si="22"/>
        <v>0</v>
      </c>
      <c r="DF30" s="20">
        <f t="shared" si="22"/>
        <v>0</v>
      </c>
      <c r="DG30" s="20">
        <f t="shared" si="22"/>
        <v>0</v>
      </c>
      <c r="DH30" s="20">
        <f t="shared" si="22"/>
        <v>0</v>
      </c>
      <c r="DI30" s="20">
        <f t="shared" si="22"/>
        <v>0</v>
      </c>
      <c r="DJ30" s="20">
        <f t="shared" si="22"/>
        <v>0</v>
      </c>
      <c r="DK30" s="20">
        <f t="shared" si="22"/>
        <v>0</v>
      </c>
      <c r="DL30" s="20">
        <f t="shared" si="22"/>
        <v>0</v>
      </c>
      <c r="DM30" s="20">
        <f t="shared" si="22"/>
        <v>0</v>
      </c>
      <c r="DN30" s="20">
        <f t="shared" si="22"/>
        <v>0</v>
      </c>
      <c r="DO30" s="20">
        <f t="shared" si="22"/>
        <v>0</v>
      </c>
      <c r="DP30" s="20">
        <f t="shared" si="22"/>
        <v>0</v>
      </c>
      <c r="DQ30" s="20">
        <f t="shared" si="22"/>
        <v>0</v>
      </c>
      <c r="DR30" s="20">
        <f t="shared" si="22"/>
        <v>0</v>
      </c>
      <c r="DS30" s="20">
        <f t="shared" si="22"/>
        <v>0</v>
      </c>
    </row>
    <row r="33" spans="1:1" ht="24.75">
      <c r="A33" s="1" t="s">
        <v>0</v>
      </c>
    </row>
    <row r="34" spans="1:1" ht="72.75">
      <c r="A34" s="1" t="s">
        <v>1</v>
      </c>
    </row>
    <row r="35" spans="1:1" ht="48.75">
      <c r="A35" s="1" t="s">
        <v>2</v>
      </c>
    </row>
    <row r="36" spans="1:1" ht="36.75">
      <c r="A36" s="1" t="s">
        <v>3</v>
      </c>
    </row>
    <row r="37" spans="1:1" ht="84.75">
      <c r="A37" s="1" t="s">
        <v>4</v>
      </c>
    </row>
  </sheetData>
  <phoneticPr fontId="27" type="noConversion"/>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5"/>
  <dimension ref="A1:D38"/>
  <sheetViews>
    <sheetView tabSelected="1" topLeftCell="A4" workbookViewId="0">
      <pane xSplit="1" topLeftCell="B1" activePane="topRight" state="frozen"/>
      <selection pane="topRight" activeCell="K13" sqref="K13"/>
    </sheetView>
  </sheetViews>
  <sheetFormatPr defaultRowHeight="15"/>
  <cols>
    <col min="1" max="1" width="49.7109375" customWidth="1"/>
    <col min="2" max="2" width="22.85546875" customWidth="1"/>
    <col min="3" max="4" width="28.5703125" customWidth="1"/>
  </cols>
  <sheetData>
    <row r="1" spans="1:4">
      <c r="A1" s="77" t="s">
        <v>8</v>
      </c>
      <c r="B1" s="2"/>
    </row>
    <row r="2" spans="1:4">
      <c r="A2" s="77" t="s">
        <v>113</v>
      </c>
      <c r="B2" s="2"/>
    </row>
    <row r="3" spans="1:4" ht="15.75" thickBot="1">
      <c r="A3" s="122" t="s">
        <v>114</v>
      </c>
      <c r="B3" s="2"/>
    </row>
    <row r="4" spans="1:4" ht="78.75" customHeight="1" thickBot="1">
      <c r="A4" s="121" t="s">
        <v>5</v>
      </c>
      <c r="B4" s="112" t="s">
        <v>21</v>
      </c>
      <c r="C4" s="142" t="s">
        <v>161</v>
      </c>
      <c r="D4" s="142" t="s">
        <v>162</v>
      </c>
    </row>
    <row r="5" spans="1:4" s="6" customFormat="1" ht="60.75" customHeight="1">
      <c r="A5" s="123"/>
      <c r="B5" s="112"/>
      <c r="C5" s="114" t="s">
        <v>94</v>
      </c>
      <c r="D5" s="114" t="s">
        <v>94</v>
      </c>
    </row>
    <row r="6" spans="1:4" ht="15.75">
      <c r="A6" s="128" t="s">
        <v>54</v>
      </c>
      <c r="C6" s="108" t="s">
        <v>95</v>
      </c>
      <c r="D6" s="108" t="s">
        <v>95</v>
      </c>
    </row>
    <row r="7" spans="1:4" ht="15.75">
      <c r="A7" s="128" t="s">
        <v>97</v>
      </c>
      <c r="C7" s="108" t="s">
        <v>95</v>
      </c>
      <c r="D7" s="115" t="s">
        <v>56</v>
      </c>
    </row>
    <row r="8" spans="1:4" ht="15.75">
      <c r="A8" s="128" t="s">
        <v>57</v>
      </c>
      <c r="C8" s="108" t="s">
        <v>95</v>
      </c>
      <c r="D8" s="108" t="s">
        <v>95</v>
      </c>
    </row>
    <row r="9" spans="1:4" ht="15.75">
      <c r="A9" s="129" t="s">
        <v>58</v>
      </c>
      <c r="C9" s="108" t="s">
        <v>95</v>
      </c>
      <c r="D9" s="115" t="s">
        <v>99</v>
      </c>
    </row>
    <row r="10" spans="1:4" ht="15.75">
      <c r="A10" s="128" t="s">
        <v>28</v>
      </c>
      <c r="C10" s="108" t="s">
        <v>95</v>
      </c>
      <c r="D10" s="108" t="s">
        <v>95</v>
      </c>
    </row>
    <row r="11" spans="1:4" ht="15.75">
      <c r="A11" s="128" t="s">
        <v>59</v>
      </c>
      <c r="C11" s="108" t="s">
        <v>95</v>
      </c>
      <c r="D11" s="108" t="s">
        <v>95</v>
      </c>
    </row>
    <row r="12" spans="1:4" ht="15.75">
      <c r="A12" s="128" t="s">
        <v>22</v>
      </c>
      <c r="C12" s="108" t="s">
        <v>95</v>
      </c>
      <c r="D12" s="108" t="s">
        <v>95</v>
      </c>
    </row>
    <row r="13" spans="1:4" ht="15.75">
      <c r="A13" s="128" t="s">
        <v>23</v>
      </c>
      <c r="B13" s="141"/>
      <c r="C13" s="115" t="s">
        <v>56</v>
      </c>
      <c r="D13" s="115" t="s">
        <v>56</v>
      </c>
    </row>
    <row r="14" spans="1:4" ht="15.75">
      <c r="A14" s="128" t="s">
        <v>24</v>
      </c>
      <c r="C14" s="108" t="s">
        <v>95</v>
      </c>
      <c r="D14" s="108" t="s">
        <v>95</v>
      </c>
    </row>
    <row r="15" spans="1:4" ht="15.75">
      <c r="A15" s="128" t="s">
        <v>60</v>
      </c>
      <c r="C15" s="108" t="s">
        <v>95</v>
      </c>
      <c r="D15" s="108" t="s">
        <v>95</v>
      </c>
    </row>
    <row r="16" spans="1:4" ht="15.75">
      <c r="A16" s="128" t="s">
        <v>61</v>
      </c>
      <c r="C16" s="108" t="s">
        <v>95</v>
      </c>
      <c r="D16" s="108" t="s">
        <v>95</v>
      </c>
    </row>
    <row r="17" spans="1:4" ht="15.75">
      <c r="A17" s="128" t="s">
        <v>62</v>
      </c>
      <c r="C17" s="108" t="s">
        <v>95</v>
      </c>
      <c r="D17" s="108" t="s">
        <v>95</v>
      </c>
    </row>
    <row r="18" spans="1:4" ht="15.75">
      <c r="A18" s="128" t="s">
        <v>25</v>
      </c>
      <c r="C18" s="108" t="s">
        <v>95</v>
      </c>
      <c r="D18" s="108" t="s">
        <v>95</v>
      </c>
    </row>
    <row r="19" spans="1:4" ht="15.75">
      <c r="A19" s="128" t="s">
        <v>63</v>
      </c>
      <c r="C19" s="108" t="s">
        <v>95</v>
      </c>
      <c r="D19" s="108" t="s">
        <v>95</v>
      </c>
    </row>
    <row r="20" spans="1:4" ht="15.75">
      <c r="A20" s="128" t="s">
        <v>98</v>
      </c>
      <c r="C20" s="108" t="s">
        <v>95</v>
      </c>
      <c r="D20" s="108" t="s">
        <v>95</v>
      </c>
    </row>
    <row r="21" spans="1:4" ht="15.75">
      <c r="A21" s="128" t="s">
        <v>26</v>
      </c>
      <c r="C21" s="108" t="s">
        <v>95</v>
      </c>
      <c r="D21" s="108" t="s">
        <v>95</v>
      </c>
    </row>
    <row r="22" spans="1:4" ht="15.75">
      <c r="A22" s="128" t="s">
        <v>64</v>
      </c>
      <c r="C22" s="108" t="s">
        <v>95</v>
      </c>
      <c r="D22" s="108" t="s">
        <v>95</v>
      </c>
    </row>
    <row r="23" spans="1:4" ht="15.75">
      <c r="A23" s="128" t="s">
        <v>101</v>
      </c>
      <c r="C23" s="108" t="s">
        <v>95</v>
      </c>
      <c r="D23" s="108" t="s">
        <v>95</v>
      </c>
    </row>
    <row r="24" spans="1:4" ht="15.75">
      <c r="A24" s="128" t="s">
        <v>52</v>
      </c>
      <c r="C24" s="108" t="s">
        <v>95</v>
      </c>
      <c r="D24" s="108" t="s">
        <v>95</v>
      </c>
    </row>
    <row r="25" spans="1:4" ht="15.75">
      <c r="A25" s="128" t="s">
        <v>65</v>
      </c>
      <c r="C25" s="108" t="s">
        <v>95</v>
      </c>
      <c r="D25" s="108" t="s">
        <v>95</v>
      </c>
    </row>
    <row r="26" spans="1:4" ht="15.75">
      <c r="A26" s="128" t="s">
        <v>66</v>
      </c>
      <c r="C26" s="108" t="s">
        <v>95</v>
      </c>
      <c r="D26" s="108" t="s">
        <v>95</v>
      </c>
    </row>
    <row r="27" spans="1:4">
      <c r="C27" s="108" t="s">
        <v>95</v>
      </c>
      <c r="D27" s="108" t="s">
        <v>95</v>
      </c>
    </row>
    <row r="28" spans="1:4" ht="15.75">
      <c r="A28" s="15" t="s">
        <v>18</v>
      </c>
      <c r="B28" s="16">
        <f>COUNTIF(B6:B26,"sim")</f>
        <v>0</v>
      </c>
      <c r="C28" s="104">
        <f t="shared" ref="C28:D28" si="0">COUNTIF(C6:C26,"sim")</f>
        <v>20</v>
      </c>
      <c r="D28" s="104">
        <f t="shared" si="0"/>
        <v>18</v>
      </c>
    </row>
    <row r="29" spans="1:4" ht="15.75">
      <c r="A29" s="17" t="s">
        <v>19</v>
      </c>
      <c r="B29" s="18">
        <f>COUNTIF(B6:B26,"não")</f>
        <v>0</v>
      </c>
      <c r="C29" s="105">
        <f t="shared" ref="C29:D29" si="1">COUNTIF(C6:C26,"não")</f>
        <v>0</v>
      </c>
      <c r="D29" s="105">
        <f t="shared" si="1"/>
        <v>0</v>
      </c>
    </row>
    <row r="30" spans="1:4" ht="15.75">
      <c r="A30" s="14" t="s">
        <v>11</v>
      </c>
      <c r="B30">
        <f>COUNTIF(B6:B26,"ausente")</f>
        <v>0</v>
      </c>
      <c r="C30" s="40">
        <f t="shared" ref="C30:D30" si="2">COUNTIF(C6:C26,"ausente")</f>
        <v>1</v>
      </c>
      <c r="D30" s="40">
        <f t="shared" si="2"/>
        <v>2</v>
      </c>
    </row>
    <row r="31" spans="1:4" ht="15.75">
      <c r="A31" s="19" t="s">
        <v>20</v>
      </c>
      <c r="B31" s="20">
        <f>COUNTIF(B6:B26,"abstenção")</f>
        <v>0</v>
      </c>
      <c r="C31" s="106">
        <f t="shared" ref="C31:D31" si="3">COUNTIF(C6:C26,"abstenção")</f>
        <v>0</v>
      </c>
      <c r="D31" s="106">
        <f t="shared" si="3"/>
        <v>0</v>
      </c>
    </row>
    <row r="34" spans="1:1" ht="24.75">
      <c r="A34" s="1" t="s">
        <v>0</v>
      </c>
    </row>
    <row r="35" spans="1:1" ht="72.75">
      <c r="A35" s="1" t="s">
        <v>1</v>
      </c>
    </row>
    <row r="36" spans="1:1" ht="48.75">
      <c r="A36" s="1" t="s">
        <v>2</v>
      </c>
    </row>
    <row r="37" spans="1:1" ht="36.75">
      <c r="A37" s="1" t="s">
        <v>3</v>
      </c>
    </row>
    <row r="38" spans="1:1" ht="72.75">
      <c r="A38" s="1" t="s">
        <v>4</v>
      </c>
    </row>
  </sheetData>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Planilha6"/>
  <dimension ref="A1:I38"/>
  <sheetViews>
    <sheetView workbookViewId="0">
      <selection activeCell="A3" sqref="A3"/>
    </sheetView>
  </sheetViews>
  <sheetFormatPr defaultRowHeight="15"/>
  <cols>
    <col min="1" max="1" width="46.85546875" customWidth="1"/>
    <col min="2" max="2" width="22" customWidth="1"/>
    <col min="3" max="3" width="21.7109375" style="23" customWidth="1"/>
    <col min="4" max="4" width="17.42578125" style="23" customWidth="1"/>
    <col min="5" max="5" width="17.85546875" style="23" customWidth="1"/>
    <col min="6" max="6" width="17.5703125" style="23" customWidth="1"/>
    <col min="7" max="7" width="16" style="23" customWidth="1"/>
    <col min="8" max="8" width="17.28515625" style="23" customWidth="1"/>
    <col min="9" max="9" width="15.5703125" customWidth="1"/>
    <col min="10" max="10" width="18.28515625" customWidth="1"/>
  </cols>
  <sheetData>
    <row r="1" spans="1:9">
      <c r="A1" s="77" t="s">
        <v>8</v>
      </c>
      <c r="B1" s="2"/>
      <c r="C1" s="54"/>
      <c r="D1" s="54"/>
      <c r="E1" s="54"/>
    </row>
    <row r="2" spans="1:9">
      <c r="A2" s="77" t="s">
        <v>113</v>
      </c>
      <c r="B2" s="2"/>
      <c r="C2" s="54"/>
      <c r="D2" s="54"/>
      <c r="E2" s="54"/>
    </row>
    <row r="3" spans="1:9" ht="15.75" thickBot="1">
      <c r="A3" s="122" t="s">
        <v>114</v>
      </c>
      <c r="B3" s="2"/>
      <c r="C3" s="54"/>
      <c r="D3" s="54"/>
      <c r="E3" s="54"/>
    </row>
    <row r="4" spans="1:9" ht="78" customHeight="1" thickBot="1">
      <c r="A4" s="121" t="s">
        <v>5</v>
      </c>
      <c r="B4" s="124" t="s">
        <v>32</v>
      </c>
      <c r="C4" s="132" t="s">
        <v>40</v>
      </c>
      <c r="D4" s="132" t="s">
        <v>39</v>
      </c>
      <c r="E4" s="132" t="s">
        <v>41</v>
      </c>
      <c r="F4" s="132" t="s">
        <v>42</v>
      </c>
      <c r="G4" s="132" t="s">
        <v>43</v>
      </c>
      <c r="H4" s="132" t="s">
        <v>44</v>
      </c>
      <c r="I4" s="132" t="s">
        <v>67</v>
      </c>
    </row>
    <row r="5" spans="1:9" ht="60.75" customHeight="1">
      <c r="A5" s="48"/>
      <c r="B5" s="10"/>
      <c r="C5" s="133"/>
      <c r="D5" s="132"/>
      <c r="E5" s="132"/>
      <c r="F5" s="134"/>
      <c r="G5" s="135"/>
      <c r="H5" s="135"/>
      <c r="I5" s="40"/>
    </row>
    <row r="6" spans="1:9" ht="18">
      <c r="A6" s="130" t="s">
        <v>54</v>
      </c>
      <c r="C6" s="135"/>
      <c r="D6" s="135"/>
      <c r="E6" s="135"/>
      <c r="F6" s="135"/>
      <c r="G6" s="135"/>
      <c r="H6" s="135"/>
      <c r="I6" s="40"/>
    </row>
    <row r="7" spans="1:9" ht="18">
      <c r="A7" s="130" t="s">
        <v>97</v>
      </c>
      <c r="C7" s="135"/>
      <c r="D7" s="135"/>
      <c r="E7" s="135"/>
      <c r="F7" s="135"/>
      <c r="G7" s="135"/>
      <c r="H7" s="135"/>
      <c r="I7" s="40"/>
    </row>
    <row r="8" spans="1:9" ht="18">
      <c r="A8" s="130" t="s">
        <v>57</v>
      </c>
      <c r="C8" s="135"/>
      <c r="D8" s="135"/>
      <c r="E8" s="135"/>
      <c r="F8" s="135"/>
      <c r="G8" s="135"/>
      <c r="H8" s="135"/>
      <c r="I8" s="40"/>
    </row>
    <row r="9" spans="1:9" ht="18">
      <c r="A9" s="131" t="s">
        <v>58</v>
      </c>
      <c r="C9" s="135"/>
      <c r="D9" s="135"/>
      <c r="E9" s="135"/>
      <c r="F9" s="135"/>
      <c r="G9" s="135"/>
      <c r="H9" s="135"/>
      <c r="I9" s="40"/>
    </row>
    <row r="10" spans="1:9" ht="18">
      <c r="A10" s="130" t="s">
        <v>28</v>
      </c>
      <c r="C10" s="135"/>
      <c r="D10" s="135"/>
      <c r="E10" s="135"/>
      <c r="F10" s="135"/>
      <c r="G10" s="135"/>
      <c r="H10" s="135"/>
      <c r="I10" s="40"/>
    </row>
    <row r="11" spans="1:9" ht="18">
      <c r="A11" s="130" t="s">
        <v>59</v>
      </c>
      <c r="C11" s="135"/>
      <c r="D11" s="135"/>
      <c r="E11" s="135"/>
      <c r="F11" s="135"/>
      <c r="G11" s="135"/>
      <c r="H11" s="135"/>
      <c r="I11" s="40"/>
    </row>
    <row r="12" spans="1:9" ht="18">
      <c r="A12" s="130" t="s">
        <v>22</v>
      </c>
      <c r="C12" s="135"/>
      <c r="D12" s="135"/>
      <c r="E12" s="135"/>
      <c r="F12" s="135"/>
      <c r="G12" s="135"/>
      <c r="H12" s="135"/>
      <c r="I12" s="40"/>
    </row>
    <row r="13" spans="1:9" ht="18">
      <c r="A13" s="130" t="s">
        <v>23</v>
      </c>
      <c r="C13" s="135"/>
      <c r="D13" s="135"/>
      <c r="E13" s="135"/>
      <c r="F13" s="135"/>
      <c r="G13" s="135"/>
      <c r="H13" s="135"/>
      <c r="I13" s="40"/>
    </row>
    <row r="14" spans="1:9" ht="18">
      <c r="A14" s="130" t="s">
        <v>24</v>
      </c>
      <c r="C14" s="135"/>
      <c r="D14" s="135"/>
      <c r="E14" s="135"/>
      <c r="F14" s="135"/>
      <c r="G14" s="135"/>
      <c r="H14" s="135"/>
      <c r="I14" s="40"/>
    </row>
    <row r="15" spans="1:9" ht="18">
      <c r="A15" s="130" t="s">
        <v>60</v>
      </c>
      <c r="C15" s="135"/>
      <c r="D15" s="135"/>
      <c r="E15" s="135"/>
      <c r="F15" s="135"/>
      <c r="G15" s="135"/>
      <c r="H15" s="135"/>
      <c r="I15" s="40"/>
    </row>
    <row r="16" spans="1:9" ht="18">
      <c r="A16" s="130" t="s">
        <v>61</v>
      </c>
      <c r="C16" s="135"/>
      <c r="D16" s="135"/>
      <c r="E16" s="135"/>
      <c r="F16" s="135"/>
      <c r="G16" s="135"/>
      <c r="H16" s="135"/>
      <c r="I16" s="40"/>
    </row>
    <row r="17" spans="1:9" ht="18">
      <c r="A17" s="130" t="s">
        <v>62</v>
      </c>
      <c r="C17" s="135"/>
      <c r="D17" s="135"/>
      <c r="E17" s="135"/>
      <c r="F17" s="135"/>
      <c r="G17" s="135"/>
      <c r="H17" s="135"/>
      <c r="I17" s="40"/>
    </row>
    <row r="18" spans="1:9" ht="18">
      <c r="A18" s="130" t="s">
        <v>25</v>
      </c>
      <c r="C18" s="135"/>
      <c r="D18" s="135"/>
      <c r="E18" s="135"/>
      <c r="F18" s="135"/>
      <c r="G18" s="135"/>
      <c r="H18" s="135"/>
      <c r="I18" s="40"/>
    </row>
    <row r="19" spans="1:9" ht="18">
      <c r="A19" s="130" t="s">
        <v>63</v>
      </c>
      <c r="C19" s="135"/>
      <c r="D19" s="135"/>
      <c r="E19" s="135"/>
      <c r="F19" s="135"/>
      <c r="G19" s="135"/>
      <c r="H19" s="135"/>
      <c r="I19" s="40"/>
    </row>
    <row r="20" spans="1:9" ht="18">
      <c r="A20" s="130" t="s">
        <v>98</v>
      </c>
      <c r="C20" s="135"/>
      <c r="D20" s="135"/>
      <c r="E20" s="135"/>
      <c r="F20" s="135"/>
      <c r="G20" s="135"/>
      <c r="H20" s="135"/>
      <c r="I20" s="40"/>
    </row>
    <row r="21" spans="1:9" ht="18">
      <c r="A21" s="130" t="s">
        <v>26</v>
      </c>
      <c r="C21" s="135"/>
      <c r="D21" s="135"/>
      <c r="E21" s="135"/>
      <c r="F21" s="135"/>
      <c r="G21" s="135"/>
      <c r="H21" s="135"/>
      <c r="I21" s="40"/>
    </row>
    <row r="22" spans="1:9" ht="18">
      <c r="A22" s="130" t="s">
        <v>64</v>
      </c>
      <c r="C22" s="135"/>
      <c r="D22" s="135"/>
      <c r="E22" s="135"/>
      <c r="F22" s="135"/>
      <c r="G22" s="135"/>
      <c r="H22" s="135"/>
      <c r="I22" s="40"/>
    </row>
    <row r="23" spans="1:9" ht="18">
      <c r="A23" s="130" t="s">
        <v>101</v>
      </c>
      <c r="C23" s="135"/>
      <c r="D23" s="135"/>
      <c r="E23" s="135"/>
      <c r="F23" s="135"/>
      <c r="G23" s="135"/>
      <c r="H23" s="135"/>
      <c r="I23" s="40"/>
    </row>
    <row r="24" spans="1:9" ht="18">
      <c r="A24" s="130" t="s">
        <v>52</v>
      </c>
      <c r="C24" s="135"/>
      <c r="D24" s="135"/>
      <c r="E24" s="135"/>
      <c r="F24" s="135"/>
      <c r="G24" s="135"/>
      <c r="H24" s="135"/>
      <c r="I24" s="40"/>
    </row>
    <row r="25" spans="1:9" ht="18">
      <c r="A25" s="130" t="s">
        <v>65</v>
      </c>
      <c r="C25" s="135"/>
      <c r="D25" s="135"/>
      <c r="E25" s="135"/>
      <c r="F25" s="135"/>
      <c r="G25" s="135"/>
      <c r="H25" s="135"/>
      <c r="I25" s="40"/>
    </row>
    <row r="26" spans="1:9" ht="18">
      <c r="A26" s="130" t="s">
        <v>66</v>
      </c>
      <c r="C26" s="135"/>
      <c r="D26" s="135"/>
      <c r="E26" s="135"/>
      <c r="F26" s="135"/>
      <c r="G26" s="135"/>
      <c r="H26" s="135"/>
      <c r="I26" s="40"/>
    </row>
    <row r="27" spans="1:9">
      <c r="C27" s="135"/>
      <c r="D27" s="135"/>
      <c r="E27" s="135"/>
      <c r="F27" s="135"/>
      <c r="G27" s="135"/>
      <c r="H27" s="135"/>
      <c r="I27" s="40"/>
    </row>
    <row r="28" spans="1:9" ht="15.75">
      <c r="A28" s="15" t="s">
        <v>18</v>
      </c>
      <c r="B28" s="16"/>
      <c r="C28" s="136">
        <f t="shared" ref="C28:I28" si="0">COUNTIF(C6:C26,"sim")</f>
        <v>0</v>
      </c>
      <c r="D28" s="136">
        <f t="shared" si="0"/>
        <v>0</v>
      </c>
      <c r="E28" s="136">
        <f t="shared" si="0"/>
        <v>0</v>
      </c>
      <c r="F28" s="136">
        <f t="shared" si="0"/>
        <v>0</v>
      </c>
      <c r="G28" s="136">
        <f t="shared" si="0"/>
        <v>0</v>
      </c>
      <c r="H28" s="136">
        <f t="shared" si="0"/>
        <v>0</v>
      </c>
      <c r="I28" s="136">
        <f t="shared" si="0"/>
        <v>0</v>
      </c>
    </row>
    <row r="29" spans="1:9" ht="15.75">
      <c r="A29" s="17" t="s">
        <v>19</v>
      </c>
      <c r="B29" s="18"/>
      <c r="C29" s="137">
        <f t="shared" ref="C29:I29" si="1">COUNTIF(C6:C26,"não")</f>
        <v>0</v>
      </c>
      <c r="D29" s="137">
        <f t="shared" si="1"/>
        <v>0</v>
      </c>
      <c r="E29" s="137">
        <f t="shared" si="1"/>
        <v>0</v>
      </c>
      <c r="F29" s="137">
        <f t="shared" si="1"/>
        <v>0</v>
      </c>
      <c r="G29" s="137">
        <f t="shared" si="1"/>
        <v>0</v>
      </c>
      <c r="H29" s="137">
        <f t="shared" si="1"/>
        <v>0</v>
      </c>
      <c r="I29" s="137">
        <f t="shared" si="1"/>
        <v>0</v>
      </c>
    </row>
    <row r="30" spans="1:9" ht="15.75">
      <c r="A30" s="14" t="s">
        <v>11</v>
      </c>
      <c r="C30" s="135">
        <f t="shared" ref="C30:I30" si="2">COUNTIF(C6:C26,"ausente")</f>
        <v>0</v>
      </c>
      <c r="D30" s="135">
        <f t="shared" si="2"/>
        <v>0</v>
      </c>
      <c r="E30" s="135">
        <f t="shared" si="2"/>
        <v>0</v>
      </c>
      <c r="F30" s="135">
        <f t="shared" si="2"/>
        <v>0</v>
      </c>
      <c r="G30" s="135">
        <f t="shared" si="2"/>
        <v>0</v>
      </c>
      <c r="H30" s="135">
        <f t="shared" si="2"/>
        <v>0</v>
      </c>
      <c r="I30" s="135">
        <f t="shared" si="2"/>
        <v>0</v>
      </c>
    </row>
    <row r="31" spans="1:9" ht="15.75">
      <c r="A31" s="19" t="s">
        <v>20</v>
      </c>
      <c r="B31" s="20"/>
      <c r="C31" s="138">
        <f t="shared" ref="C31:I31" si="3">COUNTIF(C6:C26,"abstenção")</f>
        <v>0</v>
      </c>
      <c r="D31" s="138">
        <f t="shared" si="3"/>
        <v>0</v>
      </c>
      <c r="E31" s="138">
        <f t="shared" si="3"/>
        <v>0</v>
      </c>
      <c r="F31" s="138">
        <f t="shared" si="3"/>
        <v>0</v>
      </c>
      <c r="G31" s="138">
        <f t="shared" si="3"/>
        <v>0</v>
      </c>
      <c r="H31" s="138">
        <f t="shared" si="3"/>
        <v>0</v>
      </c>
      <c r="I31" s="138">
        <f t="shared" si="3"/>
        <v>0</v>
      </c>
    </row>
    <row r="34" spans="1:1" ht="24.75">
      <c r="A34" s="1" t="s">
        <v>0</v>
      </c>
    </row>
    <row r="35" spans="1:1" ht="72.75">
      <c r="A35" s="1" t="s">
        <v>1</v>
      </c>
    </row>
    <row r="36" spans="1:1" ht="48.75">
      <c r="A36" s="1" t="s">
        <v>2</v>
      </c>
    </row>
    <row r="37" spans="1:1" ht="36.75">
      <c r="A37" s="1" t="s">
        <v>3</v>
      </c>
    </row>
    <row r="38" spans="1:1" ht="84.75">
      <c r="A38" s="1" t="s">
        <v>4</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Planilha7"/>
  <dimension ref="A1:Y37"/>
  <sheetViews>
    <sheetView zoomScale="90" zoomScaleNormal="90" workbookViewId="0">
      <selection activeCell="B12" sqref="B12"/>
    </sheetView>
  </sheetViews>
  <sheetFormatPr defaultRowHeight="15"/>
  <cols>
    <col min="1" max="1" width="46.85546875" customWidth="1"/>
    <col min="2" max="2" width="25.28515625" customWidth="1"/>
    <col min="3" max="3" width="21.140625" customWidth="1"/>
    <col min="4" max="4" width="23.5703125" customWidth="1"/>
    <col min="5" max="5" width="22" customWidth="1"/>
    <col min="6" max="6" width="22.140625" customWidth="1"/>
    <col min="7" max="7" width="22.7109375" customWidth="1"/>
    <col min="8" max="8" width="21" customWidth="1"/>
    <col min="9" max="25" width="24.5703125" customWidth="1"/>
  </cols>
  <sheetData>
    <row r="1" spans="1:25">
      <c r="A1" s="77" t="s">
        <v>8</v>
      </c>
      <c r="B1" s="2"/>
    </row>
    <row r="2" spans="1:25">
      <c r="A2" s="77" t="s">
        <v>113</v>
      </c>
      <c r="B2" s="2"/>
    </row>
    <row r="3" spans="1:25">
      <c r="A3" s="77" t="s">
        <v>114</v>
      </c>
      <c r="B3" s="2"/>
    </row>
    <row r="4" spans="1:25" ht="60.75" customHeight="1" thickBot="1">
      <c r="A4" s="52" t="s">
        <v>5</v>
      </c>
      <c r="B4" s="111" t="s">
        <v>33</v>
      </c>
      <c r="C4" s="107" t="s">
        <v>38</v>
      </c>
      <c r="D4" s="107" t="s">
        <v>68</v>
      </c>
      <c r="E4" s="107" t="s">
        <v>69</v>
      </c>
      <c r="F4" s="107" t="s">
        <v>70</v>
      </c>
      <c r="G4" s="107" t="s">
        <v>71</v>
      </c>
      <c r="H4" s="107" t="s">
        <v>72</v>
      </c>
      <c r="I4" s="107" t="s">
        <v>73</v>
      </c>
      <c r="J4" s="107" t="s">
        <v>74</v>
      </c>
      <c r="K4" s="107" t="s">
        <v>75</v>
      </c>
      <c r="L4" s="107" t="s">
        <v>76</v>
      </c>
      <c r="M4" s="107" t="s">
        <v>77</v>
      </c>
      <c r="N4" s="107" t="s">
        <v>78</v>
      </c>
      <c r="O4" s="107" t="s">
        <v>79</v>
      </c>
      <c r="P4" s="107" t="s">
        <v>80</v>
      </c>
      <c r="Q4" s="107" t="s">
        <v>81</v>
      </c>
      <c r="R4" s="107" t="s">
        <v>82</v>
      </c>
      <c r="S4" s="107" t="s">
        <v>83</v>
      </c>
      <c r="T4" s="107" t="s">
        <v>84</v>
      </c>
      <c r="U4" s="107" t="s">
        <v>85</v>
      </c>
      <c r="V4" s="107" t="s">
        <v>86</v>
      </c>
      <c r="W4" s="107" t="s">
        <v>87</v>
      </c>
      <c r="X4" s="107" t="s">
        <v>88</v>
      </c>
      <c r="Y4" s="107" t="s">
        <v>89</v>
      </c>
    </row>
    <row r="5" spans="1:25" ht="60.75" customHeight="1">
      <c r="A5" s="48"/>
      <c r="B5" s="11"/>
      <c r="C5" s="139"/>
      <c r="D5" s="40"/>
      <c r="E5" s="40"/>
      <c r="F5" s="40"/>
      <c r="G5" s="40"/>
      <c r="H5" s="40"/>
      <c r="I5" s="40"/>
      <c r="J5" s="40"/>
      <c r="K5" s="40"/>
      <c r="L5" s="40"/>
      <c r="M5" s="40"/>
      <c r="N5" s="40"/>
      <c r="O5" s="40"/>
      <c r="P5" s="40"/>
      <c r="Q5" s="40"/>
      <c r="R5" s="40"/>
      <c r="S5" s="40"/>
      <c r="T5" s="40"/>
      <c r="U5" s="40"/>
      <c r="V5" s="40"/>
      <c r="W5" s="40"/>
      <c r="X5" s="40"/>
      <c r="Y5" s="40"/>
    </row>
    <row r="6" spans="1:25" ht="15.75">
      <c r="A6" s="128" t="s">
        <v>54</v>
      </c>
    </row>
    <row r="7" spans="1:25" ht="15.75">
      <c r="A7" s="128" t="s">
        <v>97</v>
      </c>
    </row>
    <row r="8" spans="1:25" ht="15.75">
      <c r="A8" s="128" t="s">
        <v>57</v>
      </c>
    </row>
    <row r="9" spans="1:25" ht="15.75">
      <c r="A9" s="129" t="s">
        <v>58</v>
      </c>
    </row>
    <row r="10" spans="1:25" ht="15.75">
      <c r="A10" s="128" t="s">
        <v>28</v>
      </c>
    </row>
    <row r="11" spans="1:25" ht="15.75">
      <c r="A11" s="128" t="s">
        <v>59</v>
      </c>
    </row>
    <row r="12" spans="1:25" ht="15.75">
      <c r="A12" s="128" t="s">
        <v>22</v>
      </c>
    </row>
    <row r="13" spans="1:25" ht="15.75">
      <c r="A13" s="128" t="s">
        <v>23</v>
      </c>
    </row>
    <row r="14" spans="1:25" ht="15.75">
      <c r="A14" s="128" t="s">
        <v>24</v>
      </c>
    </row>
    <row r="15" spans="1:25" ht="15.75">
      <c r="A15" s="128" t="s">
        <v>60</v>
      </c>
    </row>
    <row r="16" spans="1:25" ht="15.75">
      <c r="A16" s="128" t="s">
        <v>61</v>
      </c>
    </row>
    <row r="17" spans="1:25" ht="15.75">
      <c r="A17" s="128" t="s">
        <v>62</v>
      </c>
    </row>
    <row r="18" spans="1:25" ht="15.75">
      <c r="A18" s="128" t="s">
        <v>25</v>
      </c>
    </row>
    <row r="19" spans="1:25" ht="15.75">
      <c r="A19" s="128" t="s">
        <v>63</v>
      </c>
    </row>
    <row r="20" spans="1:25" ht="15.75">
      <c r="A20" s="128" t="s">
        <v>98</v>
      </c>
    </row>
    <row r="21" spans="1:25" ht="15.75">
      <c r="A21" s="128" t="s">
        <v>26</v>
      </c>
    </row>
    <row r="22" spans="1:25" ht="15.75">
      <c r="A22" s="128" t="s">
        <v>64</v>
      </c>
    </row>
    <row r="23" spans="1:25" ht="15.75">
      <c r="A23" s="128" t="s">
        <v>101</v>
      </c>
    </row>
    <row r="24" spans="1:25" ht="15.75">
      <c r="A24" s="128" t="s">
        <v>52</v>
      </c>
    </row>
    <row r="25" spans="1:25" ht="15.75">
      <c r="A25" s="128" t="s">
        <v>65</v>
      </c>
    </row>
    <row r="26" spans="1:25" ht="15.75">
      <c r="A26" s="128" t="s">
        <v>66</v>
      </c>
    </row>
    <row r="27" spans="1:25" ht="15.75">
      <c r="A27" s="15" t="s">
        <v>18</v>
      </c>
      <c r="B27" s="16">
        <f t="shared" ref="B27:I27" si="0">COUNTIF(B6:B25,"sim")</f>
        <v>0</v>
      </c>
      <c r="C27" s="16">
        <f t="shared" si="0"/>
        <v>0</v>
      </c>
      <c r="D27" s="16">
        <f t="shared" si="0"/>
        <v>0</v>
      </c>
      <c r="E27" s="16">
        <f t="shared" si="0"/>
        <v>0</v>
      </c>
      <c r="F27" s="16">
        <f t="shared" si="0"/>
        <v>0</v>
      </c>
      <c r="G27" s="16">
        <f t="shared" si="0"/>
        <v>0</v>
      </c>
      <c r="H27" s="16">
        <f t="shared" si="0"/>
        <v>0</v>
      </c>
      <c r="I27" s="16">
        <f t="shared" si="0"/>
        <v>0</v>
      </c>
      <c r="J27" s="16">
        <f t="shared" ref="J27:Y27" si="1">COUNTIF(J6:J25,"sim")</f>
        <v>0</v>
      </c>
      <c r="K27" s="16">
        <f t="shared" si="1"/>
        <v>0</v>
      </c>
      <c r="L27" s="16">
        <f t="shared" si="1"/>
        <v>0</v>
      </c>
      <c r="M27" s="16">
        <f t="shared" si="1"/>
        <v>0</v>
      </c>
      <c r="N27" s="16">
        <f t="shared" si="1"/>
        <v>0</v>
      </c>
      <c r="O27" s="16">
        <f t="shared" si="1"/>
        <v>0</v>
      </c>
      <c r="P27" s="16">
        <f t="shared" si="1"/>
        <v>0</v>
      </c>
      <c r="Q27" s="16">
        <f t="shared" si="1"/>
        <v>0</v>
      </c>
      <c r="R27" s="16">
        <f t="shared" si="1"/>
        <v>0</v>
      </c>
      <c r="S27" s="16">
        <f t="shared" si="1"/>
        <v>0</v>
      </c>
      <c r="T27" s="16">
        <f t="shared" si="1"/>
        <v>0</v>
      </c>
      <c r="U27" s="16">
        <f t="shared" si="1"/>
        <v>0</v>
      </c>
      <c r="V27" s="16">
        <f t="shared" si="1"/>
        <v>0</v>
      </c>
      <c r="W27" s="16">
        <f t="shared" si="1"/>
        <v>0</v>
      </c>
      <c r="X27" s="16">
        <f t="shared" si="1"/>
        <v>0</v>
      </c>
      <c r="Y27" s="16">
        <f t="shared" si="1"/>
        <v>0</v>
      </c>
    </row>
    <row r="28" spans="1:25" ht="15.75">
      <c r="A28" s="17" t="s">
        <v>19</v>
      </c>
      <c r="B28" s="18">
        <f t="shared" ref="B28:I28" si="2">COUNTIF(B6:B25,"não")</f>
        <v>0</v>
      </c>
      <c r="C28" s="18">
        <f t="shared" si="2"/>
        <v>0</v>
      </c>
      <c r="D28" s="18">
        <f t="shared" si="2"/>
        <v>0</v>
      </c>
      <c r="E28" s="18">
        <f t="shared" si="2"/>
        <v>0</v>
      </c>
      <c r="F28" s="18">
        <f t="shared" si="2"/>
        <v>0</v>
      </c>
      <c r="G28" s="18">
        <f t="shared" si="2"/>
        <v>0</v>
      </c>
      <c r="H28" s="18">
        <f t="shared" si="2"/>
        <v>0</v>
      </c>
      <c r="I28" s="18">
        <f t="shared" si="2"/>
        <v>0</v>
      </c>
      <c r="J28" s="18">
        <f t="shared" ref="J28:Y28" si="3">COUNTIF(J6:J25,"não")</f>
        <v>0</v>
      </c>
      <c r="K28" s="18">
        <f t="shared" si="3"/>
        <v>0</v>
      </c>
      <c r="L28" s="18">
        <f t="shared" si="3"/>
        <v>0</v>
      </c>
      <c r="M28" s="18">
        <f t="shared" si="3"/>
        <v>0</v>
      </c>
      <c r="N28" s="18">
        <f t="shared" si="3"/>
        <v>0</v>
      </c>
      <c r="O28" s="18">
        <f t="shared" si="3"/>
        <v>0</v>
      </c>
      <c r="P28" s="18">
        <f t="shared" si="3"/>
        <v>0</v>
      </c>
      <c r="Q28" s="18">
        <f t="shared" si="3"/>
        <v>0</v>
      </c>
      <c r="R28" s="18">
        <f t="shared" si="3"/>
        <v>0</v>
      </c>
      <c r="S28" s="18">
        <f t="shared" si="3"/>
        <v>0</v>
      </c>
      <c r="T28" s="18">
        <f t="shared" si="3"/>
        <v>0</v>
      </c>
      <c r="U28" s="18">
        <f t="shared" si="3"/>
        <v>0</v>
      </c>
      <c r="V28" s="18">
        <f t="shared" si="3"/>
        <v>0</v>
      </c>
      <c r="W28" s="18">
        <f t="shared" si="3"/>
        <v>0</v>
      </c>
      <c r="X28" s="18">
        <f t="shared" si="3"/>
        <v>0</v>
      </c>
      <c r="Y28" s="18">
        <f t="shared" si="3"/>
        <v>0</v>
      </c>
    </row>
    <row r="29" spans="1:25" ht="15.75">
      <c r="A29" s="14" t="s">
        <v>11</v>
      </c>
      <c r="B29">
        <f t="shared" ref="B29:I29" si="4">COUNTIF(B6:B25,"ausente")</f>
        <v>0</v>
      </c>
      <c r="C29">
        <f t="shared" si="4"/>
        <v>0</v>
      </c>
      <c r="D29">
        <f t="shared" si="4"/>
        <v>0</v>
      </c>
      <c r="E29">
        <f t="shared" si="4"/>
        <v>0</v>
      </c>
      <c r="F29">
        <f t="shared" si="4"/>
        <v>0</v>
      </c>
      <c r="G29">
        <f t="shared" si="4"/>
        <v>0</v>
      </c>
      <c r="H29">
        <f t="shared" si="4"/>
        <v>0</v>
      </c>
      <c r="I29">
        <f t="shared" si="4"/>
        <v>0</v>
      </c>
      <c r="J29">
        <f t="shared" ref="J29:Y29" si="5">COUNTIF(J6:J25,"ausente")</f>
        <v>0</v>
      </c>
      <c r="K29">
        <f t="shared" si="5"/>
        <v>0</v>
      </c>
      <c r="L29">
        <f t="shared" si="5"/>
        <v>0</v>
      </c>
      <c r="M29">
        <f t="shared" si="5"/>
        <v>0</v>
      </c>
      <c r="N29">
        <f t="shared" si="5"/>
        <v>0</v>
      </c>
      <c r="O29">
        <f t="shared" si="5"/>
        <v>0</v>
      </c>
      <c r="P29">
        <f t="shared" si="5"/>
        <v>0</v>
      </c>
      <c r="Q29">
        <f t="shared" si="5"/>
        <v>0</v>
      </c>
      <c r="R29">
        <f t="shared" si="5"/>
        <v>0</v>
      </c>
      <c r="S29">
        <f t="shared" si="5"/>
        <v>0</v>
      </c>
      <c r="T29">
        <f t="shared" si="5"/>
        <v>0</v>
      </c>
      <c r="U29">
        <f t="shared" si="5"/>
        <v>0</v>
      </c>
      <c r="V29">
        <f t="shared" si="5"/>
        <v>0</v>
      </c>
      <c r="W29">
        <f t="shared" si="5"/>
        <v>0</v>
      </c>
      <c r="X29">
        <f t="shared" si="5"/>
        <v>0</v>
      </c>
      <c r="Y29">
        <f t="shared" si="5"/>
        <v>0</v>
      </c>
    </row>
    <row r="30" spans="1:25" ht="15.75">
      <c r="A30" s="19" t="s">
        <v>20</v>
      </c>
      <c r="B30" s="20">
        <f t="shared" ref="B30:I30" si="6">COUNTIF(B6:B25,"abstenção")</f>
        <v>0</v>
      </c>
      <c r="C30" s="20">
        <f t="shared" si="6"/>
        <v>0</v>
      </c>
      <c r="D30" s="20">
        <f t="shared" si="6"/>
        <v>0</v>
      </c>
      <c r="E30" s="20">
        <f t="shared" si="6"/>
        <v>0</v>
      </c>
      <c r="F30" s="20">
        <f t="shared" si="6"/>
        <v>0</v>
      </c>
      <c r="G30" s="20">
        <f t="shared" si="6"/>
        <v>0</v>
      </c>
      <c r="H30" s="20">
        <f t="shared" si="6"/>
        <v>0</v>
      </c>
      <c r="I30" s="20">
        <f t="shared" si="6"/>
        <v>0</v>
      </c>
      <c r="J30" s="20">
        <f t="shared" ref="J30:Y30" si="7">COUNTIF(J6:J25,"abstenção")</f>
        <v>0</v>
      </c>
      <c r="K30" s="20">
        <f t="shared" si="7"/>
        <v>0</v>
      </c>
      <c r="L30" s="20">
        <f t="shared" si="7"/>
        <v>0</v>
      </c>
      <c r="M30" s="20">
        <f t="shared" si="7"/>
        <v>0</v>
      </c>
      <c r="N30" s="20">
        <f t="shared" si="7"/>
        <v>0</v>
      </c>
      <c r="O30" s="20">
        <f t="shared" si="7"/>
        <v>0</v>
      </c>
      <c r="P30" s="20">
        <f t="shared" si="7"/>
        <v>0</v>
      </c>
      <c r="Q30" s="20">
        <f t="shared" si="7"/>
        <v>0</v>
      </c>
      <c r="R30" s="20">
        <f t="shared" si="7"/>
        <v>0</v>
      </c>
      <c r="S30" s="20">
        <f t="shared" si="7"/>
        <v>0</v>
      </c>
      <c r="T30" s="20">
        <f t="shared" si="7"/>
        <v>0</v>
      </c>
      <c r="U30" s="20">
        <f t="shared" si="7"/>
        <v>0</v>
      </c>
      <c r="V30" s="20">
        <f t="shared" si="7"/>
        <v>0</v>
      </c>
      <c r="W30" s="20">
        <f t="shared" si="7"/>
        <v>0</v>
      </c>
      <c r="X30" s="20">
        <f t="shared" si="7"/>
        <v>0</v>
      </c>
      <c r="Y30" s="20">
        <f t="shared" si="7"/>
        <v>0</v>
      </c>
    </row>
    <row r="33" spans="1:1" ht="24.75">
      <c r="A33" s="1" t="s">
        <v>0</v>
      </c>
    </row>
    <row r="34" spans="1:1" ht="72.75">
      <c r="A34" s="1" t="s">
        <v>1</v>
      </c>
    </row>
    <row r="35" spans="1:1" ht="48.75">
      <c r="A35" s="1" t="s">
        <v>2</v>
      </c>
    </row>
    <row r="36" spans="1:1" ht="36.75">
      <c r="A36" s="1" t="s">
        <v>3</v>
      </c>
    </row>
    <row r="37" spans="1:1" ht="84.75">
      <c r="A37" s="1" t="s">
        <v>4</v>
      </c>
    </row>
  </sheetData>
  <phoneticPr fontId="27" type="noConversion"/>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7</vt:i4>
      </vt:variant>
      <vt:variant>
        <vt:lpstr>Intervalos Nomeados</vt:lpstr>
      </vt:variant>
      <vt:variant>
        <vt:i4>1</vt:i4>
      </vt:variant>
    </vt:vector>
  </HeadingPairs>
  <TitlesOfParts>
    <vt:vector size="8" baseType="lpstr">
      <vt:lpstr>PRESENÇA</vt:lpstr>
      <vt:lpstr>MOÇÃO E REQUERIMENTO</vt:lpstr>
      <vt:lpstr>VETO E SEGUNDA DISCUSSÃO</vt:lpstr>
      <vt:lpstr>PRIMEIRA DISCUSSÃO</vt:lpstr>
      <vt:lpstr>DISCUSSÃO ÚNICA</vt:lpstr>
      <vt:lpstr>RECURSOS- DISCUSSÃO ÚNICA</vt:lpstr>
      <vt:lpstr>DISCUSSÃO ÚNICA – REQUERIMENTOS</vt:lpstr>
      <vt:lpstr>VEREADORES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cmo-andre</dc:creator>
  <cp:lastModifiedBy>Rafael Cardoso</cp:lastModifiedBy>
  <cp:lastPrinted>2025-06-06T19:35:45Z</cp:lastPrinted>
  <dcterms:created xsi:type="dcterms:W3CDTF">2017-05-08T13:43:49Z</dcterms:created>
  <dcterms:modified xsi:type="dcterms:W3CDTF">2025-08-11T21:04:23Z</dcterms:modified>
</cp:coreProperties>
</file>