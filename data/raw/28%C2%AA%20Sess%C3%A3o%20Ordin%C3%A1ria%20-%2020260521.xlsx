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A53126E-2ECD-48D6-BBAC-38F227C45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2" l="1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C27" i="2"/>
  <c r="C28" i="2"/>
  <c r="C29" i="2"/>
  <c r="C30" i="2"/>
  <c r="C28" i="10"/>
  <c r="D28" i="10"/>
  <c r="C29" i="10"/>
  <c r="D29" i="10"/>
  <c r="C30" i="10"/>
  <c r="D30" i="10"/>
  <c r="C31" i="10"/>
  <c r="D31" i="10"/>
  <c r="D27" i="3"/>
  <c r="D28" i="3"/>
  <c r="D29" i="3"/>
  <c r="D30" i="3"/>
  <c r="J27" i="2"/>
  <c r="J28" i="2"/>
  <c r="J29" i="2"/>
  <c r="J30" i="2"/>
  <c r="C27" i="3"/>
  <c r="C28" i="3"/>
  <c r="C29" i="3"/>
  <c r="C30" i="3"/>
  <c r="E28" i="10"/>
  <c r="E29" i="10"/>
  <c r="E30" i="10"/>
  <c r="E31" i="10"/>
  <c r="D27" i="2"/>
  <c r="D28" i="2"/>
  <c r="D29" i="2"/>
  <c r="D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<sst xmlns="http://schemas.openxmlformats.org/spreadsheetml/2006/main" count="565" uniqueCount="138">
  <si>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</si>
  <si>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</si>
  <si>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</si>
  <si>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</si>
  <si>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</si>
  <si>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</si>
  <si>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</si>
  <si>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</si>
  <si>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</si>
  <si>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</si>
  <si>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</si>
  <si>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</si>
  <si>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</si>
  <si>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</si>
  <si>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</si>
  <si>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</si>
  <si>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</si>
  <si>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</si>
  <si>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</si>
  <si>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</si>
  <si>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</si>
  <si>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</si>
  <si>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</si>
  <si>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</si>
  <si>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</si>
  <si>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</si>
  <si>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</si>
  <si>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</si>
  <si>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</si>
  <si>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</si>
  <si>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</si>
  <si>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</si>
  <si>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</si>
  <si>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</si>
  <si>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</si>
  <si>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</si>
  <si>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</si>
  <si>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</si>
  <si>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</si>
  <si>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</si>
  <si>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</si>
  <si>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</si>
  <si>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</si>
  <si>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</si>
  <si>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</si>
  <si>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</si>
  <si>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</si>
  <si>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</si>
  <si>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</si>
  <si>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</si>
  <si>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</si>
  <si>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</si>
  <si>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</si>
  <si>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</si>
  <si>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</si>
  <si>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</si>
  <si>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</si>
  <si>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</si>
  <si>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</si>
  <si>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</si>
  <si>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</si>
  <si>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</si>
  <si>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</si>
  <si>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</si>
  <si>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</si>
  <si>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</si>
  <si>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</si>
  <si>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</si>
  <si>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</si>
  <si>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</si>
  <si>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</si>
  <si>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</si>
  <si>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</si>
  <si>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</si>
  <si>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</si>
  <si>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</si>
  <si>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</si>
  <si>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</si>
  <si>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</si>
  <si>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</si>
  <si>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</si>
  <si>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</si>
  <si>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</si>
  <si>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</si>
  <si>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</si>
  <si>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</si>
  <si>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</si>
  <si>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</si>
  <si>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>pela ausência do autor, será pautada na próxima sessão.</t>
  </si>
  <si>
    <t xml:space="preserve"> 2ª chamada abertura da sessão </t>
  </si>
  <si>
    <r>
      <t xml:space="preserve">PROJETO DE LEI Nº 220/2025 – PAULO JÚNIOR - </t>
    </r>
    <r>
      <rPr>
        <sz val="11"/>
        <color theme="1"/>
        <rFont val="Arial"/>
        <family val="2"/>
      </rPr>
      <t xml:space="preserve">Dispõe sobre a obrigatoriedade de exposição, em hospitais públicos e privados do Município de Osasco, da legislação que garante o direito à visita religiosa, regulamenta os horários dessas visitas e dá outras providências. </t>
    </r>
  </si>
  <si>
    <t>pela ausência do autor, será pautado na próxima sessão.</t>
  </si>
  <si>
    <t>VERIFICAÇÃO DE QUORUM</t>
  </si>
  <si>
    <t>pela ausência da autora, será pautada na próxima sessão.</t>
  </si>
  <si>
    <t>APROVADO</t>
  </si>
  <si>
    <t>sim</t>
  </si>
  <si>
    <t>Ivanildo Eventos</t>
  </si>
  <si>
    <t>Julião</t>
  </si>
  <si>
    <t>na presidência</t>
  </si>
  <si>
    <t>Justificativa de ausência do Vereador Josias da Juco.</t>
  </si>
  <si>
    <r>
      <t xml:space="preserve">MOÇÃO DE APLAUSO Nº 126/2026 – ALEXANDRE CAPRIOTTI - </t>
    </r>
    <r>
      <rPr>
        <sz val="11"/>
        <color theme="1"/>
        <rFont val="Arial"/>
        <family val="2"/>
      </rPr>
      <t>Ao Senhor Luiz Alberto Faustino da Rosa, pela dedicação ao serviço público e relevantes serviços prestados ao município de Osasco e, em especial, à comunidade do Jardim Veloso.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</si>
  <si>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</si>
  <si>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t>Justificativa de ausência da Vereadora Lúcia da Saúde.</t>
  </si>
  <si>
    <r>
      <t xml:space="preserve">PROJETO DE LEI Nº 71/2026 – LÚCIA DA SAÚDE – </t>
    </r>
    <r>
      <rPr>
        <sz val="14"/>
        <color theme="1"/>
        <rFont val="Arial"/>
        <family val="2"/>
      </rPr>
      <t>Institui o Dia Municipal da Apraxia de Fala na Infância (AFI) – no Calendário Oficial do Município de Osasco, e dá outras providências.</t>
    </r>
  </si>
  <si>
    <t>pela ausência da autora, será pautado na próxima sessão.</t>
  </si>
  <si>
    <r>
      <t xml:space="preserve">PROJETO DE LEI Nº 71/2021 – PAULO JÚNIOR - </t>
    </r>
    <r>
      <rPr>
        <sz val="11"/>
        <color theme="1"/>
        <rFont val="Arial"/>
        <family val="2"/>
      </rPr>
      <t xml:space="preserve">Dispõe sobre a proibição de exposição de crianças e adolescentes em atividades escolares, danças, manifestações culturais e exposições de arte que contribuam para a sexualização precoce; dispõe também sobre a inclusão de medidas de conscientização, prevenção e combate a erotização infantil no âmbito supracitado. </t>
    </r>
  </si>
  <si>
    <t>abstenção</t>
  </si>
  <si>
    <t>28ª SESSÃO ORDINÁRIA</t>
  </si>
  <si>
    <t>DIA 21 DE MAIO DE 2026 - QUINTA-FEIRA</t>
  </si>
  <si>
    <t>Justificativa de ausência do Vereador Heber do Juntoz.</t>
  </si>
  <si>
    <t>Justificativa de ausência do Vereador Gabriel Saúde.</t>
  </si>
  <si>
    <t>Justificativa de ausência do Vereador Paulo Junior.</t>
  </si>
  <si>
    <t>PROJETO DE LEI Nº 121/2026 – PREFEITO DO MUNICÍPIO DE OSASCO - Dispõe sobre a prorrogação do prazo para adesão ao Programa de Parcelamento Especial de Osasco, previsto na Lei nº 5.447, de 22 de dezembro de 2025.</t>
  </si>
  <si>
    <t>OFÍCIO PROLEGIS Nº 202603130044 – PREFEITO DO MUNICÍPIO DE OSASCO – Encaminha a resposta ao requerimento nº 7/2026, solicitando informações sobre o descarte de livros e demais impressos pertencentes ao acervo da Biblioteca Municipal Monteiro Lobato.</t>
  </si>
  <si>
    <t>PROJETO DE LEI Nº 120/2026 – LAÉRCIO MENDONÇA - Dispõe sobre a responsabilidade das empresas concessionárias e permissionárias que utilizam a infraestrutura de postes em logradouros públicos quanto à manutenção de vegetação que ofereça risco à segurança e ao patrimônio no Município de Osasco e dá outras providências.</t>
  </si>
  <si>
    <r>
      <t>MOÇÃO DE APLAUSO Nº 125/2026 – JOSIAS DA JUCO -</t>
    </r>
    <r>
      <rPr>
        <sz val="11"/>
        <color theme="1"/>
        <rFont val="Arial"/>
        <family val="2"/>
      </rPr>
      <t xml:space="preserve"> Pela inauguração da segunda unidade da Central de Monitoramento na região central de Osasco, importante iniciativa que fortalece a segurança pública, amplia a capacidade de resposta operacional e reafirma o compromisso do município com a modernização tecnológica e a proteção da população osasquense.</t>
    </r>
  </si>
  <si>
    <r>
      <t>MOÇÃO DE APOIO Nº 129/2026 – LÚCIA DA SAÚDE –</t>
    </r>
    <r>
      <rPr>
        <sz val="11"/>
        <color theme="1"/>
        <rFont val="Arial"/>
        <family val="2"/>
      </rPr>
      <t xml:space="preserve"> Ao Projeto de Lei nº 2.294/2024, que institui o Exame Nacional de Proficiência em Medicina.</t>
    </r>
  </si>
  <si>
    <r>
      <t xml:space="preserve">MOÇÃO DE APLAUSO Nº 134/2026 – PEDRINHO CANTAGESSI - </t>
    </r>
    <r>
      <rPr>
        <sz val="11"/>
        <color theme="1"/>
        <rFont val="Arial"/>
        <family val="2"/>
      </rPr>
      <t>Ao senhor Adriano Fonseca de Jesus Neri, conhecido no mundo esportivo como Adriano Mutante, em reconhecimento à sua notável trajetória esportiva, dedicação ao esporte e relevante contribuição para o nome do município de Osasco em competições nacionais e internacionais.</t>
    </r>
  </si>
  <si>
    <r>
      <t xml:space="preserve">MOÇÃO DE APLAUSO Nº 135/2026 – BATISTA COMUNIDADE - </t>
    </r>
    <r>
      <rPr>
        <sz val="11"/>
        <color theme="1"/>
        <rFont val="Arial"/>
        <family val="2"/>
      </rPr>
      <t>Ao Grupo Young do Samba, pelos mais de trinta anos de dedicação à preservação do samba tradicional brasileiro, pela fidelidade às suas raízes musicais e pela contribuição inestimável à cultura popular de nossa comunidade.</t>
    </r>
  </si>
  <si>
    <r>
      <t>MOÇÃO DE PESAR Nº 136/2026 – DELBIO TERUEL –</t>
    </r>
    <r>
      <rPr>
        <sz val="11"/>
        <color theme="1"/>
        <rFont val="Arial"/>
        <family val="2"/>
      </rPr>
      <t xml:space="preserve"> Pelo falecimento de Ondina Garcia de Barros, em 19 de maio.</t>
    </r>
  </si>
  <si>
    <r>
      <t>MOÇÃO DE PESAR Nº 137/2026 – IVANILDO EVENTOS –</t>
    </r>
    <r>
      <rPr>
        <sz val="11"/>
        <color theme="1"/>
        <rFont val="Arial"/>
        <family val="2"/>
      </rPr>
      <t xml:space="preserve"> Pelo falecimento do Pastor Luiz Ricardo de Souza, em 19 de maio.</t>
    </r>
  </si>
  <si>
    <r>
      <t xml:space="preserve">MOÇÃO DE REPÚDIO Nº 138/2026 – CANTOR GOLEIRO – </t>
    </r>
    <r>
      <rPr>
        <sz val="11"/>
        <color theme="1"/>
        <rFont val="Arial"/>
        <family val="2"/>
      </rPr>
      <t>À SABESP, por reclamações da população referentes à falta de abastecimento de água, demora nos atendimentos, falhas na manutenção da rede, vazamentos recorrentes e transtornos causados aos moradores de nossa cidade.</t>
    </r>
  </si>
  <si>
    <r>
      <t xml:space="preserve">VETO TOTAL AO SUBSTITUTIVO Nº 2/2025 AO PROJETO DE LEI Nº 121/2025 – ALEXANDRE CAPRIOTTI – </t>
    </r>
    <r>
      <rPr>
        <sz val="12"/>
        <color theme="1"/>
        <rFont val="Arial"/>
        <family val="2"/>
      </rPr>
      <t xml:space="preserve">Institui o Programa Municipal de conscientização e socorro a animais atropelados no município de Osasco e dá outras providências. </t>
    </r>
  </si>
  <si>
    <r>
      <t xml:space="preserve">VETO TOTAL AO PROJETO DE LEI Nº 25/2024 – RALFI SILVA – </t>
    </r>
    <r>
      <rPr>
        <sz val="12"/>
        <color theme="1"/>
        <rFont val="Arial"/>
        <family val="2"/>
      </rPr>
      <t xml:space="preserve">Institui a Caminhada Azul OsasTEA como forma de conscientização sobre o autismo. </t>
    </r>
  </si>
  <si>
    <t>VETO ACEITO</t>
  </si>
  <si>
    <r>
      <t xml:space="preserve">PROJETO DE LEI Nº 38/2026 – PREFEITO DO MUNICÍPIO DE OSASCO – </t>
    </r>
    <r>
      <rPr>
        <sz val="14"/>
        <color theme="1"/>
        <rFont val="Arial"/>
        <family val="2"/>
      </rPr>
      <t xml:space="preserve">Dispõe sobre a abertura de crédito adicional especial ao orçamento vigente e dá outras providências. </t>
    </r>
  </si>
  <si>
    <r>
      <t xml:space="preserve">PROJETO DE LEI Nº 68/2026 – PREFEITO DO MUNICÍPIO DE OSASCO – </t>
    </r>
    <r>
      <rPr>
        <sz val="14"/>
        <color theme="1"/>
        <rFont val="Arial"/>
        <family val="2"/>
      </rPr>
      <t xml:space="preserve">Dispõe sobre a abertura de crédito adicional especial ao orçamento vigente e dá outras providências. </t>
    </r>
  </si>
  <si>
    <r>
      <t xml:space="preserve">PROJETO DE LEI Nº 103/2026 – PREFEITO DO MUNICÍPIO DE OSASCO – </t>
    </r>
    <r>
      <rPr>
        <sz val="14"/>
        <color theme="1"/>
        <rFont val="Arial"/>
        <family val="2"/>
      </rPr>
      <t xml:space="preserve">Dispõe sobre a abertura de crédito adicional especial ao orçamento vigente e dá outras providências. </t>
    </r>
  </si>
  <si>
    <r>
      <t>PROJETO DE LEI Nº 25/2026 – ALEXANDRE CAPRIOTTI -</t>
    </r>
    <r>
      <rPr>
        <sz val="14"/>
        <color theme="1"/>
        <rFont val="Arial"/>
        <family val="2"/>
      </rPr>
      <t xml:space="preserve"> Institui no Calendário Oficial do Município de Osasco o Dia Municipal da Corrida de Rua e dá outras providências.</t>
    </r>
  </si>
  <si>
    <t>não</t>
  </si>
  <si>
    <r>
      <t>PROJETO DE DECRETO LEGISLATIVO Nº 10/2026 – RALFI SILVA -</t>
    </r>
    <r>
      <rPr>
        <sz val="11"/>
        <color theme="1"/>
        <rFont val="Arial"/>
        <family val="2"/>
      </rPr>
      <t xml:space="preserve"> Concede a Medalha Antônio Raposo Tavares e o Diploma Cidade de Osasco a Thiago Borges Batista.</t>
    </r>
  </si>
  <si>
    <r>
      <t xml:space="preserve">PROJETO DE DECRETO LEGISLATIVO Nº 78/2025 - CANTOR GOLEIRO – </t>
    </r>
    <r>
      <rPr>
        <sz val="11"/>
        <color theme="1"/>
        <rFont val="Arial"/>
        <family val="2"/>
      </rPr>
      <t xml:space="preserve">Concede Título de Cidadão Osasquense ao Sr. Claudinei Alves dos Santos. </t>
    </r>
  </si>
  <si>
    <t>EMENDA 1/2026 AO PROJETO DE DECRETO LEGISLATIVO Nº 78/2025 - CANTOR GOLEIRO</t>
  </si>
  <si>
    <t>arquivada a pedido do autor.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</si>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</sst>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A57" sqref="A5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28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107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108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61</v>
      </c>
      <c r="D4" s="92"/>
      <c r="E4" s="92" t="s">
        <v>89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92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48</v>
      </c>
      <c r="B5" s="88">
        <v>1</v>
      </c>
      <c r="C5" s="62" t="s">
        <v>49</v>
      </c>
      <c r="D5" s="63"/>
      <c r="E5" s="62"/>
      <c r="F5" s="88">
        <v>1</v>
      </c>
      <c r="G5" s="62" t="s">
        <v>49</v>
      </c>
      <c r="H5" s="63"/>
      <c r="I5" s="62"/>
      <c r="J5" s="63">
        <v>1</v>
      </c>
      <c r="K5" s="62" t="s">
        <v>49</v>
      </c>
      <c r="L5" s="125"/>
      <c r="M5" s="126"/>
      <c r="N5" s="63"/>
      <c r="O5" s="10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63</v>
      </c>
      <c r="B6" s="88">
        <v>1</v>
      </c>
      <c r="C6" s="62" t="s">
        <v>49</v>
      </c>
      <c r="D6" s="63"/>
      <c r="E6" s="62"/>
      <c r="F6" s="88">
        <v>1</v>
      </c>
      <c r="G6" s="62" t="s">
        <v>49</v>
      </c>
      <c r="H6" s="63"/>
      <c r="I6" s="62"/>
      <c r="J6" s="63">
        <v>2</v>
      </c>
      <c r="K6" s="102" t="s">
        <v>50</v>
      </c>
      <c r="L6" s="67"/>
      <c r="M6" s="65"/>
      <c r="N6" s="63"/>
      <c r="O6" s="10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51</v>
      </c>
      <c r="B7" s="88">
        <v>1</v>
      </c>
      <c r="C7" s="62" t="s">
        <v>49</v>
      </c>
      <c r="D7" s="63"/>
      <c r="E7" s="62"/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52</v>
      </c>
      <c r="B8" s="88">
        <v>1</v>
      </c>
      <c r="C8" s="62" t="s">
        <v>49</v>
      </c>
      <c r="D8" s="63"/>
      <c r="E8" s="62"/>
      <c r="F8" s="88">
        <v>1</v>
      </c>
      <c r="G8" s="62" t="s">
        <v>49</v>
      </c>
      <c r="H8" s="63"/>
      <c r="I8" s="62"/>
      <c r="J8" s="63">
        <v>1</v>
      </c>
      <c r="K8" s="62" t="s">
        <v>49</v>
      </c>
      <c r="L8" s="67"/>
      <c r="M8" s="65"/>
      <c r="N8" s="63"/>
      <c r="O8" s="10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27</v>
      </c>
      <c r="B9" s="88">
        <v>1</v>
      </c>
      <c r="C9" s="62" t="s">
        <v>49</v>
      </c>
      <c r="D9" s="63"/>
      <c r="E9" s="62"/>
      <c r="F9" s="88">
        <v>1</v>
      </c>
      <c r="G9" s="62" t="s">
        <v>49</v>
      </c>
      <c r="H9" s="63"/>
      <c r="I9" s="62"/>
      <c r="J9" s="63">
        <v>1</v>
      </c>
      <c r="K9" s="62" t="s">
        <v>49</v>
      </c>
      <c r="L9" s="67"/>
      <c r="M9" s="65"/>
      <c r="N9" s="63"/>
      <c r="O9" s="10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53</v>
      </c>
      <c r="B10" s="88">
        <v>2</v>
      </c>
      <c r="C10" s="102" t="s">
        <v>50</v>
      </c>
      <c r="D10" s="63"/>
      <c r="E10" s="102"/>
      <c r="F10" s="88">
        <v>2</v>
      </c>
      <c r="G10" s="102" t="s">
        <v>50</v>
      </c>
      <c r="H10" s="63"/>
      <c r="I10" s="62"/>
      <c r="J10" s="63">
        <v>1</v>
      </c>
      <c r="K10" s="62" t="s">
        <v>49</v>
      </c>
      <c r="L10" s="67"/>
      <c r="M10" s="65"/>
      <c r="N10" s="63"/>
      <c r="O10" s="6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49</v>
      </c>
      <c r="D11" s="63"/>
      <c r="E11" s="62"/>
      <c r="F11" s="88">
        <v>1</v>
      </c>
      <c r="G11" s="62" t="s">
        <v>49</v>
      </c>
      <c r="H11" s="63"/>
      <c r="I11" s="62"/>
      <c r="J11" s="63">
        <v>1</v>
      </c>
      <c r="K11" s="62" t="s">
        <v>49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50</v>
      </c>
      <c r="D12" s="63"/>
      <c r="E12" s="62"/>
      <c r="F12" s="88">
        <v>2</v>
      </c>
      <c r="G12" s="102" t="s">
        <v>50</v>
      </c>
      <c r="H12" s="63"/>
      <c r="I12" s="68"/>
      <c r="J12" s="63">
        <v>2</v>
      </c>
      <c r="K12" s="102" t="s">
        <v>50</v>
      </c>
      <c r="L12" s="67"/>
      <c r="M12" s="65"/>
      <c r="N12" s="63"/>
      <c r="O12" s="10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54</v>
      </c>
      <c r="B13" s="88">
        <v>2</v>
      </c>
      <c r="C13" s="102" t="s">
        <v>50</v>
      </c>
      <c r="D13" s="63"/>
      <c r="E13" s="62"/>
      <c r="F13" s="88">
        <v>2</v>
      </c>
      <c r="G13" s="102" t="s">
        <v>50</v>
      </c>
      <c r="H13" s="63"/>
      <c r="I13" s="62"/>
      <c r="J13" s="63">
        <v>2</v>
      </c>
      <c r="K13" s="102" t="s">
        <v>50</v>
      </c>
      <c r="L13" s="67"/>
      <c r="M13" s="65"/>
      <c r="N13" s="63"/>
      <c r="O13" s="10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55</v>
      </c>
      <c r="B14" s="88">
        <v>2</v>
      </c>
      <c r="C14" s="102" t="s">
        <v>50</v>
      </c>
      <c r="D14" s="63"/>
      <c r="E14" s="102"/>
      <c r="F14" s="88">
        <v>2</v>
      </c>
      <c r="G14" s="102" t="s">
        <v>50</v>
      </c>
      <c r="H14" s="63"/>
      <c r="I14" s="62"/>
      <c r="J14" s="63">
        <v>1</v>
      </c>
      <c r="K14" s="62" t="s">
        <v>49</v>
      </c>
      <c r="L14" s="67"/>
      <c r="M14" s="65"/>
      <c r="N14" s="63"/>
      <c r="O14" s="10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56</v>
      </c>
      <c r="B15" s="88">
        <v>2</v>
      </c>
      <c r="C15" s="102" t="s">
        <v>50</v>
      </c>
      <c r="D15" s="63"/>
      <c r="E15" s="62"/>
      <c r="F15" s="88">
        <v>2</v>
      </c>
      <c r="G15" s="102" t="s">
        <v>50</v>
      </c>
      <c r="H15" s="63"/>
      <c r="I15" s="62"/>
      <c r="J15" s="63">
        <v>2</v>
      </c>
      <c r="K15" s="102" t="s">
        <v>50</v>
      </c>
      <c r="L15" s="67"/>
      <c r="M15" s="65"/>
      <c r="N15" s="63"/>
      <c r="O15" s="10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.75" customHeight="1">
      <c r="A16" s="46" t="s">
        <v>96</v>
      </c>
      <c r="B16" s="88">
        <v>1</v>
      </c>
      <c r="C16" s="62" t="s">
        <v>49</v>
      </c>
      <c r="D16" s="63"/>
      <c r="E16" s="62"/>
      <c r="F16" s="88">
        <v>1</v>
      </c>
      <c r="G16" s="62" t="s">
        <v>49</v>
      </c>
      <c r="H16" s="63"/>
      <c r="I16" s="68"/>
      <c r="J16" s="63">
        <v>1</v>
      </c>
      <c r="K16" s="62" t="s">
        <v>49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24</v>
      </c>
      <c r="B17" s="88">
        <v>2</v>
      </c>
      <c r="C17" s="102" t="s">
        <v>50</v>
      </c>
      <c r="D17" s="63"/>
      <c r="E17" s="102"/>
      <c r="F17" s="88">
        <v>2</v>
      </c>
      <c r="G17" s="102" t="s">
        <v>50</v>
      </c>
      <c r="H17" s="63"/>
      <c r="I17" s="68"/>
      <c r="J17" s="63">
        <v>2</v>
      </c>
      <c r="K17" s="102" t="s">
        <v>50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57</v>
      </c>
      <c r="B18" s="88">
        <v>2</v>
      </c>
      <c r="C18" s="102" t="s">
        <v>50</v>
      </c>
      <c r="D18" s="63"/>
      <c r="E18" s="62"/>
      <c r="F18" s="88">
        <v>1</v>
      </c>
      <c r="G18" s="62" t="s">
        <v>49</v>
      </c>
      <c r="H18" s="63"/>
      <c r="I18" s="62"/>
      <c r="J18" s="63">
        <v>1</v>
      </c>
      <c r="K18" s="62" t="s">
        <v>49</v>
      </c>
      <c r="L18" s="67"/>
      <c r="M18" s="65"/>
      <c r="N18" s="63"/>
      <c r="O18" s="10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97</v>
      </c>
      <c r="B19" s="88">
        <v>2</v>
      </c>
      <c r="C19" s="102" t="s">
        <v>50</v>
      </c>
      <c r="D19" s="63"/>
      <c r="E19" s="62"/>
      <c r="F19" s="88">
        <v>1</v>
      </c>
      <c r="G19" s="62" t="s">
        <v>49</v>
      </c>
      <c r="H19" s="63"/>
      <c r="I19" s="62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86</v>
      </c>
      <c r="B20" s="88">
        <v>2</v>
      </c>
      <c r="C20" s="102" t="s">
        <v>50</v>
      </c>
      <c r="D20" s="63"/>
      <c r="E20" s="102"/>
      <c r="F20" s="88">
        <v>2</v>
      </c>
      <c r="G20" s="102" t="s">
        <v>50</v>
      </c>
      <c r="H20" s="63"/>
      <c r="I20" s="62"/>
      <c r="J20" s="63">
        <v>2</v>
      </c>
      <c r="K20" s="102" t="s">
        <v>50</v>
      </c>
      <c r="L20" s="67"/>
      <c r="M20" s="65"/>
      <c r="N20" s="63"/>
      <c r="O20" s="10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" customHeight="1">
      <c r="A21" s="46" t="s">
        <v>25</v>
      </c>
      <c r="B21" s="88">
        <v>2</v>
      </c>
      <c r="C21" s="102" t="s">
        <v>50</v>
      </c>
      <c r="D21" s="63"/>
      <c r="E21" s="62"/>
      <c r="F21" s="88">
        <v>2</v>
      </c>
      <c r="G21" s="102" t="s">
        <v>50</v>
      </c>
      <c r="H21" s="63"/>
      <c r="I21" s="68"/>
      <c r="J21" s="63">
        <v>2</v>
      </c>
      <c r="K21" s="102" t="s">
        <v>50</v>
      </c>
      <c r="L21" s="67"/>
      <c r="M21" s="65"/>
      <c r="N21" s="63"/>
      <c r="O21" s="102"/>
      <c r="P21" s="63"/>
      <c r="Q21" s="63"/>
      <c r="R21" s="102"/>
      <c r="S21" s="91"/>
      <c r="T21" s="149"/>
      <c r="U21" s="149"/>
      <c r="V21" s="149"/>
      <c r="W21" s="149"/>
      <c r="X21" s="149"/>
      <c r="Y21" s="149"/>
    </row>
    <row r="22" spans="1:28" ht="18.75" customHeight="1">
      <c r="A22" s="46" t="s">
        <v>58</v>
      </c>
      <c r="B22" s="88">
        <v>1</v>
      </c>
      <c r="C22" s="62" t="s">
        <v>49</v>
      </c>
      <c r="D22" s="63"/>
      <c r="E22" s="62"/>
      <c r="F22" s="88">
        <v>1</v>
      </c>
      <c r="G22" s="62" t="s">
        <v>49</v>
      </c>
      <c r="H22" s="63"/>
      <c r="I22" s="62"/>
      <c r="J22" s="63">
        <v>1</v>
      </c>
      <c r="K22" s="62" t="s">
        <v>49</v>
      </c>
      <c r="L22" s="64"/>
      <c r="M22" s="64"/>
      <c r="N22" s="63"/>
      <c r="O22" s="102"/>
      <c r="P22" s="63"/>
      <c r="Q22" s="63"/>
      <c r="R22" s="6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64</v>
      </c>
      <c r="B23" s="88">
        <v>2</v>
      </c>
      <c r="C23" s="102" t="s">
        <v>50</v>
      </c>
      <c r="D23" s="63"/>
      <c r="E23" s="102"/>
      <c r="F23" s="88">
        <v>2</v>
      </c>
      <c r="G23" s="102" t="s">
        <v>50</v>
      </c>
      <c r="H23" s="63"/>
      <c r="I23" s="68"/>
      <c r="J23" s="63">
        <v>1</v>
      </c>
      <c r="K23" s="62" t="s">
        <v>49</v>
      </c>
      <c r="L23" s="67"/>
      <c r="M23" s="65"/>
      <c r="N23" s="63"/>
      <c r="O23" s="102"/>
      <c r="P23" s="63"/>
      <c r="Q23" s="63"/>
      <c r="R23" s="10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85</v>
      </c>
      <c r="B24" s="88">
        <v>1</v>
      </c>
      <c r="C24" s="62" t="s">
        <v>49</v>
      </c>
      <c r="D24" s="63"/>
      <c r="E24" s="102"/>
      <c r="F24" s="88">
        <v>1</v>
      </c>
      <c r="G24" s="62" t="s">
        <v>49</v>
      </c>
      <c r="H24" s="63"/>
      <c r="I24" s="62"/>
      <c r="J24" s="63">
        <v>1</v>
      </c>
      <c r="K24" s="62" t="s">
        <v>49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59</v>
      </c>
      <c r="B25" s="88">
        <v>1</v>
      </c>
      <c r="C25" s="62" t="s">
        <v>49</v>
      </c>
      <c r="D25" s="63"/>
      <c r="E25" s="62"/>
      <c r="F25" s="88">
        <v>1</v>
      </c>
      <c r="G25" s="62" t="s">
        <v>49</v>
      </c>
      <c r="H25" s="63"/>
      <c r="I25" s="68"/>
      <c r="J25" s="63">
        <v>1</v>
      </c>
      <c r="K25" s="62" t="s">
        <v>49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10</v>
      </c>
      <c r="C26" s="96" t="s">
        <v>44</v>
      </c>
      <c r="D26" s="98"/>
      <c r="E26" s="96" t="s">
        <v>44</v>
      </c>
      <c r="F26" s="98">
        <v>12</v>
      </c>
      <c r="G26" s="96" t="s">
        <v>44</v>
      </c>
      <c r="H26" s="100"/>
      <c r="I26" s="101"/>
      <c r="J26" s="98">
        <v>14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45</v>
      </c>
      <c r="D27" s="98"/>
      <c r="E27" s="96" t="s">
        <v>45</v>
      </c>
      <c r="F27" s="98">
        <v>9</v>
      </c>
      <c r="G27" s="96" t="s">
        <v>45</v>
      </c>
      <c r="H27" s="100"/>
      <c r="I27" s="96"/>
      <c r="J27" s="98">
        <v>7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62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57</v>
      </c>
      <c r="V32" s="12"/>
      <c r="W32" s="12"/>
    </row>
    <row r="33" spans="1:23" ht="18">
      <c r="A33" s="34" t="s">
        <v>97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60</v>
      </c>
      <c r="V43" s="12"/>
      <c r="W43" s="12"/>
    </row>
    <row r="44" spans="1:23" ht="18">
      <c r="A44" s="34" t="s">
        <v>53</v>
      </c>
      <c r="V44" s="12"/>
      <c r="W44" s="12"/>
    </row>
    <row r="45" spans="1:23" ht="18">
      <c r="A45" s="34" t="s">
        <v>23</v>
      </c>
      <c r="V45" s="12"/>
      <c r="W45" s="12"/>
    </row>
    <row r="46" spans="1:23" ht="18">
      <c r="A46" s="34" t="s">
        <v>55</v>
      </c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 t="s">
        <v>23</v>
      </c>
    </row>
    <row r="56" spans="1:23" ht="18">
      <c r="A56" s="34" t="s">
        <v>63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U39"/>
  <sheetViews>
    <sheetView workbookViewId="0">
      <pane xSplit="1" topLeftCell="B1" activePane="topRight" state="frozen"/>
      <selection pane="topRight" activeCell="T14" sqref="T14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21" width="22.7109375" style="22" customWidth="1"/>
    <col min="22" max="16384" width="9.140625" style="22"/>
  </cols>
  <sheetData>
    <row r="1" spans="1:21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21" ht="15">
      <c r="A2" s="76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21" ht="17.25" customHeight="1">
      <c r="A3" s="76" t="s">
        <v>108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21" ht="63" customHeight="1">
      <c r="A4" s="51" t="str">
        <f>'[1]MOÇÃO E REQUERIMENTO'!B7</f>
        <v>EXPEDIENTE</v>
      </c>
      <c r="B4" s="50" t="s">
        <v>43</v>
      </c>
      <c r="C4" s="117" t="s">
        <v>102</v>
      </c>
      <c r="D4" s="117" t="s">
        <v>109</v>
      </c>
      <c r="E4" s="117" t="s">
        <v>99</v>
      </c>
      <c r="F4" s="117" t="s">
        <v>110</v>
      </c>
      <c r="G4" s="117" t="s">
        <v>111</v>
      </c>
      <c r="H4" s="117" t="s">
        <v>112</v>
      </c>
      <c r="I4" s="117" t="s">
        <v>113</v>
      </c>
      <c r="J4" s="117" t="s">
        <v>114</v>
      </c>
      <c r="K4" s="112" t="s">
        <v>33</v>
      </c>
      <c r="L4" s="124"/>
      <c r="M4" s="50" t="s">
        <v>26</v>
      </c>
      <c r="N4" s="84" t="s">
        <v>115</v>
      </c>
      <c r="O4" s="84" t="s">
        <v>100</v>
      </c>
      <c r="P4" s="84" t="s">
        <v>116</v>
      </c>
      <c r="Q4" s="84" t="s">
        <v>117</v>
      </c>
      <c r="R4" s="84" t="s">
        <v>118</v>
      </c>
      <c r="S4" s="84" t="s">
        <v>119</v>
      </c>
      <c r="T4" s="84" t="s">
        <v>120</v>
      </c>
      <c r="U4" s="84" t="s">
        <v>121</v>
      </c>
    </row>
    <row r="5" spans="1:21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3"/>
      <c r="N5" s="118" t="s">
        <v>88</v>
      </c>
      <c r="O5" s="113" t="s">
        <v>87</v>
      </c>
      <c r="P5" s="118" t="s">
        <v>93</v>
      </c>
      <c r="Q5" s="113" t="s">
        <v>87</v>
      </c>
      <c r="R5" s="113" t="s">
        <v>87</v>
      </c>
      <c r="S5" s="113" t="s">
        <v>87</v>
      </c>
      <c r="T5" s="113" t="s">
        <v>87</v>
      </c>
      <c r="U5" s="113" t="s">
        <v>87</v>
      </c>
    </row>
    <row r="6" spans="1:21" ht="15.75">
      <c r="A6" s="127" t="s">
        <v>48</v>
      </c>
      <c r="M6" s="23"/>
    </row>
    <row r="7" spans="1:21" ht="15.75">
      <c r="A7" s="127" t="s">
        <v>63</v>
      </c>
      <c r="M7" s="23"/>
    </row>
    <row r="8" spans="1:21" ht="15.75">
      <c r="A8" s="127" t="s">
        <v>51</v>
      </c>
      <c r="M8" s="23"/>
    </row>
    <row r="9" spans="1:21" ht="15.75">
      <c r="A9" s="127" t="s">
        <v>52</v>
      </c>
      <c r="M9" s="23"/>
    </row>
    <row r="10" spans="1:21" ht="15.75">
      <c r="A10" s="127" t="s">
        <v>27</v>
      </c>
      <c r="M10" s="23"/>
    </row>
    <row r="11" spans="1:21" ht="15.75">
      <c r="A11" s="128" t="s">
        <v>53</v>
      </c>
      <c r="M11" s="23"/>
    </row>
    <row r="12" spans="1:21" ht="15.75">
      <c r="A12" s="127" t="s">
        <v>22</v>
      </c>
      <c r="M12" s="23"/>
    </row>
    <row r="13" spans="1:21" ht="15.75">
      <c r="A13" s="127" t="s">
        <v>23</v>
      </c>
      <c r="M13" s="23"/>
    </row>
    <row r="14" spans="1:21" ht="15.75">
      <c r="A14" s="127" t="s">
        <v>54</v>
      </c>
      <c r="M14" s="23"/>
    </row>
    <row r="15" spans="1:21" ht="15.75">
      <c r="A15" s="127" t="s">
        <v>55</v>
      </c>
      <c r="M15" s="23"/>
    </row>
    <row r="16" spans="1:21" ht="15.75">
      <c r="A16" s="127" t="s">
        <v>56</v>
      </c>
      <c r="M16" s="23"/>
    </row>
    <row r="17" spans="1:13" ht="15.75">
      <c r="A17" s="127" t="s">
        <v>96</v>
      </c>
      <c r="M17" s="23"/>
    </row>
    <row r="18" spans="1:13" ht="15.75">
      <c r="A18" s="127" t="s">
        <v>24</v>
      </c>
      <c r="M18" s="23"/>
    </row>
    <row r="19" spans="1:13" ht="15.75">
      <c r="A19" s="127" t="s">
        <v>57</v>
      </c>
      <c r="M19" s="23"/>
    </row>
    <row r="20" spans="1:13" ht="15.75">
      <c r="A20" s="127" t="s">
        <v>97</v>
      </c>
      <c r="M20" s="23"/>
    </row>
    <row r="21" spans="1:13" ht="15.75">
      <c r="A21" s="127" t="s">
        <v>86</v>
      </c>
      <c r="M21" s="23"/>
    </row>
    <row r="22" spans="1:13" ht="15.75">
      <c r="A22" s="127" t="s">
        <v>25</v>
      </c>
      <c r="M22" s="23"/>
    </row>
    <row r="23" spans="1:13" ht="15.75">
      <c r="A23" s="127" t="s">
        <v>58</v>
      </c>
      <c r="M23" s="23"/>
    </row>
    <row r="24" spans="1:13" ht="15.75">
      <c r="A24" s="127" t="s">
        <v>64</v>
      </c>
      <c r="M24" s="23"/>
    </row>
    <row r="25" spans="1:13" ht="15.75">
      <c r="A25" s="127" t="s">
        <v>85</v>
      </c>
      <c r="M25" s="23"/>
    </row>
    <row r="26" spans="1:13" ht="15.75">
      <c r="A26" s="127" t="s">
        <v>59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E37"/>
  <sheetViews>
    <sheetView zoomScale="80" zoomScaleNormal="80" workbookViewId="0">
      <pane xSplit="1" topLeftCell="B1" activePane="topRight" state="frozen"/>
      <selection activeCell="A4" sqref="A4"/>
      <selection pane="topRight" activeCell="I5" sqref="I5"/>
    </sheetView>
  </sheetViews>
  <sheetFormatPr defaultRowHeight="15"/>
  <cols>
    <col min="1" max="1" width="61" customWidth="1"/>
    <col min="2" max="2" width="28.7109375" bestFit="1" customWidth="1"/>
    <col min="3" max="4" width="36.7109375" customWidth="1"/>
    <col min="5" max="5" width="24.7109375" customWidth="1"/>
    <col min="6" max="50" width="36.7109375" customWidth="1"/>
  </cols>
  <sheetData>
    <row r="1" spans="1:50" ht="18" customHeight="1">
      <c r="A1" s="76" t="s">
        <v>8</v>
      </c>
      <c r="B1" s="49"/>
      <c r="C1" s="74"/>
      <c r="D1" s="74"/>
    </row>
    <row r="2" spans="1:50" ht="18" customHeight="1">
      <c r="A2" s="76" t="s">
        <v>107</v>
      </c>
      <c r="B2" s="49"/>
      <c r="C2" s="74"/>
      <c r="D2" s="74"/>
    </row>
    <row r="3" spans="1:50" ht="17.25" customHeight="1">
      <c r="A3" s="76" t="s">
        <v>108</v>
      </c>
      <c r="B3" s="49"/>
      <c r="C3" s="74"/>
      <c r="D3" s="74"/>
      <c r="F3" s="116"/>
      <c r="G3" s="116"/>
      <c r="H3" s="116"/>
      <c r="I3" s="116"/>
      <c r="J3" s="116"/>
    </row>
    <row r="4" spans="1:50" ht="90.75" customHeight="1" thickBot="1">
      <c r="A4" s="52" t="s">
        <v>5</v>
      </c>
      <c r="B4" s="108" t="s">
        <v>30</v>
      </c>
      <c r="C4" s="141" t="s">
        <v>122</v>
      </c>
      <c r="D4" s="141" t="s">
        <v>123</v>
      </c>
      <c r="E4" s="109" t="s">
        <v>6</v>
      </c>
      <c r="F4" s="140" t="s">
        <v>125</v>
      </c>
      <c r="G4" s="140" t="s">
        <v>126</v>
      </c>
      <c r="H4" s="140" t="s">
        <v>127</v>
      </c>
      <c r="I4" s="140" t="s">
        <v>103</v>
      </c>
      <c r="J4" s="140" t="s">
        <v>128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3"/>
      <c r="AX4" s="3"/>
    </row>
    <row r="5" spans="1:50" s="81" customFormat="1" ht="48" customHeight="1">
      <c r="A5" s="99" t="s">
        <v>36</v>
      </c>
      <c r="B5" s="78"/>
      <c r="C5" s="113" t="s">
        <v>124</v>
      </c>
      <c r="D5" s="113" t="s">
        <v>124</v>
      </c>
      <c r="E5" s="79"/>
      <c r="F5" s="113" t="s">
        <v>94</v>
      </c>
      <c r="G5" s="113" t="s">
        <v>94</v>
      </c>
      <c r="H5" s="113" t="s">
        <v>94</v>
      </c>
      <c r="I5" s="118" t="s">
        <v>104</v>
      </c>
      <c r="J5" s="113" t="s">
        <v>101</v>
      </c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</row>
    <row r="6" spans="1:50" ht="20.25">
      <c r="A6" s="46" t="s">
        <v>48</v>
      </c>
      <c r="C6" s="144" t="s">
        <v>129</v>
      </c>
      <c r="D6" s="107" t="s">
        <v>95</v>
      </c>
      <c r="F6" s="107" t="s">
        <v>95</v>
      </c>
      <c r="G6" s="107" t="s">
        <v>95</v>
      </c>
      <c r="H6" s="107" t="s">
        <v>95</v>
      </c>
      <c r="I6" s="107"/>
      <c r="J6" s="107"/>
      <c r="K6" s="143"/>
    </row>
    <row r="7" spans="1:50" ht="20.25">
      <c r="A7" s="46" t="s">
        <v>63</v>
      </c>
      <c r="C7" s="114" t="s">
        <v>50</v>
      </c>
      <c r="D7" s="114" t="s">
        <v>50</v>
      </c>
      <c r="F7" s="114" t="s">
        <v>50</v>
      </c>
      <c r="G7" s="114" t="s">
        <v>50</v>
      </c>
      <c r="H7" s="114" t="s">
        <v>50</v>
      </c>
      <c r="I7" s="107"/>
      <c r="J7" s="107"/>
    </row>
    <row r="8" spans="1:50" ht="20.25">
      <c r="A8" s="46" t="s">
        <v>51</v>
      </c>
      <c r="C8" s="107" t="s">
        <v>95</v>
      </c>
      <c r="D8" s="107" t="s">
        <v>95</v>
      </c>
      <c r="F8" s="107" t="s">
        <v>95</v>
      </c>
      <c r="G8" s="107" t="s">
        <v>95</v>
      </c>
      <c r="H8" s="107" t="s">
        <v>95</v>
      </c>
      <c r="I8" s="107"/>
      <c r="J8" s="107"/>
    </row>
    <row r="9" spans="1:50" ht="20.25">
      <c r="A9" s="82" t="s">
        <v>52</v>
      </c>
      <c r="C9" s="114" t="s">
        <v>98</v>
      </c>
      <c r="D9" s="114" t="s">
        <v>98</v>
      </c>
      <c r="F9" s="114" t="s">
        <v>98</v>
      </c>
      <c r="G9" s="114" t="s">
        <v>98</v>
      </c>
      <c r="H9" s="114" t="s">
        <v>98</v>
      </c>
      <c r="I9" s="114"/>
      <c r="J9" s="114"/>
    </row>
    <row r="10" spans="1:50" ht="20.25">
      <c r="A10" s="46" t="s">
        <v>27</v>
      </c>
      <c r="C10" s="107" t="s">
        <v>95</v>
      </c>
      <c r="D10" s="107" t="s">
        <v>95</v>
      </c>
      <c r="F10" s="107" t="s">
        <v>95</v>
      </c>
      <c r="G10" s="107" t="s">
        <v>95</v>
      </c>
      <c r="H10" s="107" t="s">
        <v>95</v>
      </c>
      <c r="I10" s="107"/>
      <c r="J10" s="107"/>
    </row>
    <row r="11" spans="1:50" ht="20.25">
      <c r="A11" s="46" t="s">
        <v>53</v>
      </c>
      <c r="C11" s="107" t="s">
        <v>95</v>
      </c>
      <c r="D11" s="107" t="s">
        <v>95</v>
      </c>
      <c r="F11" s="107" t="s">
        <v>95</v>
      </c>
      <c r="G11" s="107" t="s">
        <v>95</v>
      </c>
      <c r="H11" s="107" t="s">
        <v>95</v>
      </c>
      <c r="I11" s="107"/>
      <c r="J11" s="107"/>
    </row>
    <row r="12" spans="1:50" ht="20.25">
      <c r="A12" s="46" t="s">
        <v>22</v>
      </c>
      <c r="C12" s="107" t="s">
        <v>95</v>
      </c>
      <c r="D12" s="107" t="s">
        <v>95</v>
      </c>
      <c r="F12" s="107" t="s">
        <v>95</v>
      </c>
      <c r="G12" s="107" t="s">
        <v>95</v>
      </c>
      <c r="H12" s="107" t="s">
        <v>95</v>
      </c>
      <c r="I12" s="107"/>
      <c r="J12" s="107"/>
    </row>
    <row r="13" spans="1:50" ht="20.25">
      <c r="A13" s="46" t="s">
        <v>23</v>
      </c>
      <c r="C13" s="114" t="s">
        <v>106</v>
      </c>
      <c r="D13" s="107" t="s">
        <v>95</v>
      </c>
      <c r="F13" s="114" t="s">
        <v>50</v>
      </c>
      <c r="G13" s="114" t="s">
        <v>50</v>
      </c>
      <c r="H13" s="114" t="s">
        <v>50</v>
      </c>
      <c r="I13" s="114"/>
      <c r="J13" s="114"/>
    </row>
    <row r="14" spans="1:50" ht="20.25">
      <c r="A14" s="46" t="s">
        <v>54</v>
      </c>
      <c r="C14" s="114" t="s">
        <v>50</v>
      </c>
      <c r="D14" s="114" t="s">
        <v>50</v>
      </c>
      <c r="F14" s="114" t="s">
        <v>50</v>
      </c>
      <c r="G14" s="114" t="s">
        <v>50</v>
      </c>
      <c r="H14" s="114" t="s">
        <v>50</v>
      </c>
      <c r="I14" s="107"/>
      <c r="J14" s="107"/>
    </row>
    <row r="15" spans="1:50" ht="20.25">
      <c r="A15" s="46" t="s">
        <v>55</v>
      </c>
      <c r="C15" s="107" t="s">
        <v>95</v>
      </c>
      <c r="D15" s="107" t="s">
        <v>95</v>
      </c>
      <c r="F15" s="107" t="s">
        <v>95</v>
      </c>
      <c r="G15" s="107" t="s">
        <v>95</v>
      </c>
      <c r="H15" s="107" t="s">
        <v>95</v>
      </c>
      <c r="I15" s="107"/>
      <c r="J15" s="107"/>
    </row>
    <row r="16" spans="1:50" ht="20.25">
      <c r="A16" s="46" t="s">
        <v>56</v>
      </c>
      <c r="C16" s="114" t="s">
        <v>50</v>
      </c>
      <c r="D16" s="114" t="s">
        <v>50</v>
      </c>
      <c r="F16" s="114" t="s">
        <v>50</v>
      </c>
      <c r="G16" s="114" t="s">
        <v>50</v>
      </c>
      <c r="H16" s="114" t="s">
        <v>50</v>
      </c>
      <c r="I16" s="107"/>
      <c r="J16" s="107"/>
    </row>
    <row r="17" spans="1:135" ht="20.25">
      <c r="A17" s="46" t="s">
        <v>96</v>
      </c>
      <c r="C17" s="107" t="s">
        <v>95</v>
      </c>
      <c r="D17" s="107" t="s">
        <v>95</v>
      </c>
      <c r="F17" s="107" t="s">
        <v>95</v>
      </c>
      <c r="G17" s="107" t="s">
        <v>95</v>
      </c>
      <c r="H17" s="107" t="s">
        <v>95</v>
      </c>
      <c r="I17" s="107"/>
      <c r="J17" s="107"/>
    </row>
    <row r="18" spans="1:135" ht="20.25">
      <c r="A18" s="46" t="s">
        <v>24</v>
      </c>
      <c r="C18" s="114" t="s">
        <v>50</v>
      </c>
      <c r="D18" s="114" t="s">
        <v>50</v>
      </c>
      <c r="F18" s="114" t="s">
        <v>50</v>
      </c>
      <c r="G18" s="114" t="s">
        <v>50</v>
      </c>
      <c r="H18" s="114" t="s">
        <v>50</v>
      </c>
      <c r="I18" s="114"/>
      <c r="J18" s="114"/>
    </row>
    <row r="19" spans="1:135" ht="20.25">
      <c r="A19" s="46" t="s">
        <v>57</v>
      </c>
      <c r="C19" s="107" t="s">
        <v>95</v>
      </c>
      <c r="D19" s="107" t="s">
        <v>95</v>
      </c>
      <c r="F19" s="107" t="s">
        <v>95</v>
      </c>
      <c r="G19" s="107" t="s">
        <v>95</v>
      </c>
      <c r="H19" s="107" t="s">
        <v>95</v>
      </c>
      <c r="I19" s="114"/>
      <c r="J19" s="114"/>
    </row>
    <row r="20" spans="1:135" ht="20.25">
      <c r="A20" s="46" t="s">
        <v>97</v>
      </c>
      <c r="C20" s="107" t="s">
        <v>95</v>
      </c>
      <c r="D20" s="107" t="s">
        <v>95</v>
      </c>
      <c r="F20" s="107" t="s">
        <v>95</v>
      </c>
      <c r="G20" s="107" t="s">
        <v>95</v>
      </c>
      <c r="H20" s="107" t="s">
        <v>95</v>
      </c>
      <c r="I20" s="107"/>
      <c r="J20" s="107"/>
    </row>
    <row r="21" spans="1:135" ht="20.25">
      <c r="A21" s="46" t="s">
        <v>86</v>
      </c>
      <c r="C21" s="114" t="s">
        <v>50</v>
      </c>
      <c r="D21" s="114" t="s">
        <v>50</v>
      </c>
      <c r="F21" s="114" t="s">
        <v>50</v>
      </c>
      <c r="G21" s="114" t="s">
        <v>50</v>
      </c>
      <c r="H21" s="114" t="s">
        <v>50</v>
      </c>
      <c r="I21" s="107"/>
      <c r="J21" s="107"/>
    </row>
    <row r="22" spans="1:135" ht="20.25">
      <c r="A22" s="46" t="s">
        <v>25</v>
      </c>
      <c r="C22" s="114" t="s">
        <v>50</v>
      </c>
      <c r="D22" s="114" t="s">
        <v>50</v>
      </c>
      <c r="F22" s="114" t="s">
        <v>50</v>
      </c>
      <c r="G22" s="114" t="s">
        <v>50</v>
      </c>
      <c r="H22" s="114" t="s">
        <v>50</v>
      </c>
      <c r="I22" s="107"/>
      <c r="J22" s="107"/>
    </row>
    <row r="23" spans="1:135" ht="20.25">
      <c r="A23" s="46" t="s">
        <v>58</v>
      </c>
      <c r="C23" s="107" t="s">
        <v>95</v>
      </c>
      <c r="D23" s="107" t="s">
        <v>95</v>
      </c>
      <c r="F23" s="107" t="s">
        <v>95</v>
      </c>
      <c r="G23" s="107" t="s">
        <v>95</v>
      </c>
      <c r="H23" s="107" t="s">
        <v>95</v>
      </c>
      <c r="I23" s="114"/>
      <c r="J23" s="114"/>
    </row>
    <row r="24" spans="1:135" ht="20.25">
      <c r="A24" s="46" t="s">
        <v>64</v>
      </c>
      <c r="C24" s="144" t="s">
        <v>129</v>
      </c>
      <c r="D24" s="107" t="s">
        <v>95</v>
      </c>
      <c r="F24" s="107" t="s">
        <v>95</v>
      </c>
      <c r="G24" s="107" t="s">
        <v>95</v>
      </c>
      <c r="H24" s="107" t="s">
        <v>95</v>
      </c>
      <c r="I24" s="107"/>
      <c r="J24" s="107"/>
    </row>
    <row r="25" spans="1:135" ht="20.25">
      <c r="A25" s="46" t="s">
        <v>85</v>
      </c>
      <c r="C25" s="107" t="s">
        <v>95</v>
      </c>
      <c r="D25" s="107" t="s">
        <v>95</v>
      </c>
      <c r="F25" s="107" t="s">
        <v>95</v>
      </c>
      <c r="G25" s="107" t="s">
        <v>95</v>
      </c>
      <c r="H25" s="107" t="s">
        <v>95</v>
      </c>
      <c r="I25" s="107"/>
      <c r="J25" s="107"/>
    </row>
    <row r="26" spans="1:135" ht="20.25">
      <c r="A26" s="46" t="s">
        <v>59</v>
      </c>
      <c r="C26" s="107" t="s">
        <v>95</v>
      </c>
      <c r="D26" s="107" t="s">
        <v>95</v>
      </c>
      <c r="F26" s="107" t="s">
        <v>95</v>
      </c>
      <c r="G26" s="107" t="s">
        <v>95</v>
      </c>
      <c r="H26" s="107" t="s">
        <v>95</v>
      </c>
      <c r="I26" s="107"/>
      <c r="J26" s="107"/>
    </row>
    <row r="27" spans="1:135" s="16" customFormat="1" ht="15.75">
      <c r="A27" s="15" t="s">
        <v>18</v>
      </c>
      <c r="B27"/>
      <c r="C27" s="103">
        <f>COUNTIF(C6:C26,"sim")</f>
        <v>11</v>
      </c>
      <c r="D27" s="103">
        <f>COUNTIF(D6:D26,"sim")</f>
        <v>14</v>
      </c>
      <c r="E27"/>
      <c r="F27" s="103">
        <f t="shared" ref="F27:I27" si="0">COUNTIF(F6:F26,"sim")</f>
        <v>13</v>
      </c>
      <c r="G27" s="103">
        <f t="shared" si="0"/>
        <v>13</v>
      </c>
      <c r="H27" s="103">
        <f t="shared" si="0"/>
        <v>13</v>
      </c>
      <c r="I27" s="103">
        <f t="shared" si="0"/>
        <v>0</v>
      </c>
      <c r="J27" s="103">
        <f>COUNTIF(J6:J26,"sim")</f>
        <v>0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</row>
    <row r="28" spans="1:135" s="18" customFormat="1" ht="15.75">
      <c r="A28" s="17" t="s">
        <v>19</v>
      </c>
      <c r="B28"/>
      <c r="C28" s="104">
        <f>COUNTIF(C6:C26,"não")</f>
        <v>2</v>
      </c>
      <c r="D28" s="104">
        <f>COUNTIF(D6:D26,"não")</f>
        <v>0</v>
      </c>
      <c r="E28"/>
      <c r="F28" s="104">
        <f t="shared" ref="F28:I28" si="1">COUNTIF(F6:F26,"não")</f>
        <v>0</v>
      </c>
      <c r="G28" s="104">
        <f t="shared" si="1"/>
        <v>0</v>
      </c>
      <c r="H28" s="104">
        <f t="shared" si="1"/>
        <v>0</v>
      </c>
      <c r="I28" s="104">
        <f t="shared" si="1"/>
        <v>0</v>
      </c>
      <c r="J28" s="104">
        <f>COUNTIF(J6:J26,"não")</f>
        <v>0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</row>
    <row r="29" spans="1:135" ht="15.75">
      <c r="A29" s="14" t="s">
        <v>11</v>
      </c>
      <c r="C29" s="40">
        <f>COUNTIF(C6:C26,"ausente")</f>
        <v>6</v>
      </c>
      <c r="D29" s="40">
        <f>COUNTIF(D6:D26,"ausente")</f>
        <v>6</v>
      </c>
      <c r="F29" s="40">
        <f t="shared" ref="F29:I29" si="2">COUNTIF(F6:F26,"ausente")</f>
        <v>7</v>
      </c>
      <c r="G29" s="40">
        <f t="shared" si="2"/>
        <v>7</v>
      </c>
      <c r="H29" s="40">
        <f t="shared" si="2"/>
        <v>7</v>
      </c>
      <c r="I29" s="40">
        <f t="shared" si="2"/>
        <v>0</v>
      </c>
      <c r="J29" s="40">
        <f>COUNTIF(J6:J26,"ausente")</f>
        <v>0</v>
      </c>
    </row>
    <row r="30" spans="1:135" s="20" customFormat="1" ht="15.75">
      <c r="A30" s="19" t="s">
        <v>20</v>
      </c>
      <c r="B30"/>
      <c r="C30" s="105">
        <f>COUNTIF(C6:C26,"abstenção")</f>
        <v>1</v>
      </c>
      <c r="D30" s="105">
        <f>COUNTIF(D6:D26,"abstenção")</f>
        <v>0</v>
      </c>
      <c r="E30"/>
      <c r="F30" s="105">
        <f t="shared" ref="F30:I30" si="3">COUNTIF(F6:F26,"abstenção")</f>
        <v>0</v>
      </c>
      <c r="G30" s="105">
        <f t="shared" si="3"/>
        <v>0</v>
      </c>
      <c r="H30" s="105">
        <f t="shared" si="3"/>
        <v>0</v>
      </c>
      <c r="I30" s="105">
        <f t="shared" si="3"/>
        <v>0</v>
      </c>
      <c r="J30" s="105">
        <f t="shared" ref="J30" si="4">COUNTIF(J6:J26,"abstenção")</f>
        <v>0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</row>
    <row r="31" spans="1:135" s="20" customFormat="1" ht="15.75">
      <c r="A31" s="19"/>
      <c r="B31"/>
      <c r="C31" s="105"/>
      <c r="D31" s="105"/>
      <c r="E31"/>
      <c r="F31" s="105"/>
      <c r="G31" s="105"/>
      <c r="H31" s="105"/>
      <c r="I31" s="105"/>
      <c r="J31" s="105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F4" sqref="F4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90</v>
      </c>
      <c r="D4" s="139" t="s">
        <v>105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8" t="s">
        <v>91</v>
      </c>
      <c r="D5" s="118" t="s">
        <v>91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48</v>
      </c>
      <c r="C6" s="107"/>
      <c r="D6" s="107"/>
      <c r="V6" s="7"/>
      <c r="W6" s="7"/>
    </row>
    <row r="7" spans="1:30" ht="18">
      <c r="A7" s="129" t="s">
        <v>63</v>
      </c>
      <c r="C7" s="114"/>
      <c r="D7" s="114"/>
      <c r="V7" s="7"/>
      <c r="W7" s="7"/>
    </row>
    <row r="8" spans="1:30" ht="18">
      <c r="A8" s="129" t="s">
        <v>51</v>
      </c>
      <c r="C8" s="107"/>
      <c r="D8" s="107"/>
      <c r="V8" s="7"/>
      <c r="W8" s="7"/>
    </row>
    <row r="9" spans="1:30" ht="18">
      <c r="A9" s="130" t="s">
        <v>52</v>
      </c>
      <c r="C9" s="114"/>
      <c r="D9" s="114"/>
      <c r="V9" s="7"/>
      <c r="W9" s="7"/>
    </row>
    <row r="10" spans="1:30" ht="18">
      <c r="A10" s="129" t="s">
        <v>27</v>
      </c>
      <c r="C10" s="107"/>
      <c r="D10" s="107"/>
      <c r="V10" s="7"/>
      <c r="W10" s="7"/>
    </row>
    <row r="11" spans="1:30" ht="18">
      <c r="A11" s="129" t="s">
        <v>53</v>
      </c>
      <c r="C11" s="107"/>
      <c r="D11" s="114"/>
      <c r="V11" s="7"/>
      <c r="W11" s="7"/>
    </row>
    <row r="12" spans="1:30" ht="18">
      <c r="A12" s="129" t="s">
        <v>22</v>
      </c>
      <c r="C12" s="107"/>
      <c r="D12" s="107"/>
      <c r="V12" s="7"/>
      <c r="W12" s="7"/>
    </row>
    <row r="13" spans="1:30" ht="18">
      <c r="A13" s="129" t="s">
        <v>23</v>
      </c>
      <c r="C13" s="107"/>
      <c r="D13" s="114"/>
      <c r="V13" s="7"/>
      <c r="W13" s="7"/>
    </row>
    <row r="14" spans="1:30" ht="18">
      <c r="A14" s="129" t="s">
        <v>54</v>
      </c>
      <c r="C14" s="107"/>
      <c r="D14" s="114"/>
      <c r="V14" s="7"/>
      <c r="W14" s="7"/>
    </row>
    <row r="15" spans="1:30" ht="18">
      <c r="A15" s="129" t="s">
        <v>55</v>
      </c>
      <c r="C15" s="107"/>
      <c r="D15" s="107"/>
      <c r="V15" s="7"/>
      <c r="W15" s="7"/>
    </row>
    <row r="16" spans="1:30" ht="18">
      <c r="A16" s="129" t="s">
        <v>56</v>
      </c>
      <c r="C16" s="114"/>
      <c r="D16" s="107"/>
      <c r="V16" s="7"/>
      <c r="W16" s="7"/>
    </row>
    <row r="17" spans="1:124" ht="18">
      <c r="A17" s="129" t="s">
        <v>96</v>
      </c>
      <c r="C17" s="107"/>
      <c r="D17" s="107"/>
      <c r="V17" s="7"/>
      <c r="W17" s="7"/>
    </row>
    <row r="18" spans="1:124" ht="15" customHeight="1">
      <c r="A18" s="129" t="s">
        <v>24</v>
      </c>
      <c r="C18" s="107"/>
      <c r="D18" s="107"/>
      <c r="U18" s="8"/>
      <c r="V18" s="7"/>
      <c r="W18" s="7"/>
    </row>
    <row r="19" spans="1:124" ht="18">
      <c r="A19" s="129" t="s">
        <v>57</v>
      </c>
      <c r="C19" s="107"/>
      <c r="D19" s="107"/>
      <c r="V19" s="7"/>
      <c r="W19" s="7"/>
    </row>
    <row r="20" spans="1:124" ht="18">
      <c r="A20" s="129" t="s">
        <v>97</v>
      </c>
      <c r="C20" s="107"/>
      <c r="D20" s="107"/>
      <c r="V20" s="7"/>
      <c r="W20" s="7"/>
    </row>
    <row r="21" spans="1:124" ht="18">
      <c r="A21" s="129" t="s">
        <v>86</v>
      </c>
      <c r="C21" s="107"/>
      <c r="D21" s="107"/>
      <c r="V21" s="7"/>
      <c r="W21" s="7"/>
    </row>
    <row r="22" spans="1:124" ht="18">
      <c r="A22" s="129" t="s">
        <v>25</v>
      </c>
      <c r="C22" s="114"/>
      <c r="D22" s="114"/>
      <c r="V22" s="7"/>
      <c r="W22" s="7"/>
    </row>
    <row r="23" spans="1:124" ht="18">
      <c r="A23" s="129" t="s">
        <v>58</v>
      </c>
      <c r="C23" s="107"/>
      <c r="D23" s="114"/>
      <c r="V23" s="7"/>
      <c r="W23" s="7"/>
    </row>
    <row r="24" spans="1:124" ht="18">
      <c r="A24" s="129" t="s">
        <v>64</v>
      </c>
      <c r="C24" s="107"/>
      <c r="D24" s="107"/>
      <c r="V24" s="7"/>
      <c r="W24" s="7"/>
    </row>
    <row r="25" spans="1:124" ht="18">
      <c r="A25" s="129" t="s">
        <v>85</v>
      </c>
      <c r="C25" s="107"/>
      <c r="D25" s="107"/>
      <c r="V25" s="7"/>
      <c r="W25" s="7"/>
    </row>
    <row r="26" spans="1:124" ht="18">
      <c r="A26" s="129" t="s">
        <v>59</v>
      </c>
      <c r="C26" s="107"/>
      <c r="D26" s="107"/>
      <c r="V26" s="7"/>
      <c r="W26" s="7"/>
    </row>
    <row r="27" spans="1:124" s="16" customFormat="1" ht="15.75">
      <c r="A27" s="15" t="s">
        <v>18</v>
      </c>
      <c r="B27" s="16">
        <f>COUNTIF(B6:B26,"sim")</f>
        <v>0</v>
      </c>
      <c r="C27" s="103">
        <f>COUNTIF(C6:C26,"sim")</f>
        <v>0</v>
      </c>
      <c r="D27" s="103">
        <f>COUNTIF(D6:D26,"sim")</f>
        <v>0</v>
      </c>
      <c r="K27" s="16">
        <f t="shared" ref="K27:AP27" si="0">COUNTIF(K6:K26,"sim")</f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  <c r="X27" s="16">
        <f t="shared" si="0"/>
        <v>0</v>
      </c>
      <c r="Y27" s="16">
        <f t="shared" si="0"/>
        <v>0</v>
      </c>
      <c r="Z27" s="16">
        <f t="shared" si="0"/>
        <v>0</v>
      </c>
      <c r="AA27" s="16">
        <f t="shared" si="0"/>
        <v>0</v>
      </c>
      <c r="AB27" s="16">
        <f t="shared" si="0"/>
        <v>0</v>
      </c>
      <c r="AC27" s="16">
        <f t="shared" si="0"/>
        <v>0</v>
      </c>
      <c r="AD27" s="16">
        <f t="shared" si="0"/>
        <v>0</v>
      </c>
      <c r="AE27" s="16">
        <f t="shared" si="0"/>
        <v>0</v>
      </c>
      <c r="AF27" s="16">
        <f t="shared" si="0"/>
        <v>0</v>
      </c>
      <c r="AG27" s="16">
        <f t="shared" si="0"/>
        <v>0</v>
      </c>
      <c r="AH27" s="16">
        <f t="shared" si="0"/>
        <v>0</v>
      </c>
      <c r="AI27" s="16">
        <f t="shared" si="0"/>
        <v>0</v>
      </c>
      <c r="AJ27" s="16">
        <f t="shared" si="0"/>
        <v>0</v>
      </c>
      <c r="AK27" s="16">
        <f t="shared" si="0"/>
        <v>0</v>
      </c>
      <c r="AL27" s="16">
        <f t="shared" si="0"/>
        <v>0</v>
      </c>
      <c r="AM27" s="16">
        <f t="shared" si="0"/>
        <v>0</v>
      </c>
      <c r="AN27" s="16">
        <f t="shared" si="0"/>
        <v>0</v>
      </c>
      <c r="AO27" s="16">
        <f t="shared" si="0"/>
        <v>0</v>
      </c>
      <c r="AP27" s="16">
        <f t="shared" si="0"/>
        <v>0</v>
      </c>
      <c r="AQ27" s="16">
        <f t="shared" ref="AQ27:BV27" si="1">COUNTIF(AQ6:AQ26,"sim")</f>
        <v>0</v>
      </c>
      <c r="AR27" s="16">
        <f t="shared" si="1"/>
        <v>0</v>
      </c>
      <c r="AS27" s="16">
        <f t="shared" si="1"/>
        <v>0</v>
      </c>
      <c r="AT27" s="16">
        <f t="shared" si="1"/>
        <v>0</v>
      </c>
      <c r="AU27" s="16">
        <f t="shared" si="1"/>
        <v>0</v>
      </c>
      <c r="AV27" s="16">
        <f t="shared" si="1"/>
        <v>0</v>
      </c>
      <c r="AW27" s="16">
        <f t="shared" si="1"/>
        <v>0</v>
      </c>
      <c r="AX27" s="16">
        <f t="shared" si="1"/>
        <v>0</v>
      </c>
      <c r="AY27" s="16">
        <f t="shared" si="1"/>
        <v>0</v>
      </c>
      <c r="AZ27" s="16">
        <f t="shared" si="1"/>
        <v>0</v>
      </c>
      <c r="BA27" s="16">
        <f t="shared" si="1"/>
        <v>0</v>
      </c>
      <c r="BB27" s="16">
        <f t="shared" si="1"/>
        <v>0</v>
      </c>
      <c r="BC27" s="16">
        <f t="shared" si="1"/>
        <v>0</v>
      </c>
      <c r="BD27" s="16">
        <f t="shared" si="1"/>
        <v>0</v>
      </c>
      <c r="BE27" s="16">
        <f t="shared" si="1"/>
        <v>0</v>
      </c>
      <c r="BF27" s="16">
        <f t="shared" si="1"/>
        <v>0</v>
      </c>
      <c r="BG27" s="16">
        <f t="shared" si="1"/>
        <v>0</v>
      </c>
      <c r="BH27" s="16">
        <f t="shared" si="1"/>
        <v>0</v>
      </c>
      <c r="BI27" s="16">
        <f t="shared" si="1"/>
        <v>0</v>
      </c>
      <c r="BJ27" s="16">
        <f t="shared" si="1"/>
        <v>0</v>
      </c>
      <c r="BK27" s="16">
        <f t="shared" si="1"/>
        <v>0</v>
      </c>
      <c r="BL27" s="16">
        <f t="shared" si="1"/>
        <v>0</v>
      </c>
      <c r="BM27" s="16">
        <f t="shared" si="1"/>
        <v>0</v>
      </c>
      <c r="BN27" s="16">
        <f t="shared" si="1"/>
        <v>0</v>
      </c>
      <c r="BO27" s="16">
        <f t="shared" si="1"/>
        <v>0</v>
      </c>
      <c r="BP27" s="16">
        <f t="shared" si="1"/>
        <v>0</v>
      </c>
      <c r="BQ27" s="16">
        <f t="shared" si="1"/>
        <v>0</v>
      </c>
      <c r="BR27" s="16">
        <f t="shared" si="1"/>
        <v>0</v>
      </c>
      <c r="BS27" s="16">
        <f t="shared" si="1"/>
        <v>0</v>
      </c>
      <c r="BT27" s="16">
        <f t="shared" si="1"/>
        <v>0</v>
      </c>
      <c r="BU27" s="16">
        <f t="shared" si="1"/>
        <v>0</v>
      </c>
      <c r="BV27" s="16">
        <f t="shared" si="1"/>
        <v>0</v>
      </c>
      <c r="BW27" s="16">
        <f t="shared" ref="BW27:DB27" si="2">COUNTIF(BW6:BW26,"sim")</f>
        <v>0</v>
      </c>
      <c r="BX27" s="16">
        <f t="shared" si="2"/>
        <v>0</v>
      </c>
      <c r="BY27" s="16">
        <f t="shared" si="2"/>
        <v>0</v>
      </c>
      <c r="BZ27" s="16">
        <f t="shared" si="2"/>
        <v>0</v>
      </c>
      <c r="CA27" s="16">
        <f t="shared" si="2"/>
        <v>0</v>
      </c>
      <c r="CB27" s="16">
        <f t="shared" si="2"/>
        <v>0</v>
      </c>
      <c r="CC27" s="16">
        <f t="shared" si="2"/>
        <v>0</v>
      </c>
      <c r="CD27" s="16">
        <f t="shared" si="2"/>
        <v>0</v>
      </c>
      <c r="CE27" s="16">
        <f t="shared" si="2"/>
        <v>0</v>
      </c>
      <c r="CF27" s="16">
        <f t="shared" si="2"/>
        <v>0</v>
      </c>
      <c r="CG27" s="16">
        <f t="shared" si="2"/>
        <v>0</v>
      </c>
      <c r="CH27" s="16">
        <f t="shared" si="2"/>
        <v>0</v>
      </c>
      <c r="CI27" s="16">
        <f t="shared" si="2"/>
        <v>0</v>
      </c>
      <c r="CJ27" s="16">
        <f t="shared" si="2"/>
        <v>0</v>
      </c>
      <c r="CK27" s="16">
        <f t="shared" si="2"/>
        <v>0</v>
      </c>
      <c r="CL27" s="16">
        <f t="shared" si="2"/>
        <v>0</v>
      </c>
      <c r="CM27" s="16">
        <f t="shared" si="2"/>
        <v>0</v>
      </c>
      <c r="CN27" s="16">
        <f t="shared" si="2"/>
        <v>0</v>
      </c>
      <c r="CO27" s="16">
        <f t="shared" si="2"/>
        <v>0</v>
      </c>
      <c r="CP27" s="16">
        <f t="shared" si="2"/>
        <v>0</v>
      </c>
      <c r="CQ27" s="16">
        <f t="shared" si="2"/>
        <v>0</v>
      </c>
      <c r="CR27" s="16">
        <f t="shared" si="2"/>
        <v>0</v>
      </c>
      <c r="CS27" s="16">
        <f t="shared" si="2"/>
        <v>0</v>
      </c>
      <c r="CT27" s="16">
        <f t="shared" si="2"/>
        <v>0</v>
      </c>
      <c r="CU27" s="16">
        <f t="shared" si="2"/>
        <v>0</v>
      </c>
      <c r="CV27" s="16">
        <f t="shared" si="2"/>
        <v>0</v>
      </c>
      <c r="CW27" s="16">
        <f t="shared" si="2"/>
        <v>0</v>
      </c>
      <c r="CX27" s="16">
        <f t="shared" si="2"/>
        <v>0</v>
      </c>
      <c r="CY27" s="16">
        <f t="shared" si="2"/>
        <v>0</v>
      </c>
      <c r="CZ27" s="16">
        <f t="shared" si="2"/>
        <v>0</v>
      </c>
      <c r="DA27" s="16">
        <f t="shared" si="2"/>
        <v>0</v>
      </c>
      <c r="DB27" s="16">
        <f t="shared" si="2"/>
        <v>0</v>
      </c>
      <c r="DC27" s="16">
        <f t="shared" ref="DC27:DT27" si="3">COUNTIF(DC6:DC26,"sim")</f>
        <v>0</v>
      </c>
      <c r="DD27" s="16">
        <f t="shared" si="3"/>
        <v>0</v>
      </c>
      <c r="DE27" s="16">
        <f t="shared" si="3"/>
        <v>0</v>
      </c>
      <c r="DF27" s="16">
        <f t="shared" si="3"/>
        <v>0</v>
      </c>
      <c r="DG27" s="16">
        <f t="shared" si="3"/>
        <v>0</v>
      </c>
      <c r="DH27" s="16">
        <f t="shared" si="3"/>
        <v>0</v>
      </c>
      <c r="DI27" s="16">
        <f t="shared" si="3"/>
        <v>0</v>
      </c>
      <c r="DJ27" s="16">
        <f t="shared" si="3"/>
        <v>0</v>
      </c>
      <c r="DK27" s="16">
        <f t="shared" si="3"/>
        <v>0</v>
      </c>
      <c r="DL27" s="16">
        <f t="shared" si="3"/>
        <v>0</v>
      </c>
      <c r="DM27" s="16">
        <f t="shared" si="3"/>
        <v>0</v>
      </c>
      <c r="DN27" s="16">
        <f t="shared" si="3"/>
        <v>0</v>
      </c>
      <c r="DO27" s="16">
        <f t="shared" si="3"/>
        <v>0</v>
      </c>
      <c r="DP27" s="16">
        <f t="shared" si="3"/>
        <v>0</v>
      </c>
      <c r="DQ27" s="16">
        <f t="shared" si="3"/>
        <v>0</v>
      </c>
      <c r="DR27" s="16">
        <f t="shared" si="3"/>
        <v>0</v>
      </c>
      <c r="DS27" s="16">
        <f t="shared" si="3"/>
        <v>0</v>
      </c>
      <c r="DT27" s="16">
        <f t="shared" si="3"/>
        <v>0</v>
      </c>
    </row>
    <row r="28" spans="1:124" s="18" customFormat="1" ht="15.75">
      <c r="A28" s="17" t="s">
        <v>19</v>
      </c>
      <c r="B28" s="18">
        <f>COUNTIF(B6:B26,"não")</f>
        <v>0</v>
      </c>
      <c r="C28" s="104">
        <f>COUNTIF(C6:C26,"não")</f>
        <v>0</v>
      </c>
      <c r="D28" s="104">
        <f>COUNTIF(D6:D26,"não")</f>
        <v>0</v>
      </c>
      <c r="K28" s="18">
        <f t="shared" ref="K28:AP28" si="4">COUNTIF(K6:K27,"não")</f>
        <v>0</v>
      </c>
      <c r="L28" s="18">
        <f t="shared" si="4"/>
        <v>0</v>
      </c>
      <c r="M28" s="18">
        <f t="shared" si="4"/>
        <v>0</v>
      </c>
      <c r="N28" s="18">
        <f t="shared" si="4"/>
        <v>0</v>
      </c>
      <c r="O28" s="18">
        <f t="shared" si="4"/>
        <v>0</v>
      </c>
      <c r="P28" s="18">
        <f t="shared" si="4"/>
        <v>0</v>
      </c>
      <c r="Q28" s="18">
        <f t="shared" si="4"/>
        <v>0</v>
      </c>
      <c r="R28" s="18">
        <f t="shared" si="4"/>
        <v>0</v>
      </c>
      <c r="S28" s="18">
        <f t="shared" si="4"/>
        <v>0</v>
      </c>
      <c r="T28" s="18">
        <f t="shared" si="4"/>
        <v>0</v>
      </c>
      <c r="U28" s="18">
        <f t="shared" si="4"/>
        <v>0</v>
      </c>
      <c r="V28" s="18">
        <f t="shared" si="4"/>
        <v>0</v>
      </c>
      <c r="W28" s="18">
        <f t="shared" si="4"/>
        <v>0</v>
      </c>
      <c r="X28" s="18">
        <f t="shared" si="4"/>
        <v>0</v>
      </c>
      <c r="Y28" s="18">
        <f t="shared" si="4"/>
        <v>0</v>
      </c>
      <c r="Z28" s="18">
        <f t="shared" si="4"/>
        <v>0</v>
      </c>
      <c r="AA28" s="18">
        <f t="shared" si="4"/>
        <v>0</v>
      </c>
      <c r="AB28" s="18">
        <f t="shared" si="4"/>
        <v>0</v>
      </c>
      <c r="AC28" s="18">
        <f t="shared" si="4"/>
        <v>0</v>
      </c>
      <c r="AD28" s="18">
        <f t="shared" si="4"/>
        <v>0</v>
      </c>
      <c r="AE28" s="18">
        <f t="shared" si="4"/>
        <v>0</v>
      </c>
      <c r="AF28" s="18">
        <f t="shared" si="4"/>
        <v>0</v>
      </c>
      <c r="AG28" s="18">
        <f t="shared" si="4"/>
        <v>0</v>
      </c>
      <c r="AH28" s="18">
        <f t="shared" si="4"/>
        <v>0</v>
      </c>
      <c r="AI28" s="18">
        <f t="shared" si="4"/>
        <v>0</v>
      </c>
      <c r="AJ28" s="18">
        <f t="shared" si="4"/>
        <v>0</v>
      </c>
      <c r="AK28" s="18">
        <f t="shared" si="4"/>
        <v>0</v>
      </c>
      <c r="AL28" s="18">
        <f t="shared" si="4"/>
        <v>0</v>
      </c>
      <c r="AM28" s="18">
        <f t="shared" si="4"/>
        <v>0</v>
      </c>
      <c r="AN28" s="18">
        <f t="shared" si="4"/>
        <v>0</v>
      </c>
      <c r="AO28" s="18">
        <f t="shared" si="4"/>
        <v>0</v>
      </c>
      <c r="AP28" s="18">
        <f t="shared" si="4"/>
        <v>0</v>
      </c>
      <c r="AQ28" s="18">
        <f t="shared" ref="AQ28:BV28" si="5">COUNTIF(AQ6:AQ27,"não")</f>
        <v>0</v>
      </c>
      <c r="AR28" s="18">
        <f t="shared" si="5"/>
        <v>0</v>
      </c>
      <c r="AS28" s="18">
        <f t="shared" si="5"/>
        <v>0</v>
      </c>
      <c r="AT28" s="18">
        <f t="shared" si="5"/>
        <v>0</v>
      </c>
      <c r="AU28" s="18">
        <f t="shared" si="5"/>
        <v>0</v>
      </c>
      <c r="AV28" s="18">
        <f t="shared" si="5"/>
        <v>0</v>
      </c>
      <c r="AW28" s="18">
        <f t="shared" si="5"/>
        <v>0</v>
      </c>
      <c r="AX28" s="18">
        <f t="shared" si="5"/>
        <v>0</v>
      </c>
      <c r="AY28" s="18">
        <f t="shared" si="5"/>
        <v>0</v>
      </c>
      <c r="AZ28" s="18">
        <f t="shared" si="5"/>
        <v>0</v>
      </c>
      <c r="BA28" s="18">
        <f t="shared" si="5"/>
        <v>0</v>
      </c>
      <c r="BB28" s="18">
        <f t="shared" si="5"/>
        <v>0</v>
      </c>
      <c r="BC28" s="18">
        <f t="shared" si="5"/>
        <v>0</v>
      </c>
      <c r="BD28" s="18">
        <f t="shared" si="5"/>
        <v>0</v>
      </c>
      <c r="BE28" s="18">
        <f t="shared" si="5"/>
        <v>0</v>
      </c>
      <c r="BF28" s="18">
        <f t="shared" si="5"/>
        <v>0</v>
      </c>
      <c r="BG28" s="18">
        <f t="shared" si="5"/>
        <v>0</v>
      </c>
      <c r="BH28" s="18">
        <f t="shared" si="5"/>
        <v>0</v>
      </c>
      <c r="BI28" s="18">
        <f t="shared" si="5"/>
        <v>0</v>
      </c>
      <c r="BJ28" s="18">
        <f t="shared" si="5"/>
        <v>0</v>
      </c>
      <c r="BK28" s="18">
        <f t="shared" si="5"/>
        <v>0</v>
      </c>
      <c r="BL28" s="18">
        <f t="shared" si="5"/>
        <v>0</v>
      </c>
      <c r="BM28" s="18">
        <f t="shared" si="5"/>
        <v>0</v>
      </c>
      <c r="BN28" s="18">
        <f t="shared" si="5"/>
        <v>0</v>
      </c>
      <c r="BO28" s="18">
        <f t="shared" si="5"/>
        <v>0</v>
      </c>
      <c r="BP28" s="18">
        <f t="shared" si="5"/>
        <v>0</v>
      </c>
      <c r="BQ28" s="18">
        <f t="shared" si="5"/>
        <v>0</v>
      </c>
      <c r="BR28" s="18">
        <f t="shared" si="5"/>
        <v>0</v>
      </c>
      <c r="BS28" s="18">
        <f t="shared" si="5"/>
        <v>0</v>
      </c>
      <c r="BT28" s="18">
        <f t="shared" si="5"/>
        <v>0</v>
      </c>
      <c r="BU28" s="18">
        <f t="shared" si="5"/>
        <v>0</v>
      </c>
      <c r="BV28" s="18">
        <f t="shared" si="5"/>
        <v>0</v>
      </c>
      <c r="BW28" s="18">
        <f t="shared" ref="BW28:DB28" si="6">COUNTIF(BW6:BW27,"não")</f>
        <v>0</v>
      </c>
      <c r="BX28" s="18">
        <f t="shared" si="6"/>
        <v>0</v>
      </c>
      <c r="BY28" s="18">
        <f t="shared" si="6"/>
        <v>0</v>
      </c>
      <c r="BZ28" s="18">
        <f t="shared" si="6"/>
        <v>0</v>
      </c>
      <c r="CA28" s="18">
        <f t="shared" si="6"/>
        <v>0</v>
      </c>
      <c r="CB28" s="18">
        <f t="shared" si="6"/>
        <v>0</v>
      </c>
      <c r="CC28" s="18">
        <f t="shared" si="6"/>
        <v>0</v>
      </c>
      <c r="CD28" s="18">
        <f t="shared" si="6"/>
        <v>0</v>
      </c>
      <c r="CE28" s="18">
        <f t="shared" si="6"/>
        <v>0</v>
      </c>
      <c r="CF28" s="18">
        <f t="shared" si="6"/>
        <v>0</v>
      </c>
      <c r="CG28" s="18">
        <f t="shared" si="6"/>
        <v>0</v>
      </c>
      <c r="CH28" s="18">
        <f t="shared" si="6"/>
        <v>0</v>
      </c>
      <c r="CI28" s="18">
        <f t="shared" si="6"/>
        <v>0</v>
      </c>
      <c r="CJ28" s="18">
        <f t="shared" si="6"/>
        <v>0</v>
      </c>
      <c r="CK28" s="18">
        <f t="shared" si="6"/>
        <v>0</v>
      </c>
      <c r="CL28" s="18">
        <f t="shared" si="6"/>
        <v>0</v>
      </c>
      <c r="CM28" s="18">
        <f t="shared" si="6"/>
        <v>0</v>
      </c>
      <c r="CN28" s="18">
        <f t="shared" si="6"/>
        <v>0</v>
      </c>
      <c r="CO28" s="18">
        <f t="shared" si="6"/>
        <v>0</v>
      </c>
      <c r="CP28" s="18">
        <f t="shared" si="6"/>
        <v>0</v>
      </c>
      <c r="CQ28" s="18">
        <f t="shared" si="6"/>
        <v>0</v>
      </c>
      <c r="CR28" s="18">
        <f t="shared" si="6"/>
        <v>0</v>
      </c>
      <c r="CS28" s="18">
        <f t="shared" si="6"/>
        <v>0</v>
      </c>
      <c r="CT28" s="18">
        <f t="shared" si="6"/>
        <v>0</v>
      </c>
      <c r="CU28" s="18">
        <f t="shared" si="6"/>
        <v>0</v>
      </c>
      <c r="CV28" s="18">
        <f t="shared" si="6"/>
        <v>0</v>
      </c>
      <c r="CW28" s="18">
        <f t="shared" si="6"/>
        <v>0</v>
      </c>
      <c r="CX28" s="18">
        <f t="shared" si="6"/>
        <v>0</v>
      </c>
      <c r="CY28" s="18">
        <f t="shared" si="6"/>
        <v>0</v>
      </c>
      <c r="CZ28" s="18">
        <f t="shared" si="6"/>
        <v>0</v>
      </c>
      <c r="DA28" s="18">
        <f t="shared" si="6"/>
        <v>0</v>
      </c>
      <c r="DB28" s="18">
        <f t="shared" si="6"/>
        <v>0</v>
      </c>
      <c r="DC28" s="18">
        <f t="shared" ref="DC28:DT28" si="7">COUNTIF(DC6:DC27,"não")</f>
        <v>0</v>
      </c>
      <c r="DD28" s="18">
        <f t="shared" si="7"/>
        <v>0</v>
      </c>
      <c r="DE28" s="18">
        <f t="shared" si="7"/>
        <v>0</v>
      </c>
      <c r="DF28" s="18">
        <f t="shared" si="7"/>
        <v>0</v>
      </c>
      <c r="DG28" s="18">
        <f t="shared" si="7"/>
        <v>0</v>
      </c>
      <c r="DH28" s="18">
        <f t="shared" si="7"/>
        <v>0</v>
      </c>
      <c r="DI28" s="18">
        <f t="shared" si="7"/>
        <v>0</v>
      </c>
      <c r="DJ28" s="18">
        <f t="shared" si="7"/>
        <v>0</v>
      </c>
      <c r="DK28" s="18">
        <f t="shared" si="7"/>
        <v>0</v>
      </c>
      <c r="DL28" s="18">
        <f t="shared" si="7"/>
        <v>0</v>
      </c>
      <c r="DM28" s="18">
        <f t="shared" si="7"/>
        <v>0</v>
      </c>
      <c r="DN28" s="18">
        <f t="shared" si="7"/>
        <v>0</v>
      </c>
      <c r="DO28" s="18">
        <f t="shared" si="7"/>
        <v>0</v>
      </c>
      <c r="DP28" s="18">
        <f t="shared" si="7"/>
        <v>0</v>
      </c>
      <c r="DQ28" s="18">
        <f t="shared" si="7"/>
        <v>0</v>
      </c>
      <c r="DR28" s="18">
        <f t="shared" si="7"/>
        <v>0</v>
      </c>
      <c r="DS28" s="18">
        <f t="shared" si="7"/>
        <v>0</v>
      </c>
      <c r="DT28" s="18">
        <f t="shared" si="7"/>
        <v>0</v>
      </c>
    </row>
    <row r="29" spans="1:124" ht="15.75">
      <c r="A29" s="14" t="s">
        <v>11</v>
      </c>
      <c r="B29">
        <f>COUNTIF(B6:B26,"ausente")</f>
        <v>0</v>
      </c>
      <c r="C29" s="40">
        <f>COUNTIF(C6:C26,"ausente")</f>
        <v>0</v>
      </c>
      <c r="D29" s="40">
        <f>COUNTIF(D6:D26,"ausente")</f>
        <v>0</v>
      </c>
      <c r="K29">
        <f t="shared" ref="K29:AP29" si="8">COUNTIF(K6:K28,"ausente")</f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si="8"/>
        <v>0</v>
      </c>
      <c r="AQ29">
        <f t="shared" ref="AQ29:BV29" si="9">COUNTIF(AQ6:AQ28,"ausente")</f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si="9"/>
        <v>0</v>
      </c>
      <c r="BW29">
        <f t="shared" ref="BW29:DB29" si="10">COUNTIF(BW6:BW28,"ausente")</f>
        <v>0</v>
      </c>
      <c r="BX29">
        <f t="shared" si="10"/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si="10"/>
        <v>0</v>
      </c>
      <c r="DC29">
        <f t="shared" ref="DC29:DT29" si="11">COUNTIF(DC6:DC28,"ausente")</f>
        <v>0</v>
      </c>
      <c r="DD29">
        <f t="shared" si="11"/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  <c r="DT29">
        <f t="shared" si="11"/>
        <v>0</v>
      </c>
    </row>
    <row r="30" spans="1:124" s="20" customFormat="1" ht="15.75">
      <c r="A30" s="19" t="s">
        <v>20</v>
      </c>
      <c r="B30" s="20">
        <f>COUNTIF(B6:B26,"abstenção")</f>
        <v>0</v>
      </c>
      <c r="C30" s="105">
        <f>COUNTIF(C6:C26,"abstenção")</f>
        <v>0</v>
      </c>
      <c r="D30" s="105">
        <f>COUNTIF(D6:D26,"abstenção")</f>
        <v>0</v>
      </c>
      <c r="K30" s="20">
        <f t="shared" ref="K30:AP30" si="12">COUNTIF(K10:K29,"abstenção")</f>
        <v>0</v>
      </c>
      <c r="L30" s="20">
        <f t="shared" si="12"/>
        <v>0</v>
      </c>
      <c r="M30" s="20">
        <f t="shared" si="12"/>
        <v>0</v>
      </c>
      <c r="N30" s="20">
        <f t="shared" si="12"/>
        <v>0</v>
      </c>
      <c r="O30" s="20">
        <f t="shared" si="12"/>
        <v>0</v>
      </c>
      <c r="P30" s="20">
        <f t="shared" si="12"/>
        <v>0</v>
      </c>
      <c r="Q30" s="20">
        <f t="shared" si="12"/>
        <v>0</v>
      </c>
      <c r="R30" s="20">
        <f t="shared" si="12"/>
        <v>0</v>
      </c>
      <c r="S30" s="20">
        <f t="shared" si="12"/>
        <v>0</v>
      </c>
      <c r="T30" s="20">
        <f t="shared" si="12"/>
        <v>0</v>
      </c>
      <c r="U30" s="20">
        <f t="shared" si="12"/>
        <v>0</v>
      </c>
      <c r="V30" s="20">
        <f t="shared" si="12"/>
        <v>0</v>
      </c>
      <c r="W30" s="20">
        <f t="shared" si="12"/>
        <v>0</v>
      </c>
      <c r="X30" s="20">
        <f t="shared" si="12"/>
        <v>0</v>
      </c>
      <c r="Y30" s="20">
        <f t="shared" si="12"/>
        <v>0</v>
      </c>
      <c r="Z30" s="20">
        <f t="shared" si="12"/>
        <v>0</v>
      </c>
      <c r="AA30" s="20">
        <f t="shared" si="12"/>
        <v>0</v>
      </c>
      <c r="AB30" s="20">
        <f t="shared" si="12"/>
        <v>0</v>
      </c>
      <c r="AC30" s="20">
        <f t="shared" si="12"/>
        <v>0</v>
      </c>
      <c r="AD30" s="20">
        <f t="shared" si="12"/>
        <v>0</v>
      </c>
      <c r="AE30" s="20">
        <f t="shared" si="12"/>
        <v>0</v>
      </c>
      <c r="AF30" s="20">
        <f t="shared" si="12"/>
        <v>0</v>
      </c>
      <c r="AG30" s="20">
        <f t="shared" si="12"/>
        <v>0</v>
      </c>
      <c r="AH30" s="20">
        <f t="shared" si="12"/>
        <v>0</v>
      </c>
      <c r="AI30" s="20">
        <f t="shared" si="12"/>
        <v>0</v>
      </c>
      <c r="AJ30" s="20">
        <f t="shared" si="12"/>
        <v>0</v>
      </c>
      <c r="AK30" s="20">
        <f t="shared" si="12"/>
        <v>0</v>
      </c>
      <c r="AL30" s="20">
        <f t="shared" si="12"/>
        <v>0</v>
      </c>
      <c r="AM30" s="20">
        <f t="shared" si="12"/>
        <v>0</v>
      </c>
      <c r="AN30" s="20">
        <f t="shared" si="12"/>
        <v>0</v>
      </c>
      <c r="AO30" s="20">
        <f t="shared" si="12"/>
        <v>0</v>
      </c>
      <c r="AP30" s="20">
        <f t="shared" si="12"/>
        <v>0</v>
      </c>
      <c r="AQ30" s="20">
        <f t="shared" ref="AQ30:BV30" si="13">COUNTIF(AQ10:AQ29,"abstenção")</f>
        <v>0</v>
      </c>
      <c r="AR30" s="20">
        <f t="shared" si="13"/>
        <v>0</v>
      </c>
      <c r="AS30" s="20">
        <f t="shared" si="13"/>
        <v>0</v>
      </c>
      <c r="AT30" s="20">
        <f t="shared" si="13"/>
        <v>0</v>
      </c>
      <c r="AU30" s="20">
        <f t="shared" si="13"/>
        <v>0</v>
      </c>
      <c r="AV30" s="20">
        <f t="shared" si="13"/>
        <v>0</v>
      </c>
      <c r="AW30" s="20">
        <f t="shared" si="13"/>
        <v>0</v>
      </c>
      <c r="AX30" s="20">
        <f t="shared" si="13"/>
        <v>0</v>
      </c>
      <c r="AY30" s="20">
        <f t="shared" si="13"/>
        <v>0</v>
      </c>
      <c r="AZ30" s="20">
        <f t="shared" si="13"/>
        <v>0</v>
      </c>
      <c r="BA30" s="20">
        <f t="shared" si="13"/>
        <v>0</v>
      </c>
      <c r="BB30" s="20">
        <f t="shared" si="13"/>
        <v>0</v>
      </c>
      <c r="BC30" s="20">
        <f t="shared" si="13"/>
        <v>0</v>
      </c>
      <c r="BD30" s="20">
        <f t="shared" si="13"/>
        <v>0</v>
      </c>
      <c r="BE30" s="20">
        <f t="shared" si="13"/>
        <v>0</v>
      </c>
      <c r="BF30" s="20">
        <f t="shared" si="13"/>
        <v>0</v>
      </c>
      <c r="BG30" s="20">
        <f t="shared" si="13"/>
        <v>0</v>
      </c>
      <c r="BH30" s="20">
        <f t="shared" si="13"/>
        <v>0</v>
      </c>
      <c r="BI30" s="20">
        <f t="shared" si="13"/>
        <v>0</v>
      </c>
      <c r="BJ30" s="20">
        <f t="shared" si="13"/>
        <v>0</v>
      </c>
      <c r="BK30" s="20">
        <f t="shared" si="13"/>
        <v>0</v>
      </c>
      <c r="BL30" s="20">
        <f t="shared" si="13"/>
        <v>0</v>
      </c>
      <c r="BM30" s="20">
        <f t="shared" si="13"/>
        <v>0</v>
      </c>
      <c r="BN30" s="20">
        <f t="shared" si="13"/>
        <v>0</v>
      </c>
      <c r="BO30" s="20">
        <f t="shared" si="13"/>
        <v>0</v>
      </c>
      <c r="BP30" s="20">
        <f t="shared" si="13"/>
        <v>0</v>
      </c>
      <c r="BQ30" s="20">
        <f t="shared" si="13"/>
        <v>0</v>
      </c>
      <c r="BR30" s="20">
        <f t="shared" si="13"/>
        <v>0</v>
      </c>
      <c r="BS30" s="20">
        <f t="shared" si="13"/>
        <v>0</v>
      </c>
      <c r="BT30" s="20">
        <f t="shared" si="13"/>
        <v>0</v>
      </c>
      <c r="BU30" s="20">
        <f t="shared" si="13"/>
        <v>0</v>
      </c>
      <c r="BV30" s="20">
        <f t="shared" si="13"/>
        <v>0</v>
      </c>
      <c r="BW30" s="20">
        <f t="shared" ref="BW30:DB30" si="14">COUNTIF(BW10:BW29,"abstenção")</f>
        <v>0</v>
      </c>
      <c r="BX30" s="20">
        <f t="shared" si="14"/>
        <v>0</v>
      </c>
      <c r="BY30" s="20">
        <f t="shared" si="14"/>
        <v>0</v>
      </c>
      <c r="BZ30" s="20">
        <f t="shared" si="14"/>
        <v>0</v>
      </c>
      <c r="CA30" s="20">
        <f t="shared" si="14"/>
        <v>0</v>
      </c>
      <c r="CB30" s="20">
        <f t="shared" si="14"/>
        <v>0</v>
      </c>
      <c r="CC30" s="20">
        <f t="shared" si="14"/>
        <v>0</v>
      </c>
      <c r="CD30" s="20">
        <f t="shared" si="14"/>
        <v>0</v>
      </c>
      <c r="CE30" s="20">
        <f t="shared" si="14"/>
        <v>0</v>
      </c>
      <c r="CF30" s="20">
        <f t="shared" si="14"/>
        <v>0</v>
      </c>
      <c r="CG30" s="20">
        <f t="shared" si="14"/>
        <v>0</v>
      </c>
      <c r="CH30" s="20">
        <f t="shared" si="14"/>
        <v>0</v>
      </c>
      <c r="CI30" s="20">
        <f t="shared" si="14"/>
        <v>0</v>
      </c>
      <c r="CJ30" s="20">
        <f t="shared" si="14"/>
        <v>0</v>
      </c>
      <c r="CK30" s="20">
        <f t="shared" si="14"/>
        <v>0</v>
      </c>
      <c r="CL30" s="20">
        <f t="shared" si="14"/>
        <v>0</v>
      </c>
      <c r="CM30" s="20">
        <f t="shared" si="14"/>
        <v>0</v>
      </c>
      <c r="CN30" s="20">
        <f t="shared" si="14"/>
        <v>0</v>
      </c>
      <c r="CO30" s="20">
        <f t="shared" si="14"/>
        <v>0</v>
      </c>
      <c r="CP30" s="20">
        <f t="shared" si="14"/>
        <v>0</v>
      </c>
      <c r="CQ30" s="20">
        <f t="shared" si="14"/>
        <v>0</v>
      </c>
      <c r="CR30" s="20">
        <f t="shared" si="14"/>
        <v>0</v>
      </c>
      <c r="CS30" s="20">
        <f t="shared" si="14"/>
        <v>0</v>
      </c>
      <c r="CT30" s="20">
        <f t="shared" si="14"/>
        <v>0</v>
      </c>
      <c r="CU30" s="20">
        <f t="shared" si="14"/>
        <v>0</v>
      </c>
      <c r="CV30" s="20">
        <f t="shared" si="14"/>
        <v>0</v>
      </c>
      <c r="CW30" s="20">
        <f t="shared" si="14"/>
        <v>0</v>
      </c>
      <c r="CX30" s="20">
        <f t="shared" si="14"/>
        <v>0</v>
      </c>
      <c r="CY30" s="20">
        <f t="shared" si="14"/>
        <v>0</v>
      </c>
      <c r="CZ30" s="20">
        <f t="shared" si="14"/>
        <v>0</v>
      </c>
      <c r="DA30" s="20">
        <f t="shared" si="14"/>
        <v>0</v>
      </c>
      <c r="DB30" s="20">
        <f t="shared" si="14"/>
        <v>0</v>
      </c>
      <c r="DC30" s="20">
        <f t="shared" ref="DC30:DT30" si="15">COUNTIF(DC10:DC29,"abstenção")</f>
        <v>0</v>
      </c>
      <c r="DD30" s="20">
        <f t="shared" si="15"/>
        <v>0</v>
      </c>
      <c r="DE30" s="20">
        <f t="shared" si="15"/>
        <v>0</v>
      </c>
      <c r="DF30" s="20">
        <f t="shared" si="15"/>
        <v>0</v>
      </c>
      <c r="DG30" s="20">
        <f t="shared" si="15"/>
        <v>0</v>
      </c>
      <c r="DH30" s="20">
        <f t="shared" si="15"/>
        <v>0</v>
      </c>
      <c r="DI30" s="20">
        <f t="shared" si="15"/>
        <v>0</v>
      </c>
      <c r="DJ30" s="20">
        <f t="shared" si="15"/>
        <v>0</v>
      </c>
      <c r="DK30" s="20">
        <f t="shared" si="15"/>
        <v>0</v>
      </c>
      <c r="DL30" s="20">
        <f t="shared" si="15"/>
        <v>0</v>
      </c>
      <c r="DM30" s="20">
        <f t="shared" si="15"/>
        <v>0</v>
      </c>
      <c r="DN30" s="20">
        <f t="shared" si="15"/>
        <v>0</v>
      </c>
      <c r="DO30" s="20">
        <f t="shared" si="15"/>
        <v>0</v>
      </c>
      <c r="DP30" s="20">
        <f t="shared" si="15"/>
        <v>0</v>
      </c>
      <c r="DQ30" s="20">
        <f t="shared" si="15"/>
        <v>0</v>
      </c>
      <c r="DR30" s="20">
        <f t="shared" si="15"/>
        <v>0</v>
      </c>
      <c r="DS30" s="20">
        <f t="shared" si="15"/>
        <v>0</v>
      </c>
      <c r="DT30" s="20">
        <f t="shared" si="15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H5" sqref="H5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107</v>
      </c>
      <c r="B2" s="2"/>
    </row>
    <row r="3" spans="1:5" ht="15.75" thickBot="1">
      <c r="A3" s="121" t="s">
        <v>108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130</v>
      </c>
      <c r="D4" s="139" t="s">
        <v>131</v>
      </c>
      <c r="E4" s="139" t="s">
        <v>132</v>
      </c>
    </row>
    <row r="5" spans="1:5" s="6" customFormat="1" ht="60.75" customHeight="1">
      <c r="A5" s="122"/>
      <c r="B5" s="111"/>
      <c r="C5" s="113" t="s">
        <v>94</v>
      </c>
      <c r="D5" s="113" t="s">
        <v>94</v>
      </c>
      <c r="E5" s="118" t="s">
        <v>133</v>
      </c>
    </row>
    <row r="6" spans="1:5" ht="15.75">
      <c r="A6" s="127" t="s">
        <v>48</v>
      </c>
      <c r="C6" s="107" t="s">
        <v>95</v>
      </c>
      <c r="D6" s="107" t="s">
        <v>95</v>
      </c>
      <c r="E6" s="107"/>
    </row>
    <row r="7" spans="1:5" ht="15.75">
      <c r="A7" s="127" t="s">
        <v>63</v>
      </c>
      <c r="C7" s="107" t="s">
        <v>95</v>
      </c>
      <c r="D7" s="107" t="s">
        <v>95</v>
      </c>
      <c r="E7" s="107"/>
    </row>
    <row r="8" spans="1:5" ht="15.75">
      <c r="A8" s="127" t="s">
        <v>51</v>
      </c>
      <c r="C8" s="107" t="s">
        <v>95</v>
      </c>
      <c r="D8" s="107" t="s">
        <v>95</v>
      </c>
      <c r="E8" s="107"/>
    </row>
    <row r="9" spans="1:5" ht="15.75">
      <c r="A9" s="128" t="s">
        <v>52</v>
      </c>
      <c r="C9" s="107" t="s">
        <v>95</v>
      </c>
      <c r="D9" s="107" t="s">
        <v>95</v>
      </c>
      <c r="E9" s="114"/>
    </row>
    <row r="10" spans="1:5" ht="15.75">
      <c r="A10" s="127" t="s">
        <v>27</v>
      </c>
      <c r="C10" s="114" t="s">
        <v>50</v>
      </c>
      <c r="D10" s="114" t="s">
        <v>50</v>
      </c>
      <c r="E10" s="107"/>
    </row>
    <row r="11" spans="1:5" ht="15.75">
      <c r="A11" s="127" t="s">
        <v>53</v>
      </c>
      <c r="C11" s="107" t="s">
        <v>95</v>
      </c>
      <c r="D11" s="107" t="s">
        <v>95</v>
      </c>
      <c r="E11" s="107"/>
    </row>
    <row r="12" spans="1:5" ht="15.75">
      <c r="A12" s="127" t="s">
        <v>22</v>
      </c>
      <c r="C12" s="107" t="s">
        <v>95</v>
      </c>
      <c r="D12" s="107" t="s">
        <v>95</v>
      </c>
      <c r="E12" s="107"/>
    </row>
    <row r="13" spans="1:5" ht="15.75">
      <c r="A13" s="127" t="s">
        <v>23</v>
      </c>
      <c r="C13" s="107" t="s">
        <v>95</v>
      </c>
      <c r="D13" s="107" t="s">
        <v>95</v>
      </c>
      <c r="E13" s="114"/>
    </row>
    <row r="14" spans="1:5" ht="15.75">
      <c r="A14" s="127" t="s">
        <v>54</v>
      </c>
      <c r="C14" s="114" t="s">
        <v>50</v>
      </c>
      <c r="D14" s="114" t="s">
        <v>50</v>
      </c>
      <c r="E14" s="107"/>
    </row>
    <row r="15" spans="1:5" ht="15.75">
      <c r="A15" s="127" t="s">
        <v>55</v>
      </c>
      <c r="B15" s="138"/>
      <c r="C15" s="107" t="s">
        <v>95</v>
      </c>
      <c r="D15" s="107" t="s">
        <v>95</v>
      </c>
      <c r="E15" s="107"/>
    </row>
    <row r="16" spans="1:5" ht="15.75">
      <c r="A16" s="127" t="s">
        <v>56</v>
      </c>
      <c r="C16" s="114" t="s">
        <v>50</v>
      </c>
      <c r="D16" s="114" t="s">
        <v>50</v>
      </c>
      <c r="E16" s="107"/>
    </row>
    <row r="17" spans="1:5" ht="15.75">
      <c r="A17" s="127" t="s">
        <v>96</v>
      </c>
      <c r="C17" s="107" t="s">
        <v>95</v>
      </c>
      <c r="D17" s="107" t="s">
        <v>95</v>
      </c>
      <c r="E17" s="107"/>
    </row>
    <row r="18" spans="1:5" ht="15.75">
      <c r="A18" s="127" t="s">
        <v>24</v>
      </c>
      <c r="C18" s="114" t="s">
        <v>50</v>
      </c>
      <c r="D18" s="114" t="s">
        <v>50</v>
      </c>
      <c r="E18" s="114"/>
    </row>
    <row r="19" spans="1:5" ht="15.75">
      <c r="A19" s="127" t="s">
        <v>57</v>
      </c>
      <c r="C19" s="107" t="s">
        <v>95</v>
      </c>
      <c r="D19" s="107" t="s">
        <v>95</v>
      </c>
      <c r="E19" s="107"/>
    </row>
    <row r="20" spans="1:5" ht="15.75">
      <c r="A20" s="127" t="s">
        <v>97</v>
      </c>
      <c r="C20" s="107" t="s">
        <v>95</v>
      </c>
      <c r="D20" s="107" t="s">
        <v>95</v>
      </c>
      <c r="E20" s="107"/>
    </row>
    <row r="21" spans="1:5" ht="15.75">
      <c r="A21" s="127" t="s">
        <v>86</v>
      </c>
      <c r="C21" s="114" t="s">
        <v>50</v>
      </c>
      <c r="D21" s="114" t="s">
        <v>50</v>
      </c>
      <c r="E21" s="114"/>
    </row>
    <row r="22" spans="1:5" ht="15.75">
      <c r="A22" s="127" t="s">
        <v>25</v>
      </c>
      <c r="C22" s="114" t="s">
        <v>50</v>
      </c>
      <c r="D22" s="114" t="s">
        <v>50</v>
      </c>
      <c r="E22" s="114"/>
    </row>
    <row r="23" spans="1:5" ht="15.75">
      <c r="A23" s="127" t="s">
        <v>58</v>
      </c>
      <c r="C23" s="107" t="s">
        <v>95</v>
      </c>
      <c r="D23" s="107" t="s">
        <v>95</v>
      </c>
      <c r="E23" s="107"/>
    </row>
    <row r="24" spans="1:5" ht="15.75">
      <c r="A24" s="127" t="s">
        <v>64</v>
      </c>
      <c r="C24" s="107" t="s">
        <v>95</v>
      </c>
      <c r="D24" s="107" t="s">
        <v>95</v>
      </c>
      <c r="E24" s="107"/>
    </row>
    <row r="25" spans="1:5" ht="15.75">
      <c r="A25" s="127" t="s">
        <v>85</v>
      </c>
      <c r="C25" s="107" t="s">
        <v>95</v>
      </c>
      <c r="D25" s="107" t="s">
        <v>95</v>
      </c>
      <c r="E25" s="107"/>
    </row>
    <row r="26" spans="1:5" ht="15.75">
      <c r="A26" s="127" t="s">
        <v>59</v>
      </c>
      <c r="C26" s="107" t="s">
        <v>95</v>
      </c>
      <c r="D26" s="107" t="s">
        <v>95</v>
      </c>
      <c r="E26" s="107"/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D28" si="0">COUNTIF(C6:C26,"sim")</f>
        <v>15</v>
      </c>
      <c r="D28" s="103">
        <f t="shared" si="0"/>
        <v>15</v>
      </c>
      <c r="E28" s="103">
        <f>COUNTIF(E6:E26,"sim")</f>
        <v>0</v>
      </c>
    </row>
    <row r="29" spans="1:5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  <c r="E29" s="104">
        <f>COUNTIF(E6:E26,"não")</f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D30" si="2">COUNTIF(C6:C26,"ausente")</f>
        <v>6</v>
      </c>
      <c r="D30" s="40">
        <f t="shared" si="2"/>
        <v>6</v>
      </c>
      <c r="E30" s="40">
        <f>COUNTIF(E6:E26,"ausente")</f>
        <v>0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M4" sqref="M4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107</v>
      </c>
      <c r="B2" s="2"/>
      <c r="C2" s="54"/>
      <c r="D2" s="54"/>
      <c r="E2" s="54"/>
    </row>
    <row r="3" spans="1:9" ht="15.75" thickBot="1">
      <c r="A3" s="121" t="s">
        <v>108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134</v>
      </c>
      <c r="G4" s="142" t="s">
        <v>135</v>
      </c>
      <c r="H4" s="142" t="s">
        <v>136</v>
      </c>
      <c r="I4" s="142" t="s">
        <v>137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48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63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51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52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27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53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54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55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56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96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57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97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86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25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58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64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85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59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107</v>
      </c>
      <c r="B2" s="2"/>
    </row>
    <row r="3" spans="1:23">
      <c r="A3" s="76" t="s">
        <v>108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65</v>
      </c>
      <c r="E4" s="106" t="s">
        <v>66</v>
      </c>
      <c r="F4" s="106" t="s">
        <v>67</v>
      </c>
      <c r="G4" s="106" t="s">
        <v>68</v>
      </c>
      <c r="H4" s="106" t="s">
        <v>69</v>
      </c>
      <c r="I4" s="106" t="s">
        <v>70</v>
      </c>
      <c r="J4" s="106" t="s">
        <v>71</v>
      </c>
      <c r="K4" s="106" t="s">
        <v>72</v>
      </c>
      <c r="L4" s="106" t="s">
        <v>73</v>
      </c>
      <c r="M4" s="106" t="s">
        <v>74</v>
      </c>
      <c r="N4" s="106" t="s">
        <v>75</v>
      </c>
      <c r="O4" s="106" t="s">
        <v>76</v>
      </c>
      <c r="P4" s="106" t="s">
        <v>77</v>
      </c>
      <c r="Q4" s="106" t="s">
        <v>78</v>
      </c>
      <c r="R4" s="106" t="s">
        <v>79</v>
      </c>
      <c r="S4" s="106" t="s">
        <v>80</v>
      </c>
      <c r="T4" s="106" t="s">
        <v>81</v>
      </c>
      <c r="U4" s="106" t="s">
        <v>82</v>
      </c>
      <c r="V4" s="106" t="s">
        <v>83</v>
      </c>
      <c r="W4" s="106" t="s">
        <v>84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48</v>
      </c>
    </row>
    <row r="7" spans="1:23" ht="18">
      <c r="A7" s="129" t="s">
        <v>63</v>
      </c>
    </row>
    <row r="8" spans="1:23" ht="18">
      <c r="A8" s="129" t="s">
        <v>51</v>
      </c>
    </row>
    <row r="9" spans="1:23" ht="18">
      <c r="A9" s="130" t="s">
        <v>52</v>
      </c>
    </row>
    <row r="10" spans="1:23" ht="18">
      <c r="A10" s="129" t="s">
        <v>27</v>
      </c>
    </row>
    <row r="11" spans="1:23" ht="18">
      <c r="A11" s="129" t="s">
        <v>53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54</v>
      </c>
    </row>
    <row r="15" spans="1:23" ht="18">
      <c r="A15" s="129" t="s">
        <v>55</v>
      </c>
    </row>
    <row r="16" spans="1:23" ht="18">
      <c r="A16" s="129" t="s">
        <v>56</v>
      </c>
    </row>
    <row r="17" spans="1:23" ht="18">
      <c r="A17" s="129" t="s">
        <v>96</v>
      </c>
    </row>
    <row r="18" spans="1:23" ht="18">
      <c r="A18" s="129" t="s">
        <v>24</v>
      </c>
    </row>
    <row r="19" spans="1:23" ht="18">
      <c r="A19" s="129" t="s">
        <v>57</v>
      </c>
    </row>
    <row r="20" spans="1:23" ht="18">
      <c r="A20" s="129" t="s">
        <v>97</v>
      </c>
    </row>
    <row r="21" spans="1:23" ht="18">
      <c r="A21" s="129" t="s">
        <v>86</v>
      </c>
    </row>
    <row r="22" spans="1:23" ht="18">
      <c r="A22" s="129" t="s">
        <v>25</v>
      </c>
    </row>
    <row r="23" spans="1:23" ht="18">
      <c r="A23" s="129" t="s">
        <v>58</v>
      </c>
    </row>
    <row r="24" spans="1:23" ht="18">
      <c r="A24" s="129" t="s">
        <v>64</v>
      </c>
    </row>
    <row r="25" spans="1:23" ht="18">
      <c r="A25" s="129" t="s">
        <v>85</v>
      </c>
    </row>
    <row r="26" spans="1:23" ht="18">
      <c r="A26" s="129" t="s">
        <v>59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2026-05-27T19:29:18Z</dcterms:modified>
</cp:coreProperties>
</file>