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987422E-9EA1-415D-BB40-B464F032BD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F28" i="10"/>
  <c r="F29" i="10"/>
  <c r="F30" i="10"/>
  <c r="F31" i="10"/>
  <c r="C27" i="2"/>
  <c r="C28" i="2"/>
  <c r="C29" i="2"/>
  <c r="C30" i="2"/>
  <c r="G27" i="2"/>
  <c r="G28" i="2"/>
  <c r="G29" i="2"/>
  <c r="G30" i="2"/>
  <c r="C27" i="3"/>
  <c r="C28" i="3"/>
  <c r="C29" i="3"/>
  <c r="C30" i="3"/>
  <c r="F27" i="2"/>
  <c r="F28" i="2"/>
  <c r="F29" i="2"/>
  <c r="F30" i="2"/>
  <c r="G28" i="10"/>
  <c r="G29" i="10"/>
  <c r="G30" i="10"/>
  <c r="G31" i="10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D27" i="2"/>
  <c r="D28" i="2"/>
  <c r="D29" i="2"/>
  <c r="D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<sst xmlns="http://schemas.openxmlformats.org/spreadsheetml/2006/main" count="622" uniqueCount="130">
  <si>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</si>
  <si>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</si>
  <si>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</si>
  <si>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</si>
  <si>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</si>
  <si>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</si>
  <si>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</si>
  <si>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</si>
  <si>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</si>
  <si>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</si>
  <si>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</si>
  <si>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</si>
  <si>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</si>
  <si>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</si>
  <si>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</si>
  <si>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</si>
  <si>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</si>
  <si>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</si>
  <si>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</si>
  <si>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</si>
  <si>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</si>
  <si>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</si>
  <si>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</si>
  <si>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</si>
  <si>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</si>
  <si>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</si>
  <si>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</si>
  <si>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</si>
  <si>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</si>
  <si>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</si>
  <si>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</si>
  <si>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</si>
  <si>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</si>
  <si>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</si>
  <si>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</si>
  <si>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</si>
  <si>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</si>
  <si>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</si>
  <si>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</si>
  <si>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</si>
  <si>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</si>
  <si>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</si>
  <si>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</si>
  <si>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</si>
  <si>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</si>
  <si>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</si>
  <si>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</si>
  <si>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</si>
  <si>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</si>
  <si>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</si>
  <si>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</si>
  <si>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</si>
  <si>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</si>
  <si>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</si>
  <si>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</si>
  <si>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</si>
  <si>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</si>
  <si>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</si>
  <si>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</si>
  <si>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</si>
  <si>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</si>
  <si>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</si>
  <si>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</si>
  <si>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</si>
  <si>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</si>
  <si>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</si>
  <si>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</si>
  <si>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</si>
  <si>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</si>
  <si>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</si>
  <si>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</si>
  <si>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</si>
  <si>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</si>
  <si>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</si>
  <si>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</si>
  <si>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</si>
  <si>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</si>
  <si>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</si>
  <si>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</si>
  <si>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</si>
  <si>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</si>
  <si>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</si>
  <si>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</si>
  <si>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</si>
  <si>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</si>
  <si>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</si>
  <si>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</si>
  <si>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</si>
  <si>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</si>
  <si>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</si>
  <si>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</si>
  <si>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</si>
  <si>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</si>
  <si>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</si>
  <si>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</si>
  <si>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</si>
  <si>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</si>
  <si>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APROVADO</t>
  </si>
  <si>
    <t>sim</t>
  </si>
  <si>
    <t>na presidência</t>
  </si>
  <si>
    <r>
      <t xml:space="preserve">MOÇÃO DE APLAUSO N.º 282/2026 – ALEXANDRE CAPRIOTTI– </t>
    </r>
    <r>
      <rPr>
        <sz val="11"/>
        <color theme="1"/>
        <rFont val="Arial"/>
        <family val="2"/>
      </rPr>
      <t>Ao sr. Alexandre Francisco Gomes, pelo relevante trabalho social desenvolvido por meio da Corrida das Cores, promovendo esporte, solidariedade, inclusão e qualidade de vida.</t>
    </r>
  </si>
  <si>
    <r>
      <t>MOÇÃO DE CONGRATULAÇÕES N.º 283/2026 – DELBIO TERUEL –</t>
    </r>
    <r>
      <rPr>
        <sz val="11"/>
        <color theme="1"/>
        <rFont val="Arial"/>
        <family val="2"/>
      </rPr>
      <t xml:space="preserve"> À Associação Atlética AFUJAB, do Jardim Baronesa, pelos 57 anos de fundação, celebrados em 29 de setembro.</t>
    </r>
  </si>
  <si>
    <r>
      <t xml:space="preserve">PROJETO DE LEI Nº 85/2026 – JOSIAS DA JUCO - </t>
    </r>
    <r>
      <rPr>
        <sz val="11"/>
        <color theme="1"/>
        <rFont val="Arial"/>
        <family val="2"/>
      </rPr>
      <t>Dispõe sobre a denominação da Arena Esportiva Antonio Soares dos Santos.</t>
    </r>
  </si>
  <si>
    <t>56ª SESSÃO ORDINÁRIA</t>
  </si>
  <si>
    <t>DIA 6 DE OUTUBRO DE 2026 - TERÇA-FEIRA</t>
  </si>
  <si>
    <t xml:space="preserve"> chamada - reabertura da ORDEM DO DIA</t>
  </si>
  <si>
    <t>OFÍCIO PROLEGIS Nº 202603328209 – Prefeito do Município de Osasco – Informa a sanção da Lei nº 5.528, de 30 de setembro de 2026, referente ao Projeto de Lei nº 205/2026, de autoria do Prefeito do Município de Osasco, que dispõe sobre abertura de crédito adicional especial ao orçamento vigente e dá outras providências.</t>
  </si>
  <si>
    <t>OFÍCIO PROLEGIS nº 202603328224 - Prefeito do Município de Osasco – Informa a sanção da Lei nº 5.529, de 30 de setembro de 2026, referente ao Projeto de Lei nº 206/2026, de autoria do Prefeito do Município de Osasco, que dispõe sobre abertura de crédito adicional especial ao orçamento vigente e dá outras providências.</t>
  </si>
  <si>
    <t>PROJETO DE LEI Nº 220/2026 – Prefeito do Município de Osasco - Dispõe sobre abertura de crédito adicional especial ao orçamento vigente e dá outras providências.</t>
  </si>
  <si>
    <t>PROJETO DE LEI Nº 221/2026 – Prefeito do Município de Osasco - Dispõe sobre abertura de crédito adicional especial ao orçamento vigente e dá outras providências.</t>
  </si>
  <si>
    <t>PROJETO DE LEI Nº 222/2026 – Prefeito do Município de Osasco - Dispõe sobre abertura de crédito adicional especial ao orçamento vigente e dá outras providências</t>
  </si>
  <si>
    <t>PROJETO DE LEI Nº 223/2026 – Pedrinho Cantagessi - Institui diretrizes para a promoção da inteligência emocional e das competências socioemocionais no ambiente escolar da Rede Pública de Ensino do Município de Osasco.</t>
  </si>
  <si>
    <r>
      <t xml:space="preserve">MOÇÃO DE PESAR N.º 285/2026 – JOSIAS DA JUCO – </t>
    </r>
    <r>
      <rPr>
        <sz val="11"/>
        <color theme="1"/>
        <rFont val="Arial"/>
        <family val="2"/>
      </rPr>
      <t>Pelo falecimento do Sr. Francisco Antônio Guerra, carinhosamente conhecido por toda a comunidade como Chico da Padaria Jaguaribe, ocorrido em 27 de setembro.</t>
    </r>
  </si>
  <si>
    <r>
      <t xml:space="preserve">MOÇÃO DE APLAUSO N.º 287/2026 – ALEXANDRE CAPRIOTTI – </t>
    </r>
    <r>
      <rPr>
        <sz val="11"/>
        <color theme="1"/>
        <rFont val="Arial"/>
        <family val="2"/>
      </rPr>
      <t>À Demian Fernando Simões, pela contribuição à educação, ao empreendedorismo e às iniciativas de proteção e bem-estar animal em Osasco.</t>
    </r>
  </si>
  <si>
    <r>
      <t xml:space="preserve">MOÇÃO DE APOIO N.º 288/2026 – LÚCIA DA SAÚDE – </t>
    </r>
    <r>
      <rPr>
        <sz val="11"/>
        <color theme="1"/>
        <rFont val="Arial"/>
        <family val="2"/>
      </rPr>
      <t>À Campanha Outubro Rosa, movimento de conscientização da prevenção e diagnóstico precoce do câncer de mama e a promoção da saúde da mulher.</t>
    </r>
  </si>
  <si>
    <r>
      <t xml:space="preserve">MOÇÃO DE PESAR N.º 289/2026 – ALEXANDRE CAPRIOTTI – </t>
    </r>
    <r>
      <rPr>
        <sz val="11"/>
        <color theme="1"/>
        <rFont val="Arial"/>
        <family val="2"/>
      </rPr>
      <t>Pelo falecimento de Lito Sousa, influenciador, youtuber e empresário, especialista em aviação.</t>
    </r>
  </si>
  <si>
    <r>
      <t xml:space="preserve">MOÇÃO DE APLAUSO N.º 290/2026 – BATISTA COMUNIDADE – </t>
    </r>
    <r>
      <rPr>
        <sz val="11"/>
        <color theme="1"/>
        <rFont val="Arial"/>
        <family val="2"/>
      </rPr>
      <t>À servidora pública e educadora Kleuta Silva Brito Lima, por sua trajetória de superação, dedicação ao serviço público e cuidado humanizado com a população de Osasco.</t>
    </r>
  </si>
  <si>
    <t>VETO ACEITO</t>
  </si>
  <si>
    <r>
      <t xml:space="preserve">VETO TOTAL AO PROJETO DE LEI 22/2026 – GABRIEL SAÚDE – </t>
    </r>
    <r>
      <rPr>
        <sz val="12"/>
        <color theme="1"/>
        <rFont val="Arial"/>
        <family val="2"/>
      </rPr>
      <t>Insere no Calendário Oficial de Eventos do Município a Meia Maratona de Osasco.</t>
    </r>
  </si>
  <si>
    <r>
      <t xml:space="preserve">VETO TOTAL AO PROJETO DE LEI 33/2026 – GABRIEL SAÚDE – </t>
    </r>
    <r>
      <rPr>
        <sz val="12"/>
        <color theme="1"/>
        <rFont val="Arial"/>
        <family val="2"/>
      </rPr>
      <t>Institui a Caminhada Passos TEA no calendário oficial de eventos do Município de Osasco e dá outras providências.</t>
    </r>
  </si>
  <si>
    <t>não</t>
  </si>
  <si>
    <r>
      <t xml:space="preserve">PROJETO DE LEI Nº 46/2026 – LAÉRCIO MENDONÇA - </t>
    </r>
    <r>
      <rPr>
        <sz val="14"/>
        <color theme="1"/>
        <rFont val="Arial"/>
        <family val="2"/>
      </rPr>
      <t>Dispõe sobre a obrigatoriedade de concessão de isenção total ou parcial da taxa de inscrição em corridas de rua realizadas por entidades privadas, para pessoas de baixa renda.</t>
    </r>
  </si>
  <si>
    <r>
      <t xml:space="preserve">PROJETO DE LEI N.º 207/2026 -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</si>
  <si>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DECRETO LEGISLATIVO Nº 9/2026 – MESA DIRETORA - </t>
    </r>
    <r>
      <rPr>
        <sz val="11"/>
        <color theme="1"/>
        <rFont val="Arial"/>
        <family val="2"/>
      </rPr>
      <t xml:space="preserve">Dispõe sobre a concessão do Prêmio Ana Paula 
Rossi – Mulher de Destaque 2026. </t>
    </r>
  </si>
  <si>
    <t>EMENDA Nº 1 DA CCJ AO PROJETO DE DECRETO LEGISLATIVO Nº 9/2026.</t>
  </si>
  <si>
    <t>abstenção</t>
  </si>
  <si>
    <t>EMENDA Nº 2 DO VEREADOR HEBER DO JUNTOZ AO PROJETO DE DECRETO LEGISLATIVO Nº 9/2026.</t>
  </si>
  <si>
    <t>REJEITADA</t>
  </si>
  <si>
    <t>PROJETO DE DECRETO LEGISLATIVO 25/2026 – GABRIEL SAÚDE - Dispõe sobre a concessão de Título de Cidadão Osasquense ao Senhor Edson Ogeda Martins.</t>
  </si>
  <si>
    <r>
      <t xml:space="preserve">PROJETO DE DECRETO LEGISLATIVO Nº 9/2026 – MESA DIRETORA - </t>
    </r>
    <r>
      <rPr>
        <sz val="14"/>
        <color theme="1"/>
        <rFont val="Arial"/>
        <family val="2"/>
      </rPr>
      <t xml:space="preserve">Dispõe sobre a concessão do Prêmio Ana Paula 
Rossi – Mulher de Destaque 2026.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</si>
</sst>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8" sqref="A5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103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104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105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93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86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1</v>
      </c>
      <c r="C18" s="62" t="s">
        <v>47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87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1</v>
      </c>
      <c r="C20" s="62" t="s">
        <v>47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92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94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16</v>
      </c>
      <c r="C26" s="96" t="s">
        <v>43</v>
      </c>
      <c r="D26" s="98"/>
      <c r="E26" s="96" t="s">
        <v>43</v>
      </c>
      <c r="F26" s="98">
        <v>16</v>
      </c>
      <c r="G26" s="96" t="s">
        <v>43</v>
      </c>
      <c r="H26" s="100"/>
      <c r="I26" s="101"/>
      <c r="J26" s="98">
        <v>17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5</v>
      </c>
      <c r="C27" s="96" t="s">
        <v>44</v>
      </c>
      <c r="D27" s="98"/>
      <c r="E27" s="96" t="s">
        <v>44</v>
      </c>
      <c r="F27" s="98">
        <v>5</v>
      </c>
      <c r="G27" s="96" t="s">
        <v>44</v>
      </c>
      <c r="H27" s="100"/>
      <c r="I27" s="96"/>
      <c r="J27" s="98">
        <v>4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/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51</v>
      </c>
      <c r="V45" s="12"/>
      <c r="W45" s="12"/>
    </row>
    <row r="46" spans="1:23" ht="18">
      <c r="A46" s="34" t="s">
        <v>82</v>
      </c>
      <c r="V46" s="12"/>
      <c r="W46" s="12"/>
    </row>
    <row r="47" spans="1:23" ht="18">
      <c r="A47" s="34" t="s">
        <v>61</v>
      </c>
      <c r="V47" s="12"/>
      <c r="W47" s="12"/>
    </row>
    <row r="48" spans="1:23" ht="18">
      <c r="A48" s="34" t="s">
        <v>53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23</v>
      </c>
    </row>
    <row r="56" spans="1:23" ht="18">
      <c r="A56" s="34" t="s">
        <v>24</v>
      </c>
    </row>
    <row r="57" spans="1:23" ht="18">
      <c r="A57" s="34" t="s">
        <v>87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32:A42 A55:A62 A44:A53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39"/>
  <sheetViews>
    <sheetView workbookViewId="0">
      <pane xSplit="1" topLeftCell="B1" activePane="topRight" state="frozen"/>
      <selection pane="topRight" activeCell="Q16" sqref="Q16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8" width="22.7109375" style="22" customWidth="1"/>
    <col min="19" max="16384" width="9.140625" style="22"/>
  </cols>
  <sheetData>
    <row r="1" spans="1:18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8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</row>
    <row r="3" spans="1:18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</row>
    <row r="4" spans="1:18" ht="63" customHeight="1">
      <c r="A4" s="51" t="str">
        <f>'[1]MOÇÃO E REQUERIMENTO'!B7</f>
        <v>EXPEDIENTE</v>
      </c>
      <c r="B4" s="50" t="s">
        <v>42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2" t="s">
        <v>32</v>
      </c>
      <c r="J4" s="123"/>
      <c r="K4" s="50" t="s">
        <v>25</v>
      </c>
      <c r="L4" s="84" t="s">
        <v>100</v>
      </c>
      <c r="M4" s="84" t="s">
        <v>101</v>
      </c>
      <c r="N4" s="84" t="s">
        <v>112</v>
      </c>
      <c r="O4" s="84" t="s">
        <v>113</v>
      </c>
      <c r="P4" s="84" t="s">
        <v>114</v>
      </c>
      <c r="Q4" s="84" t="s">
        <v>115</v>
      </c>
      <c r="R4" s="84" t="s">
        <v>116</v>
      </c>
    </row>
    <row r="5" spans="1:18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113"/>
      <c r="L5" s="113" t="s">
        <v>84</v>
      </c>
      <c r="M5" s="113" t="s">
        <v>84</v>
      </c>
      <c r="N5" s="148" t="s">
        <v>95</v>
      </c>
      <c r="O5" s="113" t="s">
        <v>84</v>
      </c>
      <c r="P5" s="113" t="s">
        <v>84</v>
      </c>
      <c r="Q5" s="113" t="s">
        <v>84</v>
      </c>
      <c r="R5" s="148" t="s">
        <v>95</v>
      </c>
    </row>
    <row r="6" spans="1:18" ht="15.75">
      <c r="A6" s="126" t="s">
        <v>93</v>
      </c>
      <c r="K6" s="23"/>
    </row>
    <row r="7" spans="1:18" ht="15.75">
      <c r="A7" s="126" t="s">
        <v>60</v>
      </c>
      <c r="K7" s="23"/>
    </row>
    <row r="8" spans="1:18" ht="15.75">
      <c r="A8" s="126" t="s">
        <v>49</v>
      </c>
      <c r="K8" s="23"/>
    </row>
    <row r="9" spans="1:18" ht="15.75">
      <c r="A9" s="127" t="s">
        <v>50</v>
      </c>
      <c r="K9" s="23"/>
    </row>
    <row r="10" spans="1:18" ht="15.75">
      <c r="A10" s="126" t="s">
        <v>26</v>
      </c>
      <c r="K10" s="23"/>
    </row>
    <row r="11" spans="1:18" ht="15.75">
      <c r="A11" s="126" t="s">
        <v>51</v>
      </c>
      <c r="K11" s="23"/>
    </row>
    <row r="12" spans="1:18" ht="15.75">
      <c r="A12" s="126" t="s">
        <v>22</v>
      </c>
      <c r="K12" s="23"/>
    </row>
    <row r="13" spans="1:18" ht="15.75">
      <c r="A13" s="126" t="s">
        <v>23</v>
      </c>
      <c r="K13" s="23"/>
    </row>
    <row r="14" spans="1:18" ht="15.75">
      <c r="A14" s="126" t="s">
        <v>52</v>
      </c>
      <c r="K14" s="23"/>
    </row>
    <row r="15" spans="1:18" ht="15.75">
      <c r="A15" s="126" t="s">
        <v>53</v>
      </c>
      <c r="K15" s="23"/>
    </row>
    <row r="16" spans="1:18" ht="15.75">
      <c r="A16" s="126" t="s">
        <v>54</v>
      </c>
      <c r="K16" s="23"/>
    </row>
    <row r="17" spans="1:11" ht="15.75">
      <c r="A17" s="126" t="s">
        <v>86</v>
      </c>
      <c r="K17" s="23"/>
    </row>
    <row r="18" spans="1:11" ht="15.75">
      <c r="A18" s="126" t="s">
        <v>24</v>
      </c>
      <c r="K18" s="23"/>
    </row>
    <row r="19" spans="1:11" ht="15.75">
      <c r="A19" s="126" t="s">
        <v>55</v>
      </c>
      <c r="K19" s="23"/>
    </row>
    <row r="20" spans="1:11" ht="15.75">
      <c r="A20" s="126" t="s">
        <v>87</v>
      </c>
      <c r="K20" s="23"/>
    </row>
    <row r="21" spans="1:11" ht="15.75">
      <c r="A21" s="126" t="s">
        <v>83</v>
      </c>
      <c r="K21" s="23"/>
    </row>
    <row r="22" spans="1:11" ht="15.75">
      <c r="A22" s="126" t="s">
        <v>92</v>
      </c>
      <c r="K22" s="23"/>
    </row>
    <row r="23" spans="1:11" ht="15.75">
      <c r="A23" s="126" t="s">
        <v>94</v>
      </c>
      <c r="K23" s="23"/>
    </row>
    <row r="24" spans="1:11" ht="15.75">
      <c r="A24" s="126" t="s">
        <v>61</v>
      </c>
      <c r="K24" s="23"/>
    </row>
    <row r="25" spans="1:11" ht="15.75">
      <c r="A25" s="126" t="s">
        <v>82</v>
      </c>
      <c r="K25" s="23"/>
    </row>
    <row r="26" spans="1:11" ht="15.75">
      <c r="A26" s="126" t="s">
        <v>56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tabSelected="1" zoomScale="80" zoomScaleNormal="80" workbookViewId="0">
      <pane xSplit="1" topLeftCell="B1" activePane="topRight" state="frozen"/>
      <selection activeCell="A4" sqref="A4"/>
      <selection pane="topRight" activeCell="G16" sqref="G16"/>
    </sheetView>
  </sheetViews>
  <sheetFormatPr defaultRowHeight="15"/>
  <cols>
    <col min="1" max="1" width="61" customWidth="1"/>
    <col min="2" max="2" width="28.7109375" bestFit="1" customWidth="1"/>
    <col min="3" max="4" width="36.7109375" customWidth="1"/>
    <col min="5" max="5" width="24.7109375" customWidth="1"/>
    <col min="6" max="47" width="36.7109375" customWidth="1"/>
  </cols>
  <sheetData>
    <row r="1" spans="1:47" ht="18" customHeight="1">
      <c r="A1" s="76" t="s">
        <v>8</v>
      </c>
      <c r="B1" s="49"/>
      <c r="C1" s="74"/>
      <c r="D1" s="74"/>
    </row>
    <row r="2" spans="1:47" ht="18" customHeight="1">
      <c r="A2" s="76" t="s">
        <v>103</v>
      </c>
      <c r="B2" s="49"/>
      <c r="C2" s="74"/>
      <c r="D2" s="74"/>
    </row>
    <row r="3" spans="1:47" ht="17.25" customHeight="1">
      <c r="A3" s="76" t="s">
        <v>104</v>
      </c>
      <c r="B3" s="49"/>
      <c r="C3" s="74"/>
      <c r="D3" s="74"/>
      <c r="F3" s="116"/>
      <c r="G3" s="116"/>
    </row>
    <row r="4" spans="1:47" ht="90.75" customHeight="1" thickBot="1">
      <c r="A4" s="52" t="s">
        <v>5</v>
      </c>
      <c r="B4" s="108" t="s">
        <v>29</v>
      </c>
      <c r="C4" s="140" t="s">
        <v>118</v>
      </c>
      <c r="D4" s="140" t="s">
        <v>119</v>
      </c>
      <c r="E4" s="109" t="s">
        <v>6</v>
      </c>
      <c r="F4" s="139" t="s">
        <v>121</v>
      </c>
      <c r="G4" s="139" t="s">
        <v>129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49" t="s">
        <v>117</v>
      </c>
      <c r="D5" s="149" t="s">
        <v>117</v>
      </c>
      <c r="E5" s="79"/>
      <c r="F5" s="149" t="s">
        <v>97</v>
      </c>
      <c r="G5" s="149" t="s">
        <v>97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93</v>
      </c>
      <c r="C6" s="107" t="s">
        <v>98</v>
      </c>
      <c r="D6" s="107" t="s">
        <v>98</v>
      </c>
      <c r="F6" s="107" t="s">
        <v>98</v>
      </c>
      <c r="G6" s="107" t="s">
        <v>98</v>
      </c>
      <c r="H6" s="142"/>
    </row>
    <row r="7" spans="1:47" ht="20.25">
      <c r="A7" s="46" t="s">
        <v>60</v>
      </c>
      <c r="C7" s="114" t="s">
        <v>48</v>
      </c>
      <c r="D7" s="114" t="s">
        <v>48</v>
      </c>
      <c r="F7" s="114" t="s">
        <v>48</v>
      </c>
      <c r="G7" s="114" t="s">
        <v>48</v>
      </c>
    </row>
    <row r="8" spans="1:47" ht="20.25">
      <c r="A8" s="46" t="s">
        <v>49</v>
      </c>
      <c r="C8" s="107" t="s">
        <v>98</v>
      </c>
      <c r="D8" s="107" t="s">
        <v>98</v>
      </c>
      <c r="F8" s="107" t="s">
        <v>98</v>
      </c>
      <c r="G8" s="107" t="s">
        <v>98</v>
      </c>
    </row>
    <row r="9" spans="1:47" ht="20.25">
      <c r="A9" s="82" t="s">
        <v>50</v>
      </c>
      <c r="C9" s="114" t="s">
        <v>99</v>
      </c>
      <c r="D9" s="114" t="s">
        <v>99</v>
      </c>
      <c r="F9" s="114" t="s">
        <v>99</v>
      </c>
      <c r="G9" s="107" t="s">
        <v>98</v>
      </c>
    </row>
    <row r="10" spans="1:47" ht="20.25">
      <c r="A10" s="46" t="s">
        <v>26</v>
      </c>
      <c r="C10" s="107" t="s">
        <v>98</v>
      </c>
      <c r="D10" s="107" t="s">
        <v>98</v>
      </c>
      <c r="F10" s="107" t="s">
        <v>98</v>
      </c>
      <c r="G10" s="107" t="s">
        <v>98</v>
      </c>
    </row>
    <row r="11" spans="1:47" ht="20.25">
      <c r="A11" s="46" t="s">
        <v>51</v>
      </c>
      <c r="C11" s="107" t="s">
        <v>98</v>
      </c>
      <c r="D11" s="107" t="s">
        <v>98</v>
      </c>
      <c r="F11" s="107" t="s">
        <v>98</v>
      </c>
      <c r="G11" s="107" t="s">
        <v>98</v>
      </c>
    </row>
    <row r="12" spans="1:47" ht="20.25">
      <c r="A12" s="46" t="s">
        <v>22</v>
      </c>
      <c r="C12" s="107" t="s">
        <v>98</v>
      </c>
      <c r="D12" s="107" t="s">
        <v>98</v>
      </c>
      <c r="F12" s="107" t="s">
        <v>98</v>
      </c>
      <c r="G12" s="107" t="s">
        <v>98</v>
      </c>
    </row>
    <row r="13" spans="1:47" ht="20.25">
      <c r="A13" s="46" t="s">
        <v>23</v>
      </c>
      <c r="C13" s="107" t="s">
        <v>98</v>
      </c>
      <c r="D13" s="143" t="s">
        <v>120</v>
      </c>
      <c r="F13" s="114" t="s">
        <v>48</v>
      </c>
      <c r="G13" s="114" t="s">
        <v>125</v>
      </c>
    </row>
    <row r="14" spans="1:47" ht="20.25">
      <c r="A14" s="46" t="s">
        <v>52</v>
      </c>
      <c r="C14" s="143" t="s">
        <v>120</v>
      </c>
      <c r="D14" s="143" t="s">
        <v>120</v>
      </c>
      <c r="F14" s="107" t="s">
        <v>98</v>
      </c>
      <c r="G14" s="107" t="s">
        <v>98</v>
      </c>
    </row>
    <row r="15" spans="1:47" ht="20.25">
      <c r="A15" s="46" t="s">
        <v>53</v>
      </c>
      <c r="C15" s="107" t="s">
        <v>98</v>
      </c>
      <c r="D15" s="107" t="s">
        <v>98</v>
      </c>
      <c r="F15" s="107" t="s">
        <v>98</v>
      </c>
      <c r="G15" s="107" t="s">
        <v>98</v>
      </c>
    </row>
    <row r="16" spans="1:47" ht="20.25">
      <c r="A16" s="46" t="s">
        <v>54</v>
      </c>
      <c r="C16" s="143" t="s">
        <v>120</v>
      </c>
      <c r="D16" s="143" t="s">
        <v>120</v>
      </c>
      <c r="F16" s="107" t="s">
        <v>98</v>
      </c>
      <c r="G16" s="114" t="s">
        <v>125</v>
      </c>
    </row>
    <row r="17" spans="1:132" ht="20.25">
      <c r="A17" s="46" t="s">
        <v>86</v>
      </c>
      <c r="C17" s="107" t="s">
        <v>98</v>
      </c>
      <c r="D17" s="107" t="s">
        <v>98</v>
      </c>
      <c r="F17" s="107" t="s">
        <v>98</v>
      </c>
      <c r="G17" s="107" t="s">
        <v>98</v>
      </c>
    </row>
    <row r="18" spans="1:132" ht="20.25">
      <c r="A18" s="46" t="s">
        <v>24</v>
      </c>
      <c r="C18" s="107" t="s">
        <v>98</v>
      </c>
      <c r="D18" s="107" t="s">
        <v>98</v>
      </c>
      <c r="F18" s="107" t="s">
        <v>98</v>
      </c>
      <c r="G18" s="107" t="s">
        <v>98</v>
      </c>
    </row>
    <row r="19" spans="1:132" ht="20.25">
      <c r="A19" s="46" t="s">
        <v>55</v>
      </c>
      <c r="C19" s="107" t="s">
        <v>98</v>
      </c>
      <c r="D19" s="107" t="s">
        <v>98</v>
      </c>
      <c r="F19" s="107" t="s">
        <v>98</v>
      </c>
      <c r="G19" s="107" t="s">
        <v>98</v>
      </c>
    </row>
    <row r="20" spans="1:132" ht="20.25">
      <c r="A20" s="46" t="s">
        <v>87</v>
      </c>
      <c r="C20" s="107" t="s">
        <v>98</v>
      </c>
      <c r="D20" s="107" t="s">
        <v>98</v>
      </c>
      <c r="F20" s="107" t="s">
        <v>98</v>
      </c>
      <c r="G20" s="107" t="s">
        <v>98</v>
      </c>
    </row>
    <row r="21" spans="1:132" ht="20.25">
      <c r="A21" s="46" t="s">
        <v>83</v>
      </c>
      <c r="C21" s="107" t="s">
        <v>98</v>
      </c>
      <c r="D21" s="107" t="s">
        <v>98</v>
      </c>
      <c r="F21" s="107" t="s">
        <v>98</v>
      </c>
      <c r="G21" s="107" t="s">
        <v>98</v>
      </c>
    </row>
    <row r="22" spans="1:132" ht="20.25">
      <c r="A22" s="46" t="s">
        <v>92</v>
      </c>
      <c r="C22" s="107" t="s">
        <v>98</v>
      </c>
      <c r="D22" s="107" t="s">
        <v>98</v>
      </c>
      <c r="F22" s="107" t="s">
        <v>98</v>
      </c>
      <c r="G22" s="107" t="s">
        <v>98</v>
      </c>
    </row>
    <row r="23" spans="1:132" ht="20.25">
      <c r="A23" s="46" t="s">
        <v>94</v>
      </c>
      <c r="C23" s="107" t="s">
        <v>98</v>
      </c>
      <c r="D23" s="107" t="s">
        <v>98</v>
      </c>
      <c r="F23" s="107" t="s">
        <v>98</v>
      </c>
      <c r="G23" s="107" t="s">
        <v>98</v>
      </c>
    </row>
    <row r="24" spans="1:132" ht="20.25">
      <c r="A24" s="46" t="s">
        <v>61</v>
      </c>
      <c r="C24" s="107" t="s">
        <v>98</v>
      </c>
      <c r="D24" s="107" t="s">
        <v>98</v>
      </c>
      <c r="F24" s="107" t="s">
        <v>98</v>
      </c>
      <c r="G24" s="107" t="s">
        <v>98</v>
      </c>
    </row>
    <row r="25" spans="1:132" ht="20.25">
      <c r="A25" s="46" t="s">
        <v>82</v>
      </c>
      <c r="C25" s="107" t="s">
        <v>98</v>
      </c>
      <c r="D25" s="107" t="s">
        <v>98</v>
      </c>
      <c r="F25" s="107" t="s">
        <v>98</v>
      </c>
      <c r="G25" s="107" t="s">
        <v>98</v>
      </c>
    </row>
    <row r="26" spans="1:132" ht="20.25">
      <c r="A26" s="46" t="s">
        <v>56</v>
      </c>
      <c r="C26" s="107" t="s">
        <v>98</v>
      </c>
      <c r="D26" s="107" t="s">
        <v>98</v>
      </c>
      <c r="F26" s="107" t="s">
        <v>98</v>
      </c>
      <c r="G26" s="107" t="s">
        <v>98</v>
      </c>
    </row>
    <row r="27" spans="1:132" s="16" customFormat="1" ht="15.75">
      <c r="A27" s="15" t="s">
        <v>18</v>
      </c>
      <c r="B27"/>
      <c r="C27" s="103">
        <f>COUNTIF(C6:C26,"sim")</f>
        <v>17</v>
      </c>
      <c r="D27" s="103">
        <f>COUNTIF(D6:D26,"sim")</f>
        <v>16</v>
      </c>
      <c r="E27"/>
      <c r="F27" s="103">
        <f t="shared" ref="F27:G27" si="0">COUNTIF(F6:F26,"sim")</f>
        <v>18</v>
      </c>
      <c r="G27" s="103">
        <f t="shared" si="0"/>
        <v>18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2</v>
      </c>
      <c r="D28" s="104">
        <f>COUNTIF(D6:D26,"não")</f>
        <v>3</v>
      </c>
      <c r="E28"/>
      <c r="F28" s="104">
        <f t="shared" ref="F28:G28" si="1">COUNTIF(F6:F26,"não")</f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1</v>
      </c>
      <c r="D29" s="40">
        <f>COUNTIF(D6:D26,"ausente")</f>
        <v>1</v>
      </c>
      <c r="F29" s="40">
        <f t="shared" ref="F29:G29" si="2">COUNTIF(F6:F26,"ausente")</f>
        <v>2</v>
      </c>
      <c r="G29" s="40">
        <f t="shared" si="2"/>
        <v>1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 s="105">
        <f>COUNTIF(D6:D26,"abstenção")</f>
        <v>0</v>
      </c>
      <c r="E30"/>
      <c r="F30" s="105">
        <f t="shared" ref="F30:G30" si="3">COUNTIF(F6:F26,"abstenção")</f>
        <v>0</v>
      </c>
      <c r="G30" s="105">
        <f t="shared" si="3"/>
        <v>2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 s="105"/>
      <c r="E31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6" sqref="C6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 t="s">
        <v>122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9" t="s">
        <v>97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93</v>
      </c>
      <c r="C6" s="107" t="s">
        <v>98</v>
      </c>
      <c r="U6" s="7"/>
      <c r="V6" s="7"/>
    </row>
    <row r="7" spans="1:29" ht="18">
      <c r="A7" s="128" t="s">
        <v>60</v>
      </c>
      <c r="C7" s="114" t="s">
        <v>48</v>
      </c>
      <c r="U7" s="7"/>
      <c r="V7" s="7"/>
    </row>
    <row r="8" spans="1:29" ht="18">
      <c r="A8" s="128" t="s">
        <v>49</v>
      </c>
      <c r="C8" s="107" t="s">
        <v>98</v>
      </c>
      <c r="U8" s="7"/>
      <c r="V8" s="7"/>
    </row>
    <row r="9" spans="1:29" ht="18">
      <c r="A9" s="129" t="s">
        <v>50</v>
      </c>
      <c r="C9" s="114" t="s">
        <v>99</v>
      </c>
      <c r="U9" s="7"/>
      <c r="V9" s="7"/>
    </row>
    <row r="10" spans="1:29" ht="18">
      <c r="A10" s="128" t="s">
        <v>26</v>
      </c>
      <c r="C10" s="107" t="s">
        <v>98</v>
      </c>
      <c r="U10" s="7"/>
      <c r="V10" s="7"/>
    </row>
    <row r="11" spans="1:29" ht="18">
      <c r="A11" s="128" t="s">
        <v>51</v>
      </c>
      <c r="C11" s="107" t="s">
        <v>98</v>
      </c>
      <c r="U11" s="7"/>
      <c r="V11" s="7"/>
    </row>
    <row r="12" spans="1:29" ht="18">
      <c r="A12" s="128" t="s">
        <v>22</v>
      </c>
      <c r="C12" s="107" t="s">
        <v>98</v>
      </c>
      <c r="U12" s="7"/>
      <c r="V12" s="7"/>
    </row>
    <row r="13" spans="1:29" ht="18">
      <c r="A13" s="128" t="s">
        <v>23</v>
      </c>
      <c r="C13" s="114" t="s">
        <v>48</v>
      </c>
      <c r="U13" s="7"/>
      <c r="V13" s="7"/>
    </row>
    <row r="14" spans="1:29" ht="18">
      <c r="A14" s="128" t="s">
        <v>52</v>
      </c>
      <c r="C14" s="107" t="s">
        <v>98</v>
      </c>
      <c r="U14" s="7"/>
      <c r="V14" s="7"/>
    </row>
    <row r="15" spans="1:29" ht="18">
      <c r="A15" s="128" t="s">
        <v>53</v>
      </c>
      <c r="C15" s="107" t="s">
        <v>98</v>
      </c>
      <c r="U15" s="7"/>
      <c r="V15" s="7"/>
    </row>
    <row r="16" spans="1:29" ht="18">
      <c r="A16" s="128" t="s">
        <v>54</v>
      </c>
      <c r="C16" s="107" t="s">
        <v>98</v>
      </c>
      <c r="U16" s="7"/>
      <c r="V16" s="7"/>
    </row>
    <row r="17" spans="1:123" ht="18">
      <c r="A17" s="128" t="s">
        <v>86</v>
      </c>
      <c r="C17" s="107" t="s">
        <v>98</v>
      </c>
      <c r="U17" s="7"/>
      <c r="V17" s="7"/>
    </row>
    <row r="18" spans="1:123" ht="15" customHeight="1">
      <c r="A18" s="128" t="s">
        <v>24</v>
      </c>
      <c r="C18" s="107" t="s">
        <v>98</v>
      </c>
      <c r="T18" s="8"/>
      <c r="U18" s="7"/>
      <c r="V18" s="7"/>
    </row>
    <row r="19" spans="1:123" ht="18">
      <c r="A19" s="128" t="s">
        <v>55</v>
      </c>
      <c r="C19" s="107" t="s">
        <v>98</v>
      </c>
      <c r="U19" s="7"/>
      <c r="V19" s="7"/>
    </row>
    <row r="20" spans="1:123" ht="18">
      <c r="A20" s="128" t="s">
        <v>87</v>
      </c>
      <c r="C20" s="107" t="s">
        <v>98</v>
      </c>
      <c r="U20" s="7"/>
      <c r="V20" s="7"/>
    </row>
    <row r="21" spans="1:123" ht="18">
      <c r="A21" s="128" t="s">
        <v>83</v>
      </c>
      <c r="C21" s="107" t="s">
        <v>98</v>
      </c>
      <c r="U21" s="7"/>
      <c r="V21" s="7"/>
    </row>
    <row r="22" spans="1:123" ht="18">
      <c r="A22" s="128" t="s">
        <v>92</v>
      </c>
      <c r="C22" s="107" t="s">
        <v>98</v>
      </c>
      <c r="U22" s="7"/>
      <c r="V22" s="7"/>
    </row>
    <row r="23" spans="1:123" ht="18">
      <c r="A23" s="128" t="s">
        <v>94</v>
      </c>
      <c r="C23" s="107" t="s">
        <v>98</v>
      </c>
      <c r="U23" s="7"/>
      <c r="V23" s="7"/>
    </row>
    <row r="24" spans="1:123" ht="18">
      <c r="A24" s="128" t="s">
        <v>61</v>
      </c>
      <c r="C24" s="107" t="s">
        <v>98</v>
      </c>
      <c r="U24" s="7"/>
      <c r="V24" s="7"/>
    </row>
    <row r="25" spans="1:123" ht="18">
      <c r="A25" s="128" t="s">
        <v>82</v>
      </c>
      <c r="C25" s="107" t="s">
        <v>98</v>
      </c>
      <c r="U25" s="7"/>
      <c r="V25" s="7"/>
    </row>
    <row r="26" spans="1:123" ht="18">
      <c r="A26" s="128" t="s">
        <v>56</v>
      </c>
      <c r="C26" s="107" t="s">
        <v>98</v>
      </c>
      <c r="U26" s="7"/>
      <c r="V26" s="7"/>
    </row>
    <row r="27" spans="1:123" s="16" customFormat="1" ht="15.75">
      <c r="A27" s="15" t="s">
        <v>18</v>
      </c>
      <c r="B27" s="144">
        <f>COUNTIF(B6:B26,"sim")</f>
        <v>0</v>
      </c>
      <c r="C27" s="103">
        <f t="shared" ref="C27" si="0">COUNTIF(C6:C26,"sim")</f>
        <v>18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5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6">
        <f>COUNTIF(B6:B26,"ausente")</f>
        <v>0</v>
      </c>
      <c r="C29" s="40">
        <f t="shared" ref="C29" si="10">COUNTIF(C6:C26,"ausente")</f>
        <v>2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7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G38"/>
  <sheetViews>
    <sheetView workbookViewId="0">
      <pane xSplit="1" topLeftCell="B1" activePane="topRight" state="frozen"/>
      <selection pane="topRight" activeCell="E8" sqref="E8"/>
    </sheetView>
  </sheetViews>
  <sheetFormatPr defaultRowHeight="15"/>
  <cols>
    <col min="1" max="1" width="49.7109375" customWidth="1"/>
    <col min="2" max="2" width="22.85546875" customWidth="1"/>
    <col min="3" max="7" width="28.5703125" customWidth="1"/>
  </cols>
  <sheetData>
    <row r="1" spans="1:7">
      <c r="A1" s="76" t="s">
        <v>8</v>
      </c>
      <c r="B1" s="2"/>
    </row>
    <row r="2" spans="1:7">
      <c r="A2" s="76" t="s">
        <v>103</v>
      </c>
      <c r="B2" s="2"/>
    </row>
    <row r="3" spans="1:7" ht="15.75" thickBot="1">
      <c r="A3" s="120" t="s">
        <v>104</v>
      </c>
      <c r="B3" s="2"/>
    </row>
    <row r="4" spans="1:7" ht="78.75" customHeight="1" thickBot="1">
      <c r="A4" s="119" t="s">
        <v>5</v>
      </c>
      <c r="B4" s="111" t="s">
        <v>21</v>
      </c>
      <c r="C4" s="138" t="s">
        <v>123</v>
      </c>
      <c r="D4" s="138" t="s">
        <v>124</v>
      </c>
      <c r="E4" s="138" t="s">
        <v>126</v>
      </c>
      <c r="F4" s="138" t="s">
        <v>102</v>
      </c>
      <c r="G4" s="138" t="s">
        <v>128</v>
      </c>
    </row>
    <row r="5" spans="1:7" s="6" customFormat="1" ht="60.75" customHeight="1">
      <c r="A5" s="121"/>
      <c r="B5" s="111"/>
      <c r="C5" s="149" t="s">
        <v>97</v>
      </c>
      <c r="D5" s="149" t="s">
        <v>84</v>
      </c>
      <c r="E5" s="155" t="s">
        <v>127</v>
      </c>
      <c r="F5" s="149" t="s">
        <v>97</v>
      </c>
      <c r="G5" s="149" t="s">
        <v>97</v>
      </c>
    </row>
    <row r="6" spans="1:7" ht="15.75">
      <c r="A6" s="126" t="s">
        <v>93</v>
      </c>
      <c r="C6" s="107" t="s">
        <v>98</v>
      </c>
      <c r="D6" s="107" t="s">
        <v>98</v>
      </c>
      <c r="E6" s="114" t="s">
        <v>125</v>
      </c>
      <c r="F6" s="107" t="s">
        <v>98</v>
      </c>
      <c r="G6" s="107" t="s">
        <v>98</v>
      </c>
    </row>
    <row r="7" spans="1:7" ht="15.75">
      <c r="A7" s="126" t="s">
        <v>60</v>
      </c>
      <c r="C7" s="114" t="s">
        <v>48</v>
      </c>
      <c r="D7" s="114" t="s">
        <v>48</v>
      </c>
      <c r="E7" s="114" t="s">
        <v>48</v>
      </c>
      <c r="F7" s="114" t="s">
        <v>48</v>
      </c>
      <c r="G7" s="114" t="s">
        <v>48</v>
      </c>
    </row>
    <row r="8" spans="1:7" ht="15.75">
      <c r="A8" s="126" t="s">
        <v>49</v>
      </c>
      <c r="C8" s="107" t="s">
        <v>98</v>
      </c>
      <c r="D8" s="107" t="s">
        <v>98</v>
      </c>
      <c r="E8" s="114" t="s">
        <v>125</v>
      </c>
      <c r="F8" s="107" t="s">
        <v>98</v>
      </c>
      <c r="G8" s="107" t="s">
        <v>98</v>
      </c>
    </row>
    <row r="9" spans="1:7" ht="15.75">
      <c r="A9" s="127" t="s">
        <v>50</v>
      </c>
      <c r="C9" s="107" t="s">
        <v>98</v>
      </c>
      <c r="D9" s="114" t="s">
        <v>125</v>
      </c>
      <c r="E9" s="114" t="s">
        <v>125</v>
      </c>
      <c r="F9" s="114" t="s">
        <v>99</v>
      </c>
      <c r="G9" s="114" t="s">
        <v>125</v>
      </c>
    </row>
    <row r="10" spans="1:7" ht="15.75">
      <c r="A10" s="126" t="s">
        <v>26</v>
      </c>
      <c r="C10" s="107" t="s">
        <v>98</v>
      </c>
      <c r="D10" s="107" t="s">
        <v>98</v>
      </c>
      <c r="E10" s="114" t="s">
        <v>125</v>
      </c>
      <c r="F10" s="107" t="s">
        <v>98</v>
      </c>
      <c r="G10" s="107" t="s">
        <v>98</v>
      </c>
    </row>
    <row r="11" spans="1:7" ht="15.75">
      <c r="A11" s="126" t="s">
        <v>51</v>
      </c>
      <c r="C11" s="107" t="s">
        <v>98</v>
      </c>
      <c r="D11" s="107" t="s">
        <v>98</v>
      </c>
      <c r="E11" s="114" t="s">
        <v>125</v>
      </c>
      <c r="F11" s="107" t="s">
        <v>98</v>
      </c>
      <c r="G11" s="107" t="s">
        <v>98</v>
      </c>
    </row>
    <row r="12" spans="1:7" ht="15.75">
      <c r="A12" s="126" t="s">
        <v>22</v>
      </c>
      <c r="C12" s="107" t="s">
        <v>98</v>
      </c>
      <c r="D12" s="107" t="s">
        <v>98</v>
      </c>
      <c r="E12" s="114" t="s">
        <v>125</v>
      </c>
      <c r="F12" s="107" t="s">
        <v>98</v>
      </c>
      <c r="G12" s="107" t="s">
        <v>98</v>
      </c>
    </row>
    <row r="13" spans="1:7" ht="15.75">
      <c r="A13" s="126" t="s">
        <v>23</v>
      </c>
      <c r="C13" s="107" t="s">
        <v>98</v>
      </c>
      <c r="D13" s="143" t="s">
        <v>120</v>
      </c>
      <c r="E13" s="107" t="s">
        <v>98</v>
      </c>
      <c r="F13" s="114" t="s">
        <v>125</v>
      </c>
      <c r="G13" s="107" t="s">
        <v>98</v>
      </c>
    </row>
    <row r="14" spans="1:7" ht="15.75">
      <c r="A14" s="126" t="s">
        <v>52</v>
      </c>
      <c r="C14" s="107" t="s">
        <v>98</v>
      </c>
      <c r="D14" s="107" t="s">
        <v>98</v>
      </c>
      <c r="E14" s="107" t="s">
        <v>98</v>
      </c>
      <c r="F14" s="107" t="s">
        <v>98</v>
      </c>
      <c r="G14" s="107" t="s">
        <v>98</v>
      </c>
    </row>
    <row r="15" spans="1:7" ht="15.75">
      <c r="A15" s="126" t="s">
        <v>53</v>
      </c>
      <c r="B15" s="137"/>
      <c r="C15" s="107" t="s">
        <v>98</v>
      </c>
      <c r="D15" s="107" t="s">
        <v>98</v>
      </c>
      <c r="E15" s="107" t="s">
        <v>98</v>
      </c>
      <c r="F15" s="107" t="s">
        <v>98</v>
      </c>
      <c r="G15" s="107" t="s">
        <v>98</v>
      </c>
    </row>
    <row r="16" spans="1:7" ht="15.75">
      <c r="A16" s="126" t="s">
        <v>54</v>
      </c>
      <c r="C16" s="107" t="s">
        <v>98</v>
      </c>
      <c r="D16" s="143" t="s">
        <v>120</v>
      </c>
      <c r="E16" s="107" t="s">
        <v>98</v>
      </c>
      <c r="F16" s="107" t="s">
        <v>98</v>
      </c>
      <c r="G16" s="107" t="s">
        <v>98</v>
      </c>
    </row>
    <row r="17" spans="1:7" ht="15.75">
      <c r="A17" s="126" t="s">
        <v>86</v>
      </c>
      <c r="C17" s="107" t="s">
        <v>98</v>
      </c>
      <c r="D17" s="107" t="s">
        <v>98</v>
      </c>
      <c r="E17" s="107" t="s">
        <v>98</v>
      </c>
      <c r="F17" s="107" t="s">
        <v>98</v>
      </c>
      <c r="G17" s="107" t="s">
        <v>98</v>
      </c>
    </row>
    <row r="18" spans="1:7" ht="15.75">
      <c r="A18" s="126" t="s">
        <v>24</v>
      </c>
      <c r="C18" s="107" t="s">
        <v>98</v>
      </c>
      <c r="D18" s="107" t="s">
        <v>98</v>
      </c>
      <c r="E18" s="114" t="s">
        <v>125</v>
      </c>
      <c r="F18" s="107" t="s">
        <v>98</v>
      </c>
      <c r="G18" s="107" t="s">
        <v>98</v>
      </c>
    </row>
    <row r="19" spans="1:7" ht="15.75">
      <c r="A19" s="126" t="s">
        <v>55</v>
      </c>
      <c r="C19" s="107" t="s">
        <v>98</v>
      </c>
      <c r="D19" s="107" t="s">
        <v>98</v>
      </c>
      <c r="E19" s="114" t="s">
        <v>125</v>
      </c>
      <c r="F19" s="107" t="s">
        <v>98</v>
      </c>
      <c r="G19" s="107" t="s">
        <v>98</v>
      </c>
    </row>
    <row r="20" spans="1:7" ht="15.75">
      <c r="A20" s="126" t="s">
        <v>87</v>
      </c>
      <c r="C20" s="107" t="s">
        <v>98</v>
      </c>
      <c r="D20" s="107" t="s">
        <v>98</v>
      </c>
      <c r="E20" s="107" t="s">
        <v>98</v>
      </c>
      <c r="F20" s="107" t="s">
        <v>98</v>
      </c>
      <c r="G20" s="107" t="s">
        <v>98</v>
      </c>
    </row>
    <row r="21" spans="1:7" ht="15.75">
      <c r="A21" s="126" t="s">
        <v>83</v>
      </c>
      <c r="C21" s="107" t="s">
        <v>98</v>
      </c>
      <c r="D21" s="107" t="s">
        <v>98</v>
      </c>
      <c r="E21" s="114" t="s">
        <v>125</v>
      </c>
      <c r="F21" s="107" t="s">
        <v>98</v>
      </c>
      <c r="G21" s="107" t="s">
        <v>98</v>
      </c>
    </row>
    <row r="22" spans="1:7" ht="15.75">
      <c r="A22" s="126" t="s">
        <v>92</v>
      </c>
      <c r="C22" s="107" t="s">
        <v>98</v>
      </c>
      <c r="D22" s="107" t="s">
        <v>98</v>
      </c>
      <c r="E22" s="114" t="s">
        <v>125</v>
      </c>
      <c r="F22" s="107" t="s">
        <v>98</v>
      </c>
      <c r="G22" s="107" t="s">
        <v>98</v>
      </c>
    </row>
    <row r="23" spans="1:7" ht="15.75">
      <c r="A23" s="126" t="s">
        <v>94</v>
      </c>
      <c r="C23" s="107" t="s">
        <v>98</v>
      </c>
      <c r="D23" s="107" t="s">
        <v>98</v>
      </c>
      <c r="E23" s="107" t="s">
        <v>98</v>
      </c>
      <c r="F23" s="107" t="s">
        <v>98</v>
      </c>
      <c r="G23" s="107" t="s">
        <v>98</v>
      </c>
    </row>
    <row r="24" spans="1:7" ht="15.75">
      <c r="A24" s="126" t="s">
        <v>61</v>
      </c>
      <c r="C24" s="107" t="s">
        <v>98</v>
      </c>
      <c r="D24" s="107" t="s">
        <v>98</v>
      </c>
      <c r="E24" s="114" t="s">
        <v>125</v>
      </c>
      <c r="F24" s="107" t="s">
        <v>98</v>
      </c>
      <c r="G24" s="107" t="s">
        <v>98</v>
      </c>
    </row>
    <row r="25" spans="1:7" ht="15.75">
      <c r="A25" s="126" t="s">
        <v>82</v>
      </c>
      <c r="C25" s="107" t="s">
        <v>98</v>
      </c>
      <c r="D25" s="107" t="s">
        <v>98</v>
      </c>
      <c r="E25" s="114" t="s">
        <v>125</v>
      </c>
      <c r="F25" s="107" t="s">
        <v>98</v>
      </c>
      <c r="G25" s="107" t="s">
        <v>98</v>
      </c>
    </row>
    <row r="26" spans="1:7" ht="15.75">
      <c r="A26" s="126" t="s">
        <v>56</v>
      </c>
      <c r="C26" s="107" t="s">
        <v>98</v>
      </c>
      <c r="D26" s="107" t="s">
        <v>98</v>
      </c>
      <c r="E26" s="114" t="s">
        <v>125</v>
      </c>
      <c r="F26" s="107" t="s">
        <v>98</v>
      </c>
      <c r="G26" s="107" t="s">
        <v>98</v>
      </c>
    </row>
    <row r="27" spans="1:7">
      <c r="C27" s="107"/>
      <c r="D27" s="107"/>
      <c r="E27" s="107"/>
      <c r="F27" s="107"/>
      <c r="G27" s="107"/>
    </row>
    <row r="28" spans="1:7" ht="15.75">
      <c r="A28" s="15" t="s">
        <v>18</v>
      </c>
      <c r="B28" s="16">
        <f>COUNTIF(B6:B26,"sim")</f>
        <v>0</v>
      </c>
      <c r="C28" s="103">
        <f t="shared" ref="C28:E28" si="0">COUNTIF(C6:C26,"sim")</f>
        <v>20</v>
      </c>
      <c r="D28" s="103">
        <f t="shared" si="0"/>
        <v>17</v>
      </c>
      <c r="E28" s="103">
        <f t="shared" si="0"/>
        <v>7</v>
      </c>
      <c r="F28" s="103">
        <f t="shared" ref="F28:G28" si="1">COUNTIF(F6:F26,"sim")</f>
        <v>18</v>
      </c>
      <c r="G28" s="103">
        <f t="shared" si="1"/>
        <v>19</v>
      </c>
    </row>
    <row r="29" spans="1:7" ht="15.75">
      <c r="A29" s="17" t="s">
        <v>19</v>
      </c>
      <c r="B29" s="18">
        <f>COUNTIF(B6:B26,"não")</f>
        <v>0</v>
      </c>
      <c r="C29" s="104">
        <f t="shared" ref="C29:E29" si="2">COUNTIF(C6:C26,"não")</f>
        <v>0</v>
      </c>
      <c r="D29" s="104">
        <f t="shared" si="2"/>
        <v>2</v>
      </c>
      <c r="E29" s="104">
        <f t="shared" si="2"/>
        <v>0</v>
      </c>
      <c r="F29" s="104">
        <f t="shared" ref="F29:G29" si="3">COUNTIF(F6:F26,"não")</f>
        <v>0</v>
      </c>
      <c r="G29" s="104">
        <f t="shared" si="3"/>
        <v>0</v>
      </c>
    </row>
    <row r="30" spans="1:7" ht="15.75">
      <c r="A30" s="14" t="s">
        <v>11</v>
      </c>
      <c r="B30">
        <f>COUNTIF(B6:B26,"ausente")</f>
        <v>0</v>
      </c>
      <c r="C30" s="40">
        <f t="shared" ref="C30:E30" si="4">COUNTIF(C6:C26,"ausente")</f>
        <v>1</v>
      </c>
      <c r="D30" s="40">
        <f t="shared" si="4"/>
        <v>1</v>
      </c>
      <c r="E30" s="40">
        <f t="shared" si="4"/>
        <v>1</v>
      </c>
      <c r="F30" s="40">
        <f t="shared" ref="F30:G30" si="5">COUNTIF(F6:F26,"ausente")</f>
        <v>1</v>
      </c>
      <c r="G30" s="40">
        <f t="shared" si="5"/>
        <v>1</v>
      </c>
    </row>
    <row r="31" spans="1:7" ht="15.75">
      <c r="A31" s="19" t="s">
        <v>20</v>
      </c>
      <c r="B31" s="20">
        <f>COUNTIF(B6:B26,"abstenção")</f>
        <v>0</v>
      </c>
      <c r="C31" s="105">
        <f t="shared" ref="C31:E31" si="6">COUNTIF(C6:C26,"abstenção")</f>
        <v>0</v>
      </c>
      <c r="D31" s="105">
        <f t="shared" si="6"/>
        <v>1</v>
      </c>
      <c r="E31" s="105">
        <f t="shared" si="6"/>
        <v>13</v>
      </c>
      <c r="F31" s="105">
        <f t="shared" ref="F31:G31" si="7">COUNTIF(F6:F26,"abstenção")</f>
        <v>1</v>
      </c>
      <c r="G31" s="105">
        <f t="shared" si="7"/>
        <v>1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0" t="s">
        <v>104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88</v>
      </c>
      <c r="G4" s="141" t="s">
        <v>89</v>
      </c>
      <c r="H4" s="141" t="s">
        <v>90</v>
      </c>
      <c r="I4" s="141" t="s">
        <v>91</v>
      </c>
      <c r="J4" s="141" t="s">
        <v>96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93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86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87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92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94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93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86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87</v>
      </c>
    </row>
    <row r="21" spans="1:23" ht="18">
      <c r="A21" s="128" t="s">
        <v>83</v>
      </c>
    </row>
    <row r="22" spans="1:23" ht="18">
      <c r="A22" s="128" t="s">
        <v>92</v>
      </c>
    </row>
    <row r="23" spans="1:23" ht="18">
      <c r="A23" s="128" t="s">
        <v>94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2026-10-09T13:54:12Z</dcterms:modified>
</cp:coreProperties>
</file>