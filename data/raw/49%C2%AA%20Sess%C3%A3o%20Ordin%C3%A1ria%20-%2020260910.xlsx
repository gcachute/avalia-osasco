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0097D13-D6AF-45D7-B610-28B920C39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8" i="11" l="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F27" i="2"/>
  <c r="G27" i="2"/>
  <c r="H27" i="2"/>
  <c r="F28" i="2"/>
  <c r="G28" i="2"/>
  <c r="H28" i="2"/>
  <c r="F29" i="2"/>
  <c r="G29" i="2"/>
  <c r="H29" i="2"/>
  <c r="F30" i="2"/>
  <c r="G30" i="2"/>
  <c r="H30" i="2"/>
  <c r="C27" i="3"/>
  <c r="C28" i="3"/>
  <c r="C29" i="3"/>
  <c r="C30" i="3"/>
  <c r="E27" i="2"/>
  <c r="E28" i="2"/>
  <c r="E29" i="2"/>
  <c r="E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<sst xmlns="http://schemas.openxmlformats.org/spreadsheetml/2006/main" count="410" uniqueCount="127">
  <si>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</si>
  <si>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</si>
  <si>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</si>
  <si>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</si>
  <si>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</si>
  <si>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</si>
  <si>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</si>
  <si>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</si>
  <si>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</si>
  <si>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</si>
  <si>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</si>
  <si>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</si>
  <si>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</si>
  <si>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</si>
  <si>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</si>
  <si>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</si>
  <si>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</si>
  <si>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</si>
  <si>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</si>
  <si>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</si>
  <si>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</si>
  <si>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</si>
  <si>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</si>
  <si>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</si>
  <si>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</si>
  <si>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</si>
  <si>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</si>
  <si>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</si>
  <si>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</si>
  <si>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</si>
  <si>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</si>
  <si>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</si>
  <si>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</si>
  <si>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</si>
  <si>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</si>
  <si>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</si>
  <si>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</si>
  <si>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</si>
  <si>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</si>
  <si>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</si>
  <si>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</si>
  <si>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</si>
  <si>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</si>
  <si>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</si>
  <si>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</si>
  <si>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</si>
  <si>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</si>
  <si>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</si>
  <si>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</si>
  <si>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</si>
  <si>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</si>
  <si>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</si>
  <si>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</si>
  <si>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</si>
  <si>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</si>
  <si>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</si>
  <si>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</si>
  <si>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</si>
  <si>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</si>
  <si>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</si>
  <si>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</si>
  <si>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</si>
  <si>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</si>
  <si>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</si>
  <si>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</si>
  <si>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</si>
  <si>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</si>
  <si>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</si>
  <si>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</si>
  <si>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</si>
  <si>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</si>
  <si>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</si>
  <si>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</si>
  <si>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</si>
  <si>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</si>
  <si>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</si>
  <si>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</si>
  <si>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</si>
  <si>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</si>
  <si>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</si>
  <si>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</si>
  <si>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</si>
  <si>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</si>
  <si>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</si>
  <si>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</si>
  <si>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</si>
  <si>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</si>
  <si>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</si>
  <si>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</si>
  <si>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</si>
  <si>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</si>
  <si>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</si>
  <si>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</si>
  <si>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</si>
  <si>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</si>
  <si>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</si>
  <si>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</si>
  <si>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</si>
  <si>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</si>
  <si>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r>
      <t xml:space="preserve">MOÇÃO DE RECONHECIMENTO N.º 256/2026 – ALEXANDRE CAPRIOTTI – </t>
    </r>
    <r>
      <rPr>
        <sz val="11"/>
        <color theme="1"/>
        <rFont val="Arial"/>
        <family val="2"/>
      </rPr>
      <t>Ao Senhor Rafael Cardoso Buin, por sua trajetória de dedicação à vida pública e compromisso permanente com o atendimento à população de Osasco.</t>
    </r>
  </si>
  <si>
    <r>
      <t xml:space="preserve">PROJETO DE LEI N.º 77/2026 – RALFI - </t>
    </r>
    <r>
      <rPr>
        <sz val="14"/>
        <color theme="1"/>
        <rFont val="Arial"/>
        <family val="2"/>
      </rPr>
      <t>Dispõe sobre diretrizes para a promoção da triagem precoce para detecção de sinais de Transtorno do Espectro Autista (TEA) e outras deficiências no Município de Osasco.</t>
    </r>
  </si>
  <si>
    <r>
      <t xml:space="preserve">PROJETO DE LEI N.º 147/2026 - GABRIEL SAÚDE - </t>
    </r>
    <r>
      <rPr>
        <sz val="11"/>
        <color theme="1"/>
        <rFont val="Arial"/>
        <family val="2"/>
      </rPr>
      <t>Denomina Viela José Carlos de Arruda a atual Viela 15 do Loteamento Jardim Velloso, situado no Bairro Veloso.</t>
    </r>
  </si>
  <si>
    <t>49ª SESSÃO ORDINÁRIA</t>
  </si>
  <si>
    <t>DIA 10 DE SETEMBRO DE 2026 - QUINTA-FEIRA</t>
  </si>
  <si>
    <t>Justificativa de ausência do Vereador Heber do Juntoz.</t>
  </si>
  <si>
    <t>Justificativa de ausência do Vereador Carmônio Bastos.</t>
  </si>
  <si>
    <t>Justificativa de ausência do Vereador Fábio Chirinhan.</t>
  </si>
  <si>
    <t>OFÍCIO PROLEGIS Nº 202603293045 – Prefeito do Município de Osasco – Informa a sanção da Lei nº 5.515, de 3 de setembro de 2026, referente ao Projeto de Lei nº 26/2026, de autoria do vereador Pedrinho Cantagessi que institui o dia municipal da alfabetização no Município de Osasco.</t>
  </si>
  <si>
    <t>OFÍCIO PROLEGIS nº 202603295682 - Prefeito do Município de Osasco – Informa a sanção da Lei nº 5.516, de 8 de setembro de 2026, referente ao Substitutivo nº 3 ao Projeto de Lei nº 178/2026, de autoria do Prefeito do Município de Osasco que Dispõe sobre abertura de crédito adicional suplementar ao orçamento vigente e dá outras providências.</t>
  </si>
  <si>
    <t>Decretos nº 15.225, 15.226, 15.227, 15.230 e 15.231 de setembro de 2026 – Prefeito do Município de Osasco - Dispõem sobre a abertura de crédito adicional especial ao orçamento vigente e dão outras providências.</t>
  </si>
  <si>
    <t>Decretos nº 15.213 e 15.215 a 15.221 de agosto de 2026 – Prefeito do Município de Osasco - Dispõem sobre a abertura de crédito adicional suplementar ao orçamento vigente e dão outras providências.</t>
  </si>
  <si>
    <t>Projeto de Lei nº 205/2026 – Prefeito do Município de Osasco – Dispõe sobre abertura de crédito adicional especial ao orçamento vigente e dá outras providências.</t>
  </si>
  <si>
    <t>Projeto de Lei nº 206/2026 – Prefeito do Município de Osasco – Dispõe sobre abertura de crédito adicional especial ao orçamento vigente e dá outras providências.</t>
  </si>
  <si>
    <t>Projeto de Lei nº 207/2026 – Prefeito do Município de Osasco – Dispõe sobre abertura de crédito adicional especial ao orçamento vigente e dá outras providências.</t>
  </si>
  <si>
    <t>Projeto de Decreto Legislativo nº 42/2026 – Laércio Mendonça – Dispõe sobre a concessão de Cartão de Prata ao Sr. Osvaldo Rossato Júnior.</t>
  </si>
  <si>
    <r>
      <t>MOÇÃO DE CONGRATULAÇÕES N.º 251/2026 – ELSA OLIVEIRA –</t>
    </r>
    <r>
      <rPr>
        <sz val="11"/>
        <color theme="1"/>
        <rFont val="Arial"/>
        <family val="2"/>
      </rPr>
      <t xml:space="preserve"> A todos os professores de Educação Física, pela passagem do Dia do Professor de Educação Física, celebrado em 1º de setembro.</t>
    </r>
  </si>
  <si>
    <r>
      <t xml:space="preserve">MOÇÃO DE APLAUSO N.º 250/2026 – JOSIAS DA JUCO – </t>
    </r>
    <r>
      <rPr>
        <sz val="11"/>
        <color theme="1"/>
        <rFont val="Arial"/>
        <family val="2"/>
      </rPr>
      <t>Aos Guardas Civis Municipais Tardelli e João Victor, integrantes da Guarda Civil de Osasco, em reconhecimento ao trabalho de excelência desenvolvido no exercício de suas funções, marcado por comprometimento, profissionalismo, coragem, e dedicação à proteção da população osasquense.</t>
    </r>
  </si>
  <si>
    <r>
      <t>MOÇÃO DE APLAUSO N.º 254/2026 – ALEXANDRE CAPRIOTTI –</t>
    </r>
    <r>
      <rPr>
        <sz val="11"/>
        <color theme="1"/>
        <rFont val="Arial"/>
        <family val="2"/>
      </rPr>
      <t xml:space="preserve"> Ao Ciclismo de Osasco, pela destacada participação nos 68º Jogos Regionais, realizados em Praia Grande.</t>
    </r>
  </si>
  <si>
    <r>
      <t xml:space="preserve">MOÇÃO DE APLAUSO N.º 257/2026 – BATISTA COMUNIDADE – </t>
    </r>
    <r>
      <rPr>
        <sz val="11"/>
        <color theme="1"/>
        <rFont val="Arial"/>
        <family val="2"/>
      </rPr>
      <t>À CEMEI Gertrudes de Rossi, localizada no Portal D'Oeste, Zona Norte de Osasco, pelo compromisso com a educação infantil de qualidade e dedicação ao desenvolvimento das crianças e famílias da comunidade ao longo de sua história.</t>
    </r>
  </si>
  <si>
    <r>
      <t>MOÇÃO DE CONGRATULAÇÕES N.º 258/2026 – DELBIO TERUEL –</t>
    </r>
    <r>
      <rPr>
        <sz val="11"/>
        <color theme="1"/>
        <rFont val="Arial"/>
        <family val="2"/>
      </rPr>
      <t xml:space="preserve"> À União Distribuidora de Aço - UDIAÇO, extensiva aos seus fundadores Hélio Trevizan Júnior, Adalberto Trevizan e Wagner Trevizan, seus familiares, diretores, colaboradores e a todos que fazem parte da família Udiaço, pela comemoração de seus 37 anos de fundação, celebrados em 8 de setembro.</t>
    </r>
  </si>
  <si>
    <t>esgotado o tempo regimental, será pautada na próxima sessão.</t>
  </si>
  <si>
    <r>
      <t xml:space="preserve">MOÇÃO DE APOIO N.º 259/2026 – STEPHANE ROSSI – </t>
    </r>
    <r>
      <rPr>
        <sz val="11"/>
        <color theme="1"/>
        <rFont val="Arial"/>
        <family val="2"/>
      </rPr>
      <t>Ao “Setembro Surdo”, que é dedicado à valorização, à visibilidade, à identidade, à cultura e à luta pelos direitos das pessoas surdas.</t>
    </r>
  </si>
  <si>
    <r>
      <t xml:space="preserve">MOÇÃO DE APLAUSO N.º 260/2026 – DELBIO TERUEL – </t>
    </r>
    <r>
      <rPr>
        <sz val="11"/>
        <color theme="1"/>
        <rFont val="Arial"/>
        <family val="2"/>
      </rPr>
      <t>À Secretaria Municipal de Educação de Osasco, na pessoa do Secretário José Toste Borges, extensiva aos coordenadores, gestores, servidores, profissionais da educação e a toda equipe responsável pela organização e realização do desfile cívico de 7 de Setembro, pelo excelente trabalho desenvolvido na comemoração da Independência do Brasil.</t>
    </r>
  </si>
  <si>
    <r>
      <t xml:space="preserve">PROJETO DE LEI N.º 89/2026 - JOSIAS DA JUCO - </t>
    </r>
    <r>
      <rPr>
        <sz val="14"/>
        <color theme="1"/>
        <rFont val="Arial"/>
        <family val="2"/>
      </rPr>
      <t>Altera a Lei nº 4.855, de 07 de dezembro de 2017, para estender a prorrogação da licença-maternidade às servidoras públicas municipais que adotarem ou obtiverem guarda judicial para fins de adoção.</t>
    </r>
  </si>
  <si>
    <r>
      <t>PROJETO DE LEI N.º 131/2026 - CANTOR GOLEIRO -</t>
    </r>
    <r>
      <rPr>
        <sz val="14"/>
        <color theme="1"/>
        <rFont val="Arial"/>
        <family val="2"/>
      </rPr>
      <t xml:space="preserve"> Institui no Calendário Oficial de Eventos de Osasco o Dia do Aniversário do Jd. Canaã.</t>
    </r>
  </si>
  <si>
    <t>não havendo quórum regimental, será pautado na próxima sessão.</t>
  </si>
  <si>
    <t>8.RECURSO DE AUTORIA DO VEREADOR PEDRINHO CANTAGESSI AO PL N.º 57/2026, que dispõe sobre a criação do Programa Ônibus Rosa e dá outras providências, em face do parecer contrário da Comissão de Constituição e Justiça – CCJ.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</si>
</sst>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102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103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94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2</v>
      </c>
      <c r="K5" s="102" t="s">
        <v>48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2</v>
      </c>
      <c r="C6" s="102" t="s">
        <v>48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2</v>
      </c>
      <c r="C7" s="102" t="s">
        <v>48</v>
      </c>
      <c r="D7" s="63"/>
      <c r="E7" s="62"/>
      <c r="F7" s="88">
        <v>1</v>
      </c>
      <c r="G7" s="62" t="s">
        <v>47</v>
      </c>
      <c r="H7" s="63"/>
      <c r="I7" s="62"/>
      <c r="J7" s="63">
        <v>2</v>
      </c>
      <c r="K7" s="102" t="s">
        <v>48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2</v>
      </c>
      <c r="C8" s="102" t="s">
        <v>48</v>
      </c>
      <c r="D8" s="63"/>
      <c r="E8" s="62"/>
      <c r="F8" s="88">
        <v>2</v>
      </c>
      <c r="G8" s="102" t="s">
        <v>48</v>
      </c>
      <c r="H8" s="63"/>
      <c r="I8" s="62"/>
      <c r="J8" s="63">
        <v>2</v>
      </c>
      <c r="K8" s="102" t="s">
        <v>48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1</v>
      </c>
      <c r="C10" s="62" t="s">
        <v>47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2</v>
      </c>
      <c r="K16" s="102" t="s">
        <v>48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2</v>
      </c>
      <c r="K18" s="102" t="s">
        <v>48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88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2</v>
      </c>
      <c r="K21" s="102" t="s">
        <v>48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95</v>
      </c>
      <c r="B22" s="88">
        <v>2</v>
      </c>
      <c r="C22" s="102" t="s">
        <v>48</v>
      </c>
      <c r="D22" s="63"/>
      <c r="E22" s="62"/>
      <c r="F22" s="88">
        <v>2</v>
      </c>
      <c r="G22" s="102" t="s">
        <v>48</v>
      </c>
      <c r="H22" s="63"/>
      <c r="I22" s="62"/>
      <c r="J22" s="63">
        <v>2</v>
      </c>
      <c r="K22" s="102" t="s">
        <v>48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2</v>
      </c>
      <c r="K24" s="102" t="s">
        <v>48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8</v>
      </c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4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17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 t="s">
        <v>49</v>
      </c>
      <c r="V34" s="12"/>
      <c r="W34" s="12"/>
    </row>
    <row r="35" spans="1:23" ht="18">
      <c r="A35" s="34" t="s">
        <v>55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95</v>
      </c>
      <c r="V44" s="12"/>
      <c r="W44" s="12"/>
    </row>
    <row r="45" spans="1:23" ht="18">
      <c r="A45" s="34" t="s">
        <v>82</v>
      </c>
      <c r="V45" s="12"/>
      <c r="W45" s="12"/>
    </row>
    <row r="46" spans="1:23" ht="18">
      <c r="A46" s="34" t="s">
        <v>61</v>
      </c>
      <c r="V46" s="12"/>
      <c r="W46" s="12"/>
    </row>
    <row r="47" spans="1:23" ht="18">
      <c r="A47" s="34" t="s">
        <v>53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39"/>
  <sheetViews>
    <sheetView workbookViewId="0">
      <pane xSplit="1" topLeftCell="B1" activePane="topRight" state="frozen"/>
      <selection pane="topRight" activeCell="Z1" sqref="Z1:Z1048576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25" width="22.7109375" style="22" customWidth="1"/>
    <col min="26" max="16384" width="9.140625" style="22"/>
  </cols>
  <sheetData>
    <row r="1" spans="1:25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5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5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5" ht="63" customHeight="1">
      <c r="A4" s="51" t="str">
        <f>'[1]MOÇÃO E REQUERIMENTO'!B7</f>
        <v>EXPEDIENTE</v>
      </c>
      <c r="B4" s="50" t="s">
        <v>42</v>
      </c>
      <c r="C4" s="117" t="s">
        <v>97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7" t="s">
        <v>112</v>
      </c>
      <c r="M4" s="117" t="s">
        <v>113</v>
      </c>
      <c r="N4" s="117" t="s">
        <v>114</v>
      </c>
      <c r="O4" s="112" t="s">
        <v>32</v>
      </c>
      <c r="P4" s="123"/>
      <c r="Q4" s="50" t="s">
        <v>25</v>
      </c>
      <c r="R4" s="84" t="s">
        <v>116</v>
      </c>
      <c r="S4" s="84" t="s">
        <v>115</v>
      </c>
      <c r="T4" s="84" t="s">
        <v>117</v>
      </c>
      <c r="U4" s="84" t="s">
        <v>99</v>
      </c>
      <c r="V4" s="84" t="s">
        <v>118</v>
      </c>
      <c r="W4" s="84" t="s">
        <v>119</v>
      </c>
      <c r="X4" s="84" t="s">
        <v>121</v>
      </c>
      <c r="Y4" s="84" t="s">
        <v>122</v>
      </c>
    </row>
    <row r="5" spans="1:25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49" t="s">
        <v>96</v>
      </c>
      <c r="S5" s="113" t="s">
        <v>84</v>
      </c>
      <c r="T5" s="113" t="s">
        <v>84</v>
      </c>
      <c r="U5" s="113" t="s">
        <v>84</v>
      </c>
      <c r="V5" s="113" t="s">
        <v>84</v>
      </c>
      <c r="W5" s="149" t="s">
        <v>120</v>
      </c>
      <c r="X5" s="113" t="s">
        <v>84</v>
      </c>
      <c r="Y5" s="149" t="s">
        <v>120</v>
      </c>
    </row>
    <row r="6" spans="1:25" ht="15.75">
      <c r="A6" s="126" t="s">
        <v>94</v>
      </c>
      <c r="Q6" s="23"/>
    </row>
    <row r="7" spans="1:25" ht="15.75">
      <c r="A7" s="126" t="s">
        <v>60</v>
      </c>
      <c r="Q7" s="23"/>
    </row>
    <row r="8" spans="1:25" ht="15.75">
      <c r="A8" s="126" t="s">
        <v>49</v>
      </c>
      <c r="Q8" s="23"/>
    </row>
    <row r="9" spans="1:25" ht="15.75">
      <c r="A9" s="127" t="s">
        <v>50</v>
      </c>
      <c r="Q9" s="23"/>
    </row>
    <row r="10" spans="1:25" ht="15.75">
      <c r="A10" s="126" t="s">
        <v>26</v>
      </c>
      <c r="Q10" s="23"/>
    </row>
    <row r="11" spans="1:25" ht="15.75">
      <c r="A11" s="126" t="s">
        <v>51</v>
      </c>
      <c r="Q11" s="23"/>
    </row>
    <row r="12" spans="1:25" ht="15.75">
      <c r="A12" s="126" t="s">
        <v>22</v>
      </c>
      <c r="Q12" s="23"/>
    </row>
    <row r="13" spans="1:25" ht="15.75">
      <c r="A13" s="126" t="s">
        <v>23</v>
      </c>
      <c r="Q13" s="23"/>
    </row>
    <row r="14" spans="1:25" ht="15.75">
      <c r="A14" s="126" t="s">
        <v>52</v>
      </c>
      <c r="Q14" s="23"/>
    </row>
    <row r="15" spans="1:25" ht="15.75">
      <c r="A15" s="126" t="s">
        <v>53</v>
      </c>
      <c r="Q15" s="23"/>
    </row>
    <row r="16" spans="1:25" ht="15.75">
      <c r="A16" s="126" t="s">
        <v>54</v>
      </c>
      <c r="Q16" s="23"/>
    </row>
    <row r="17" spans="1:17" ht="15.75">
      <c r="A17" s="126" t="s">
        <v>87</v>
      </c>
      <c r="Q17" s="23"/>
    </row>
    <row r="18" spans="1:17" ht="15.75">
      <c r="A18" s="126" t="s">
        <v>24</v>
      </c>
      <c r="Q18" s="23"/>
    </row>
    <row r="19" spans="1:17" ht="15.75">
      <c r="A19" s="126" t="s">
        <v>55</v>
      </c>
      <c r="Q19" s="23"/>
    </row>
    <row r="20" spans="1:17" ht="15.75">
      <c r="A20" s="126" t="s">
        <v>88</v>
      </c>
      <c r="Q20" s="23"/>
    </row>
    <row r="21" spans="1:17" ht="15.75">
      <c r="A21" s="126" t="s">
        <v>83</v>
      </c>
      <c r="Q21" s="23"/>
    </row>
    <row r="22" spans="1:17" ht="15.75">
      <c r="A22" s="126" t="s">
        <v>93</v>
      </c>
      <c r="Q22" s="23"/>
    </row>
    <row r="23" spans="1:17" ht="15.75">
      <c r="A23" s="126" t="s">
        <v>95</v>
      </c>
      <c r="Q23" s="23"/>
    </row>
    <row r="24" spans="1:17" ht="15.75">
      <c r="A24" s="126" t="s">
        <v>61</v>
      </c>
      <c r="Q24" s="23"/>
    </row>
    <row r="25" spans="1:17" ht="15.75">
      <c r="A25" s="126" t="s">
        <v>82</v>
      </c>
      <c r="Q25" s="23"/>
    </row>
    <row r="26" spans="1:17" ht="15.75">
      <c r="A26" s="126" t="s">
        <v>56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102</v>
      </c>
      <c r="B2" s="49"/>
      <c r="C2" s="74"/>
    </row>
    <row r="3" spans="1:48" ht="17.25" customHeight="1">
      <c r="A3" s="76" t="s">
        <v>103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98</v>
      </c>
      <c r="F4" s="139" t="s">
        <v>100</v>
      </c>
      <c r="G4" s="139" t="s">
        <v>123</v>
      </c>
      <c r="H4" s="139" t="s">
        <v>124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35</v>
      </c>
      <c r="B5" s="78"/>
      <c r="C5" s="144"/>
      <c r="D5" s="79"/>
      <c r="E5" s="149" t="s">
        <v>125</v>
      </c>
      <c r="F5" s="149" t="s">
        <v>125</v>
      </c>
      <c r="G5" s="149" t="s">
        <v>125</v>
      </c>
      <c r="H5" s="149" t="s">
        <v>125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94</v>
      </c>
      <c r="C6" s="107"/>
      <c r="E6" s="107"/>
      <c r="F6" s="107"/>
      <c r="G6" s="107"/>
      <c r="H6" s="107"/>
      <c r="I6" s="142"/>
    </row>
    <row r="7" spans="1:48" ht="20.25">
      <c r="A7" s="46" t="s">
        <v>60</v>
      </c>
      <c r="C7" s="107"/>
      <c r="E7" s="107"/>
      <c r="F7" s="107"/>
      <c r="G7" s="107"/>
      <c r="H7" s="107"/>
    </row>
    <row r="8" spans="1:48" ht="20.25">
      <c r="A8" s="46" t="s">
        <v>49</v>
      </c>
      <c r="C8" s="107"/>
      <c r="E8" s="107"/>
      <c r="F8" s="107"/>
      <c r="G8" s="107"/>
      <c r="H8" s="107"/>
    </row>
    <row r="9" spans="1:48" ht="20.25">
      <c r="A9" s="82" t="s">
        <v>50</v>
      </c>
      <c r="C9" s="114"/>
      <c r="E9" s="114"/>
      <c r="F9" s="114"/>
      <c r="G9" s="114"/>
      <c r="H9" s="114"/>
    </row>
    <row r="10" spans="1:48" ht="20.25">
      <c r="A10" s="46" t="s">
        <v>26</v>
      </c>
      <c r="C10" s="107"/>
      <c r="E10" s="107"/>
      <c r="F10" s="107"/>
      <c r="G10" s="107"/>
      <c r="H10" s="107"/>
    </row>
    <row r="11" spans="1:48" ht="20.25">
      <c r="A11" s="46" t="s">
        <v>51</v>
      </c>
      <c r="C11" s="107"/>
      <c r="E11" s="107"/>
      <c r="F11" s="107"/>
      <c r="G11" s="107"/>
      <c r="H11" s="107"/>
    </row>
    <row r="12" spans="1:48" ht="20.25">
      <c r="A12" s="46" t="s">
        <v>22</v>
      </c>
      <c r="C12" s="114"/>
      <c r="E12" s="107"/>
      <c r="F12" s="107"/>
      <c r="G12" s="107"/>
      <c r="H12" s="107"/>
    </row>
    <row r="13" spans="1:48" ht="20.25">
      <c r="A13" s="46" t="s">
        <v>23</v>
      </c>
      <c r="C13" s="107"/>
      <c r="E13" s="114"/>
      <c r="F13" s="114"/>
      <c r="G13" s="114"/>
      <c r="H13" s="114"/>
    </row>
    <row r="14" spans="1:48" ht="20.25">
      <c r="A14" s="46" t="s">
        <v>52</v>
      </c>
      <c r="C14" s="107"/>
      <c r="E14" s="107"/>
      <c r="F14" s="107"/>
      <c r="G14" s="107"/>
      <c r="H14" s="107"/>
    </row>
    <row r="15" spans="1:48" ht="20.25">
      <c r="A15" s="46" t="s">
        <v>53</v>
      </c>
      <c r="C15" s="107"/>
      <c r="E15" s="107"/>
      <c r="F15" s="107"/>
      <c r="G15" s="107"/>
      <c r="H15" s="107"/>
    </row>
    <row r="16" spans="1:48" ht="20.25">
      <c r="A16" s="46" t="s">
        <v>54</v>
      </c>
      <c r="C16" s="143"/>
      <c r="E16" s="114"/>
      <c r="F16" s="114"/>
      <c r="G16" s="114"/>
      <c r="H16" s="114"/>
    </row>
    <row r="17" spans="1:133" ht="20.25">
      <c r="A17" s="46" t="s">
        <v>87</v>
      </c>
      <c r="C17" s="114"/>
      <c r="E17" s="107"/>
      <c r="F17" s="107"/>
      <c r="G17" s="107"/>
      <c r="H17" s="107"/>
    </row>
    <row r="18" spans="1:133" ht="20.25">
      <c r="A18" s="46" t="s">
        <v>24</v>
      </c>
      <c r="C18" s="107"/>
      <c r="E18" s="107"/>
      <c r="F18" s="107"/>
      <c r="G18" s="107"/>
      <c r="H18" s="107"/>
    </row>
    <row r="19" spans="1:133" ht="20.25">
      <c r="A19" s="46" t="s">
        <v>55</v>
      </c>
      <c r="C19" s="107"/>
      <c r="E19" s="107"/>
      <c r="F19" s="107"/>
      <c r="G19" s="107"/>
      <c r="H19" s="107"/>
    </row>
    <row r="20" spans="1:133" ht="20.25">
      <c r="A20" s="46" t="s">
        <v>88</v>
      </c>
      <c r="C20" s="114"/>
      <c r="E20" s="107"/>
      <c r="F20" s="107"/>
      <c r="G20" s="107"/>
      <c r="H20" s="107"/>
    </row>
    <row r="21" spans="1:133" ht="20.25">
      <c r="A21" s="46" t="s">
        <v>83</v>
      </c>
      <c r="C21" s="114"/>
      <c r="E21" s="114"/>
      <c r="F21" s="114"/>
      <c r="G21" s="114"/>
      <c r="H21" s="114"/>
    </row>
    <row r="22" spans="1:133" ht="20.25">
      <c r="A22" s="46" t="s">
        <v>93</v>
      </c>
      <c r="C22" s="107"/>
      <c r="E22" s="114"/>
      <c r="F22" s="114"/>
      <c r="G22" s="114"/>
      <c r="H22" s="114"/>
    </row>
    <row r="23" spans="1:133" ht="20.25">
      <c r="A23" s="46" t="s">
        <v>95</v>
      </c>
      <c r="C23" s="114"/>
      <c r="E23" s="107"/>
      <c r="F23" s="107"/>
      <c r="G23" s="107"/>
      <c r="H23" s="107"/>
    </row>
    <row r="24" spans="1:133" ht="20.25">
      <c r="A24" s="46" t="s">
        <v>61</v>
      </c>
      <c r="C24" s="107"/>
      <c r="E24" s="107"/>
      <c r="F24" s="107"/>
      <c r="G24" s="107"/>
      <c r="H24" s="107"/>
    </row>
    <row r="25" spans="1:133" ht="20.25">
      <c r="A25" s="46" t="s">
        <v>82</v>
      </c>
      <c r="C25" s="107"/>
      <c r="E25" s="107"/>
      <c r="F25" s="107"/>
      <c r="G25" s="107"/>
      <c r="H25" s="107"/>
    </row>
    <row r="26" spans="1:133" ht="20.25">
      <c r="A26" s="46" t="s">
        <v>56</v>
      </c>
      <c r="C26" s="107"/>
      <c r="E26" s="114"/>
      <c r="F26" s="114"/>
      <c r="G26" s="114"/>
      <c r="H26" s="114"/>
    </row>
    <row r="27" spans="1:133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H27" si="0">COUNTIF(E6:E26,"sim")</f>
        <v>0</v>
      </c>
      <c r="F27" s="103">
        <f t="shared" ref="F27:H27" si="1">COUNTIF(F6:F26,"sim")</f>
        <v>0</v>
      </c>
      <c r="G27" s="103">
        <f t="shared" si="1"/>
        <v>0</v>
      </c>
      <c r="H27" s="103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H28" si="2">COUNTIF(E6:E26,"não")</f>
        <v>0</v>
      </c>
      <c r="F28" s="104">
        <f t="shared" ref="F28:H28" si="3">COUNTIF(F6:F26,"não")</f>
        <v>0</v>
      </c>
      <c r="G28" s="104">
        <f t="shared" si="3"/>
        <v>0</v>
      </c>
      <c r="H28" s="104">
        <f t="shared" si="3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>COUNTIF(C6:C26,"ausente")</f>
        <v>0</v>
      </c>
      <c r="E29" s="40">
        <f t="shared" ref="E29:H29" si="4">COUNTIF(E6:E26,"ausente")</f>
        <v>0</v>
      </c>
      <c r="F29" s="40">
        <f t="shared" ref="F29:H29" si="5">COUNTIF(F6:F26,"ausente")</f>
        <v>0</v>
      </c>
      <c r="G29" s="40">
        <f t="shared" si="5"/>
        <v>0</v>
      </c>
      <c r="H29" s="40">
        <f t="shared" si="5"/>
        <v>0</v>
      </c>
    </row>
    <row r="30" spans="1:133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H30" si="6">COUNTIF(E6:E26,"abstenção")</f>
        <v>0</v>
      </c>
      <c r="F30" s="105">
        <f t="shared" ref="F30:H30" si="7">COUNTIF(F6:F26,"abstenção")</f>
        <v>0</v>
      </c>
      <c r="G30" s="105">
        <f t="shared" si="7"/>
        <v>0</v>
      </c>
      <c r="H30" s="105">
        <f t="shared" si="7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5" sqref="E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50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94</v>
      </c>
      <c r="C6" s="107"/>
      <c r="U6" s="7"/>
      <c r="V6" s="7"/>
    </row>
    <row r="7" spans="1:29" ht="18">
      <c r="A7" s="128" t="s">
        <v>60</v>
      </c>
      <c r="C7" s="107"/>
      <c r="U7" s="7"/>
      <c r="V7" s="7"/>
    </row>
    <row r="8" spans="1:29" ht="18">
      <c r="A8" s="128" t="s">
        <v>49</v>
      </c>
      <c r="C8" s="107"/>
      <c r="U8" s="7"/>
      <c r="V8" s="7"/>
    </row>
    <row r="9" spans="1:29" ht="18">
      <c r="A9" s="129" t="s">
        <v>50</v>
      </c>
      <c r="C9" s="114"/>
      <c r="U9" s="7"/>
      <c r="V9" s="7"/>
    </row>
    <row r="10" spans="1:29" ht="18">
      <c r="A10" s="128" t="s">
        <v>26</v>
      </c>
      <c r="C10" s="107"/>
      <c r="U10" s="7"/>
      <c r="V10" s="7"/>
    </row>
    <row r="11" spans="1:29" ht="18">
      <c r="A11" s="128" t="s">
        <v>51</v>
      </c>
      <c r="C11" s="107"/>
      <c r="U11" s="7"/>
      <c r="V11" s="7"/>
    </row>
    <row r="12" spans="1:29" ht="18">
      <c r="A12" s="128" t="s">
        <v>22</v>
      </c>
      <c r="C12" s="107"/>
      <c r="U12" s="7"/>
      <c r="V12" s="7"/>
    </row>
    <row r="13" spans="1:29" ht="18">
      <c r="A13" s="128" t="s">
        <v>23</v>
      </c>
      <c r="C13" s="114"/>
      <c r="U13" s="7"/>
      <c r="V13" s="7"/>
    </row>
    <row r="14" spans="1:29" ht="18">
      <c r="A14" s="128" t="s">
        <v>52</v>
      </c>
      <c r="C14" s="107"/>
      <c r="U14" s="7"/>
      <c r="V14" s="7"/>
    </row>
    <row r="15" spans="1:29" ht="18">
      <c r="A15" s="128" t="s">
        <v>53</v>
      </c>
      <c r="C15" s="107"/>
      <c r="U15" s="7"/>
      <c r="V15" s="7"/>
    </row>
    <row r="16" spans="1:29" ht="18">
      <c r="A16" s="128" t="s">
        <v>54</v>
      </c>
      <c r="C16" s="114"/>
      <c r="U16" s="7"/>
      <c r="V16" s="7"/>
    </row>
    <row r="17" spans="1:123" ht="18">
      <c r="A17" s="128" t="s">
        <v>87</v>
      </c>
      <c r="C17" s="107"/>
      <c r="U17" s="7"/>
      <c r="V17" s="7"/>
    </row>
    <row r="18" spans="1:123" ht="15" customHeight="1">
      <c r="A18" s="128" t="s">
        <v>24</v>
      </c>
      <c r="C18" s="107"/>
      <c r="T18" s="8"/>
      <c r="U18" s="7"/>
      <c r="V18" s="7"/>
    </row>
    <row r="19" spans="1:123" ht="18">
      <c r="A19" s="128" t="s">
        <v>55</v>
      </c>
      <c r="C19" s="107"/>
      <c r="U19" s="7"/>
      <c r="V19" s="7"/>
    </row>
    <row r="20" spans="1:123" ht="18">
      <c r="A20" s="128" t="s">
        <v>88</v>
      </c>
      <c r="C20" s="107"/>
      <c r="U20" s="7"/>
      <c r="V20" s="7"/>
    </row>
    <row r="21" spans="1:123" ht="18">
      <c r="A21" s="128" t="s">
        <v>83</v>
      </c>
      <c r="C21" s="114"/>
      <c r="U21" s="7"/>
      <c r="V21" s="7"/>
    </row>
    <row r="22" spans="1:123" ht="18">
      <c r="A22" s="128" t="s">
        <v>93</v>
      </c>
      <c r="C22" s="114"/>
      <c r="U22" s="7"/>
      <c r="V22" s="7"/>
    </row>
    <row r="23" spans="1:123" ht="18">
      <c r="A23" s="128" t="s">
        <v>95</v>
      </c>
      <c r="C23" s="107"/>
      <c r="U23" s="7"/>
      <c r="V23" s="7"/>
    </row>
    <row r="24" spans="1:123" ht="18">
      <c r="A24" s="128" t="s">
        <v>61</v>
      </c>
      <c r="C24" s="107"/>
      <c r="U24" s="7"/>
      <c r="V24" s="7"/>
    </row>
    <row r="25" spans="1:123" ht="18">
      <c r="A25" s="128" t="s">
        <v>82</v>
      </c>
      <c r="C25" s="107"/>
      <c r="U25" s="7"/>
      <c r="V25" s="7"/>
    </row>
    <row r="26" spans="1:123" ht="18">
      <c r="A26" s="128" t="s">
        <v>56</v>
      </c>
      <c r="C26" s="114"/>
      <c r="U26" s="7"/>
      <c r="V26" s="7"/>
    </row>
    <row r="27" spans="1:123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6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7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8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5" sqref="G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102</v>
      </c>
      <c r="B2" s="2"/>
    </row>
    <row r="3" spans="1:3" ht="15.75" thickBot="1">
      <c r="A3" s="120" t="s">
        <v>103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101</v>
      </c>
    </row>
    <row r="5" spans="1:3" s="6" customFormat="1" ht="60.75" customHeight="1">
      <c r="A5" s="121"/>
      <c r="B5" s="111"/>
      <c r="C5" s="149" t="s">
        <v>125</v>
      </c>
    </row>
    <row r="6" spans="1:3" ht="15.75">
      <c r="A6" s="126" t="s">
        <v>94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14"/>
    </row>
    <row r="15" spans="1:3" ht="15.75">
      <c r="A15" s="126" t="s">
        <v>53</v>
      </c>
      <c r="B15" s="137"/>
      <c r="C15" s="114"/>
    </row>
    <row r="16" spans="1:3" ht="15.75">
      <c r="A16" s="126" t="s">
        <v>54</v>
      </c>
      <c r="C16" s="114"/>
    </row>
    <row r="17" spans="1:3" ht="15.75">
      <c r="A17" s="126" t="s">
        <v>87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88</v>
      </c>
      <c r="C20" s="107"/>
    </row>
    <row r="21" spans="1:3" ht="15.75">
      <c r="A21" s="126" t="s">
        <v>83</v>
      </c>
      <c r="C21" s="114"/>
    </row>
    <row r="22" spans="1:3" ht="15.75">
      <c r="A22" s="126" t="s">
        <v>93</v>
      </c>
      <c r="C22" s="114"/>
    </row>
    <row r="23" spans="1:3" ht="15.75">
      <c r="A23" s="126" t="s">
        <v>95</v>
      </c>
      <c r="C23" s="107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M20" sqref="M20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102</v>
      </c>
      <c r="B2" s="2"/>
      <c r="C2" s="54"/>
      <c r="D2" s="54"/>
      <c r="E2" s="54"/>
    </row>
    <row r="3" spans="1:10" ht="15.75" thickBot="1">
      <c r="A3" s="120" t="s">
        <v>103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126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2026-09-11T20:46:57Z</dcterms:modified>
</cp:coreProperties>
</file>