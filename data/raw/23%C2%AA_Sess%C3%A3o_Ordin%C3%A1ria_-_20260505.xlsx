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3731E55-86B6-47BF-8636-456B8F35B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3" l="1"/>
  <c r="C26" i="3"/>
  <c r="C27" i="3"/>
  <c r="C28" i="3"/>
  <c r="C26" i="10"/>
  <c r="D26" i="10"/>
  <c r="C27" i="10"/>
  <c r="D27" i="10"/>
  <c r="C28" i="10"/>
  <c r="D28" i="10"/>
  <c r="C29" i="10"/>
  <c r="D29" i="10"/>
  <c r="F26" i="10"/>
  <c r="F27" i="10"/>
  <c r="F28" i="10"/>
  <c r="F29" i="10"/>
  <c r="E25" i="2"/>
  <c r="E26" i="2"/>
  <c r="E27" i="2"/>
  <c r="E28" i="2"/>
  <c r="C25" i="2"/>
  <c r="C26" i="2"/>
  <c r="C27" i="2"/>
  <c r="C28" i="2"/>
  <c r="A4" i="14" l="1"/>
  <c r="H25" i="15" l="1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F28" i="15"/>
  <c r="G28" i="15"/>
  <c r="F27" i="15"/>
  <c r="G27" i="15"/>
  <c r="F26" i="15"/>
  <c r="G26" i="15"/>
  <c r="F25" i="15"/>
  <c r="G25" i="15"/>
  <c r="E25" i="15" l="1"/>
  <c r="E26" i="15"/>
  <c r="E27" i="15"/>
  <c r="E28" i="15"/>
  <c r="B26" i="10" l="1"/>
  <c r="B27" i="10"/>
  <c r="B28" i="10"/>
  <c r="B29" i="10"/>
  <c r="J26" i="11" l="1"/>
  <c r="J27" i="11"/>
  <c r="J28" i="11"/>
  <c r="J29" i="11"/>
  <c r="B25" i="3" l="1"/>
  <c r="B26" i="3"/>
  <c r="B27" i="3"/>
  <c r="B28" i="3"/>
  <c r="D25" i="15" l="1"/>
  <c r="D26" i="15"/>
  <c r="D27" i="15"/>
  <c r="D28" i="15"/>
  <c r="C25" i="15" l="1"/>
  <c r="C26" i="15"/>
  <c r="C27" i="15"/>
  <c r="C28" i="15"/>
  <c r="B28" i="15"/>
  <c r="B27" i="15"/>
  <c r="B26" i="15"/>
  <c r="B25" i="15"/>
  <c r="D26" i="11"/>
  <c r="E26" i="11"/>
  <c r="D27" i="11"/>
  <c r="E27" i="11"/>
  <c r="D28" i="11"/>
  <c r="E28" i="11"/>
  <c r="D29" i="11"/>
  <c r="E29" i="11"/>
  <c r="C29" i="11"/>
  <c r="C28" i="11"/>
  <c r="C27" i="11"/>
  <c r="C26" i="11"/>
  <c r="DS25" i="3" l="1"/>
  <c r="DS26" i="3" s="1"/>
  <c r="DS27" i="3" s="1"/>
  <c r="DS28" i="3" s="1"/>
  <c r="DR25" i="3"/>
  <c r="DR26" i="3" s="1"/>
  <c r="DR27" i="3" s="1"/>
  <c r="DR28" i="3" s="1"/>
  <c r="DQ25" i="3"/>
  <c r="DQ26" i="3" s="1"/>
  <c r="DP25" i="3"/>
  <c r="DO25" i="3"/>
  <c r="DO26" i="3" s="1"/>
  <c r="DO27" i="3" s="1"/>
  <c r="DO28" i="3" s="1"/>
  <c r="DN25" i="3"/>
  <c r="DN26" i="3" s="1"/>
  <c r="DN27" i="3" s="1"/>
  <c r="DN28" i="3" s="1"/>
  <c r="DM25" i="3"/>
  <c r="DM26" i="3" s="1"/>
  <c r="DM27" i="3" s="1"/>
  <c r="DM28" i="3" s="1"/>
  <c r="DL25" i="3"/>
  <c r="DK25" i="3"/>
  <c r="DK26" i="3" s="1"/>
  <c r="DJ25" i="3"/>
  <c r="DJ26" i="3" s="1"/>
  <c r="DI25" i="3"/>
  <c r="DI26" i="3" s="1"/>
  <c r="DH25" i="3"/>
  <c r="DH26" i="3" s="1"/>
  <c r="DG25" i="3"/>
  <c r="DG26" i="3" s="1"/>
  <c r="DG27" i="3" s="1"/>
  <c r="DF25" i="3"/>
  <c r="DF26" i="3" s="1"/>
  <c r="DF27" i="3" s="1"/>
  <c r="DF28" i="3" s="1"/>
  <c r="DE25" i="3"/>
  <c r="DE26" i="3" s="1"/>
  <c r="DD25" i="3"/>
  <c r="DD26" i="3" s="1"/>
  <c r="DC25" i="3"/>
  <c r="DC26" i="3" s="1"/>
  <c r="DC27" i="3" s="1"/>
  <c r="DB25" i="3"/>
  <c r="DB26" i="3" s="1"/>
  <c r="DA25" i="3"/>
  <c r="DA26" i="3" s="1"/>
  <c r="DA27" i="3" s="1"/>
  <c r="CZ25" i="3"/>
  <c r="CZ26" i="3" s="1"/>
  <c r="CZ27" i="3" s="1"/>
  <c r="CZ28" i="3" s="1"/>
  <c r="CY25" i="3"/>
  <c r="CY26" i="3" s="1"/>
  <c r="CX25" i="3"/>
  <c r="CX26" i="3" s="1"/>
  <c r="CX27" i="3" s="1"/>
  <c r="CX28" i="3" s="1"/>
  <c r="CW25" i="3"/>
  <c r="CW26" i="3" s="1"/>
  <c r="CV25" i="3"/>
  <c r="CU25" i="3"/>
  <c r="CU26" i="3" s="1"/>
  <c r="CU27" i="3" s="1"/>
  <c r="CT25" i="3"/>
  <c r="CT26" i="3" s="1"/>
  <c r="CS25" i="3"/>
  <c r="CS26" i="3" s="1"/>
  <c r="CS27" i="3" s="1"/>
  <c r="CS28" i="3" s="1"/>
  <c r="CR25" i="3"/>
  <c r="CR26" i="3" s="1"/>
  <c r="CR27" i="3" s="1"/>
  <c r="CR28" i="3" s="1"/>
  <c r="CQ25" i="3"/>
  <c r="CQ26" i="3" s="1"/>
  <c r="CP25" i="3"/>
  <c r="CP26" i="3" s="1"/>
  <c r="CP27" i="3" s="1"/>
  <c r="CP28" i="3" s="1"/>
  <c r="CO25" i="3"/>
  <c r="CO26" i="3" s="1"/>
  <c r="CN25" i="3"/>
  <c r="CN26" i="3" s="1"/>
  <c r="CM25" i="3"/>
  <c r="CM26" i="3" s="1"/>
  <c r="CM27" i="3" s="1"/>
  <c r="CM28" i="3" s="1"/>
  <c r="CL25" i="3"/>
  <c r="CL26" i="3" s="1"/>
  <c r="CK25" i="3"/>
  <c r="CK26" i="3" s="1"/>
  <c r="CK27" i="3" s="1"/>
  <c r="CJ25" i="3"/>
  <c r="CJ26" i="3" s="1"/>
  <c r="CI25" i="3"/>
  <c r="CI26" i="3" s="1"/>
  <c r="CH25" i="3"/>
  <c r="CH26" i="3" s="1"/>
  <c r="CH27" i="3" s="1"/>
  <c r="CH28" i="3" s="1"/>
  <c r="CG25" i="3"/>
  <c r="CG26" i="3" s="1"/>
  <c r="CF25" i="3"/>
  <c r="CF26" i="3" s="1"/>
  <c r="CE25" i="3"/>
  <c r="CD25" i="3"/>
  <c r="CD26" i="3" s="1"/>
  <c r="CC25" i="3"/>
  <c r="CC26" i="3" s="1"/>
  <c r="CC27" i="3" s="1"/>
  <c r="CC28" i="3" s="1"/>
  <c r="CB25" i="3"/>
  <c r="CA25" i="3"/>
  <c r="CA26" i="3" s="1"/>
  <c r="BZ25" i="3"/>
  <c r="BZ26" i="3" s="1"/>
  <c r="BZ27" i="3" s="1"/>
  <c r="BZ28" i="3" s="1"/>
  <c r="BY25" i="3"/>
  <c r="BY26" i="3" s="1"/>
  <c r="BX25" i="3"/>
  <c r="BX26" i="3" s="1"/>
  <c r="BX27" i="3" s="1"/>
  <c r="BW25" i="3"/>
  <c r="BW26" i="3" s="1"/>
  <c r="BW27" i="3" s="1"/>
  <c r="BV25" i="3"/>
  <c r="BV26" i="3" s="1"/>
  <c r="BU25" i="3"/>
  <c r="BU26" i="3" s="1"/>
  <c r="BT25" i="3"/>
  <c r="BT26" i="3" s="1"/>
  <c r="BS25" i="3"/>
  <c r="BS26" i="3" s="1"/>
  <c r="BR25" i="3"/>
  <c r="BR26" i="3" s="1"/>
  <c r="BR27" i="3" s="1"/>
  <c r="BR28" i="3" s="1"/>
  <c r="BQ25" i="3"/>
  <c r="BQ26" i="3" s="1"/>
  <c r="BP25" i="3"/>
  <c r="BP26" i="3" s="1"/>
  <c r="BO25" i="3"/>
  <c r="BO26" i="3" s="1"/>
  <c r="BN25" i="3"/>
  <c r="BN26" i="3" s="1"/>
  <c r="BM25" i="3"/>
  <c r="BM26" i="3" s="1"/>
  <c r="BM27" i="3" s="1"/>
  <c r="BL25" i="3"/>
  <c r="BK25" i="3"/>
  <c r="BK26" i="3" s="1"/>
  <c r="BK27" i="3" s="1"/>
  <c r="BJ25" i="3"/>
  <c r="BJ26" i="3" s="1"/>
  <c r="BJ27" i="3" s="1"/>
  <c r="BJ28" i="3" s="1"/>
  <c r="BI25" i="3"/>
  <c r="BI26" i="3" s="1"/>
  <c r="BH25" i="3"/>
  <c r="BH26" i="3" s="1"/>
  <c r="BG25" i="3"/>
  <c r="BG26" i="3" s="1"/>
  <c r="BG27" i="3" s="1"/>
  <c r="BG28" i="3" s="1"/>
  <c r="BF25" i="3"/>
  <c r="BF26" i="3" s="1"/>
  <c r="BE25" i="3"/>
  <c r="BE26" i="3" s="1"/>
  <c r="BE27" i="3" s="1"/>
  <c r="BE28" i="3" s="1"/>
  <c r="BD25" i="3"/>
  <c r="BD26" i="3" s="1"/>
  <c r="BD27" i="3" s="1"/>
  <c r="BD28" i="3" s="1"/>
  <c r="BC25" i="3"/>
  <c r="BC26" i="3" s="1"/>
  <c r="BC27" i="3" s="1"/>
  <c r="BC28" i="3" s="1"/>
  <c r="BB25" i="3"/>
  <c r="BB26" i="3" s="1"/>
  <c r="BA25" i="3"/>
  <c r="BA26" i="3" s="1"/>
  <c r="AZ25" i="3"/>
  <c r="AZ26" i="3" s="1"/>
  <c r="AZ27" i="3" s="1"/>
  <c r="AY25" i="3"/>
  <c r="AY26" i="3" s="1"/>
  <c r="AY27" i="3" s="1"/>
  <c r="AX25" i="3"/>
  <c r="AX26" i="3" s="1"/>
  <c r="AX27" i="3" s="1"/>
  <c r="AX28" i="3" s="1"/>
  <c r="AW25" i="3"/>
  <c r="AW26" i="3" s="1"/>
  <c r="AV25" i="3"/>
  <c r="AV26" i="3" s="1"/>
  <c r="AV27" i="3" s="1"/>
  <c r="AV28" i="3" s="1"/>
  <c r="AU25" i="3"/>
  <c r="AU26" i="3" s="1"/>
  <c r="AT25" i="3"/>
  <c r="AT26" i="3" s="1"/>
  <c r="AT27" i="3" s="1"/>
  <c r="AT28" i="3" s="1"/>
  <c r="AS25" i="3"/>
  <c r="AS26" i="3" s="1"/>
  <c r="AR25" i="3"/>
  <c r="AR26" i="3" s="1"/>
  <c r="AQ25" i="3"/>
  <c r="AQ26" i="3" s="1"/>
  <c r="AP25" i="3"/>
  <c r="AP26" i="3" s="1"/>
  <c r="AO25" i="3"/>
  <c r="AO26" i="3" s="1"/>
  <c r="AO27" i="3" s="1"/>
  <c r="AO28" i="3" s="1"/>
  <c r="AN25" i="3"/>
  <c r="AN26" i="3" s="1"/>
  <c r="AN27" i="3" s="1"/>
  <c r="AM25" i="3"/>
  <c r="AM26" i="3" s="1"/>
  <c r="AM27" i="3" s="1"/>
  <c r="AM28" i="3" s="1"/>
  <c r="AL25" i="3"/>
  <c r="AL26" i="3" s="1"/>
  <c r="AK25" i="3"/>
  <c r="AK26" i="3" s="1"/>
  <c r="AJ25" i="3"/>
  <c r="AJ26" i="3" s="1"/>
  <c r="AI25" i="3"/>
  <c r="AI26" i="3" s="1"/>
  <c r="AI27" i="3" s="1"/>
  <c r="AH25" i="3"/>
  <c r="AH26" i="3" s="1"/>
  <c r="AH27" i="3" s="1"/>
  <c r="AG25" i="3"/>
  <c r="AG26" i="3" s="1"/>
  <c r="AG27" i="3" s="1"/>
  <c r="AF25" i="3"/>
  <c r="AE25" i="3"/>
  <c r="AE26" i="3" s="1"/>
  <c r="AE27" i="3" s="1"/>
  <c r="AE28" i="3" s="1"/>
  <c r="AD25" i="3"/>
  <c r="AD26" i="3" s="1"/>
  <c r="AC25" i="3"/>
  <c r="AC26" i="3" s="1"/>
  <c r="AC27" i="3" s="1"/>
  <c r="AC28" i="3" s="1"/>
  <c r="AB25" i="3"/>
  <c r="AB26" i="3" s="1"/>
  <c r="AB27" i="3" s="1"/>
  <c r="AA25" i="3"/>
  <c r="AA26" i="3" s="1"/>
  <c r="Z25" i="3"/>
  <c r="Z26" i="3" s="1"/>
  <c r="Y25" i="3"/>
  <c r="Y26" i="3" s="1"/>
  <c r="X25" i="3"/>
  <c r="X26" i="3" s="1"/>
  <c r="X27" i="3" s="1"/>
  <c r="X28" i="3" s="1"/>
  <c r="W25" i="3"/>
  <c r="W26" i="3" s="1"/>
  <c r="W27" i="3" s="1"/>
  <c r="W28" i="3" s="1"/>
  <c r="V25" i="3"/>
  <c r="V26" i="3" s="1"/>
  <c r="U25" i="3"/>
  <c r="T25" i="3"/>
  <c r="S25" i="3"/>
  <c r="S26" i="3" s="1"/>
  <c r="S27" i="3" s="1"/>
  <c r="R25" i="3"/>
  <c r="R26" i="3" s="1"/>
  <c r="Q25" i="3"/>
  <c r="Q26" i="3" s="1"/>
  <c r="Q27" i="3" s="1"/>
  <c r="Q28" i="3" s="1"/>
  <c r="P25" i="3"/>
  <c r="P26" i="3" s="1"/>
  <c r="O25" i="3"/>
  <c r="O26" i="3" s="1"/>
  <c r="O27" i="3" s="1"/>
  <c r="O28" i="3" s="1"/>
  <c r="N25" i="3"/>
  <c r="N26" i="3" s="1"/>
  <c r="M25" i="3"/>
  <c r="M26" i="3" s="1"/>
  <c r="M27" i="3" s="1"/>
  <c r="M28" i="3" s="1"/>
  <c r="L25" i="3"/>
  <c r="L26" i="3" s="1"/>
  <c r="K25" i="3"/>
  <c r="K26" i="3" s="1"/>
  <c r="K27" i="3" s="1"/>
  <c r="K28" i="3" s="1"/>
  <c r="J25" i="3"/>
  <c r="J26" i="3" s="1"/>
  <c r="DB27" i="3" l="1"/>
  <c r="DB28" i="3" s="1"/>
  <c r="BV27" i="3"/>
  <c r="BV28" i="3" s="1"/>
  <c r="CL27" i="3"/>
  <c r="CL28" i="3" s="1"/>
  <c r="AP27" i="3"/>
  <c r="AP28" i="3" s="1"/>
  <c r="CW27" i="3"/>
  <c r="CW28" i="3" s="1"/>
  <c r="BN27" i="3"/>
  <c r="BN28" i="3" s="1"/>
  <c r="BQ27" i="3"/>
  <c r="BQ28" i="3" s="1"/>
  <c r="BF27" i="3"/>
  <c r="BF28" i="3" s="1"/>
  <c r="BY27" i="3"/>
  <c r="BY28" i="3" s="1"/>
  <c r="R27" i="3"/>
  <c r="R28" i="3" s="1"/>
  <c r="AA27" i="3"/>
  <c r="AA28" i="3" s="1"/>
  <c r="BS27" i="3"/>
  <c r="BS28" i="3" s="1"/>
  <c r="AQ27" i="3"/>
  <c r="AQ28" i="3" s="1"/>
  <c r="CO27" i="3"/>
  <c r="CO28" i="3" s="1"/>
  <c r="CV26" i="3"/>
  <c r="CV27" i="3" s="1"/>
  <c r="CV28" i="3" s="1"/>
  <c r="DP26" i="3"/>
  <c r="DP27" i="3" s="1"/>
  <c r="DP28" i="3" s="1"/>
  <c r="CG27" i="3"/>
  <c r="CG28" i="3" s="1"/>
  <c r="AF26" i="3"/>
  <c r="AF27" i="3" s="1"/>
  <c r="AF28" i="3" s="1"/>
  <c r="CB26" i="3"/>
  <c r="CB27" i="3" s="1"/>
  <c r="CB28" i="3" s="1"/>
  <c r="CF27" i="3"/>
  <c r="CF28" i="3" s="1"/>
  <c r="Y27" i="3"/>
  <c r="Y28" i="3" s="1"/>
  <c r="AJ27" i="3"/>
  <c r="AJ28" i="3" s="1"/>
  <c r="BL26" i="3"/>
  <c r="BL27" i="3" s="1"/>
  <c r="BL28" i="3" s="1"/>
  <c r="DL26" i="3"/>
  <c r="DL27" i="3" s="1"/>
  <c r="DL28" i="3" s="1"/>
  <c r="BH27" i="3"/>
  <c r="BH28" i="3" s="1"/>
  <c r="BO27" i="3"/>
  <c r="BO28" i="3" s="1"/>
  <c r="AG28" i="3"/>
  <c r="CU28" i="3"/>
  <c r="DE27" i="3"/>
  <c r="DE28" i="3" s="1"/>
  <c r="U26" i="3"/>
  <c r="U27" i="3" s="1"/>
  <c r="U28" i="3" s="1"/>
  <c r="AR27" i="3"/>
  <c r="AR28" i="3" s="1"/>
  <c r="CE26" i="3"/>
  <c r="CE27" i="3" s="1"/>
  <c r="CE28" i="3" s="1"/>
  <c r="L27" i="3"/>
  <c r="L28" i="3" s="1"/>
  <c r="P27" i="3"/>
  <c r="P28" i="3" s="1"/>
  <c r="DD27" i="3"/>
  <c r="DD28" i="3" s="1"/>
  <c r="DH27" i="3"/>
  <c r="DH28" i="3" s="1"/>
  <c r="J27" i="3"/>
  <c r="J28" i="3" s="1"/>
  <c r="CY27" i="3"/>
  <c r="CY28" i="3" s="1"/>
  <c r="DJ27" i="3"/>
  <c r="DJ28" i="3" s="1"/>
  <c r="BU27" i="3"/>
  <c r="BU28" i="3" s="1"/>
  <c r="CI27" i="3"/>
  <c r="CI28" i="3" s="1"/>
  <c r="CA27" i="3"/>
  <c r="CA28" i="3" s="1"/>
  <c r="S28" i="3"/>
  <c r="DK27" i="3"/>
  <c r="DK28" i="3" s="1"/>
  <c r="AN28" i="3"/>
  <c r="DA28" i="3"/>
  <c r="CT27" i="3"/>
  <c r="CT28" i="3" s="1"/>
  <c r="CD27" i="3"/>
  <c r="CD28" i="3" s="1"/>
  <c r="Z27" i="3"/>
  <c r="Z28" i="3" s="1"/>
  <c r="CQ27" i="3"/>
  <c r="CQ28" i="3" s="1"/>
  <c r="T26" i="3"/>
  <c r="T27" i="3" s="1"/>
  <c r="T28" i="3" s="1"/>
  <c r="DC28" i="3"/>
  <c r="AK27" i="3"/>
  <c r="AK28" i="3" s="1"/>
  <c r="AB28" i="3"/>
  <c r="AH28" i="3"/>
  <c r="BI27" i="3"/>
  <c r="BI28" i="3" s="1"/>
  <c r="AI28" i="3"/>
  <c r="BT27" i="3"/>
  <c r="BT28" i="3" s="1"/>
  <c r="CN27" i="3"/>
  <c r="CN28" i="3" s="1"/>
  <c r="AZ28" i="3"/>
  <c r="AY28" i="3"/>
  <c r="BM28" i="3"/>
  <c r="CK28" i="3"/>
  <c r="V27" i="3"/>
  <c r="V28" i="3" s="1"/>
  <c r="BP27" i="3"/>
  <c r="BP28" i="3" s="1"/>
  <c r="AS27" i="3"/>
  <c r="AS28" i="3" s="1"/>
  <c r="CJ27" i="3"/>
  <c r="CJ28" i="3" s="1"/>
  <c r="BK28" i="3"/>
  <c r="AD27" i="3"/>
  <c r="AD28" i="3" s="1"/>
  <c r="BA27" i="3"/>
  <c r="BA28" i="3" s="1"/>
  <c r="DQ27" i="3"/>
  <c r="DQ28" i="3" s="1"/>
  <c r="DI27" i="3"/>
  <c r="DI28" i="3" s="1"/>
  <c r="DG28" i="3"/>
  <c r="N27" i="3"/>
  <c r="N28" i="3" s="1"/>
  <c r="AU27" i="3"/>
  <c r="AU28" i="3" s="1"/>
  <c r="BX28" i="3"/>
  <c r="BW28" i="3"/>
  <c r="AL27" i="3"/>
  <c r="AL28" i="3" s="1"/>
  <c r="AW27" i="3"/>
  <c r="AW28" i="3" s="1"/>
  <c r="BB27" i="3"/>
  <c r="BB28" i="3" s="1"/>
</calcChain>
</file>

<file path=xl/sharedStrings.xml><?xml version="1.0" encoding="utf-8"?>
<sst xmlns="http://schemas.openxmlformats.org/spreadsheetml/2006/main" count="465" uniqueCount="126">
  <si>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</si>
  <si>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</si>
  <si>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</si>
  <si>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</si>
  <si>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</si>
  <si>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</si>
  <si>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</si>
  <si>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</si>
  <si>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</si>
  <si>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</si>
  <si>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</si>
  <si>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</si>
  <si>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</si>
  <si>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</si>
  <si>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</si>
  <si>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</si>
  <si>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</si>
  <si>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</si>
  <si>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</si>
  <si>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</si>
  <si>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</si>
  <si>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</si>
  <si>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</si>
  <si>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</si>
  <si>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</si>
  <si>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</si>
  <si>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</si>
  <si>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</si>
  <si>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</si>
  <si>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</si>
  <si>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</si>
  <si>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</si>
  <si>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</si>
  <si>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</si>
  <si>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</si>
  <si>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</si>
  <si>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</si>
  <si>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</si>
  <si>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</si>
  <si>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</si>
  <si>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</si>
  <si>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</si>
  <si>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</si>
  <si>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</si>
  <si>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</si>
  <si>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</si>
  <si>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</si>
  <si>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</si>
  <si>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</si>
  <si>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</si>
  <si>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</si>
  <si>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</si>
  <si>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</si>
  <si>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</si>
  <si>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</si>
  <si>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</si>
  <si>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</si>
  <si>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</si>
  <si>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</si>
  <si>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</si>
  <si>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</si>
  <si>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</si>
  <si>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</si>
  <si>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</si>
  <si>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</si>
  <si>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</si>
  <si>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</si>
  <si>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</si>
  <si>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</si>
  <si>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</si>
  <si>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</si>
  <si>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</si>
  <si>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</si>
  <si>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</si>
  <si>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</si>
  <si>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</si>
  <si>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</si>
  <si>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</si>
  <si>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</si>
  <si>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</si>
  <si>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</si>
  <si>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</si>
  <si>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</si>
  <si>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</si>
  <si>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</si>
  <si>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</si>
  <si>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</si>
  <si>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</si>
  <si>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</si>
  <si>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</si>
  <si>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</si>
  <si>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</si>
  <si>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</si>
  <si>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</si>
  <si>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</si>
  <si>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</si>
  <si>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</si>
  <si>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</si>
  <si>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</si>
  <si>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Justificativa de ausência da Vereadora Lúcia da Saúde.</t>
  </si>
  <si>
    <r>
      <t xml:space="preserve">PROJETO DE DECRETO LEGISLATIVO Nº 92/2025 – ALEXANDRE CAPRIOTTI - </t>
    </r>
    <r>
      <rPr>
        <sz val="11"/>
        <color theme="1"/>
        <rFont val="Arial"/>
        <family val="2"/>
      </rPr>
      <t>Dispõe sobre a concessão de Placa Comemorativa à DPA Formaturas.</t>
    </r>
  </si>
  <si>
    <r>
      <t xml:space="preserve">PROJETO DE DECRETO LEGISLATIVO Nº 99/2025 – DÉLBIO TERUEL - </t>
    </r>
    <r>
      <rPr>
        <sz val="11"/>
        <color theme="1"/>
        <rFont val="Arial"/>
        <family val="2"/>
      </rPr>
      <t>Dispõe sobre a concessão de Placa Comemorativa ao Alternativa Auto Posto e dá outras providências.</t>
    </r>
  </si>
  <si>
    <t>23ª SESSÃO ORDINÁRIA</t>
  </si>
  <si>
    <t>DIA 5 DE MAIO DE 2026 - TERÇA-FEIRA</t>
  </si>
  <si>
    <t>PROJETO DE LEI Nº 110/2026 – Prefeito do Município de Osasco – Dispõe sobre abertura de crédito adicional especial ao orçamento vigente e dá outras providências.</t>
  </si>
  <si>
    <t>PROJETO DE LEI COMPLEMENTAR Nº 4/2026 – Prefeito do Município de Osasco – Disciplina a criação, organização e funcionamento de feiras livres no Município de Osasco.</t>
  </si>
  <si>
    <t>OFÍCIO PROLEGIS nº 202603097559 – PREFEITO DO MUNICÍPIO DE OSASCO – Informa a sanção da Lei nº 5.475, de 30 de abril de 2026, referente ao Projeto de Lei nº 35/2026 de autoria do Vereador Josias da Juco que institui o dia do veterano militar das forças armadas brasileiras e forças auxiliares no Município de Osasco e dá outras providências.</t>
  </si>
  <si>
    <t>PROJETO DE LEI Nº 105/2026 – Josias da Juco – Dispõe sobre diretrizes para proteção de crianças e adolescentes no âmbito do Município de Osasco, mediante exigência de certidão de antecedentes criminais de profissionais que exerçam atividades que envolvam contato direto com esse público.</t>
  </si>
  <si>
    <t>PROJETO DE LEI Nº 106/2026 – Delbio Teruel – Denomina “Cidade da Polícia Adilson Custódio Moreira” o complexo de segurança pública localizado no Município de Osasco.</t>
  </si>
  <si>
    <t>PROJETO DE LEI Nº 107/2026 – Elsa Oliveira – Institui o Inventário Municipal do Patrimônio Histórico, Cultural e Documental de Osasco.</t>
  </si>
  <si>
    <t>PROJETO DE LEI Nº 108/2026 – Elsa Oliveira – Institui a Política Municipal de Proteção da Memória e do Patrimônio Público de Osasco.</t>
  </si>
  <si>
    <t>PROJETO DE LEI Nº 109/2026 – Heber do Juntoz – Institui a “Hora do Acolhimento” em hipermercados e grandes estabelecimentos comerciais em Osasco e estabelece diretrizes para a redução de estímulos sensoriais para pessoas com Transtorno do Espectro Autista (TEA).</t>
  </si>
  <si>
    <r>
      <t>MOÇÃO DE APLAUSO Nº 107/2026 – ALEXANDRE CAPRIOTTI -</t>
    </r>
    <r>
      <rPr>
        <sz val="11"/>
        <color theme="1"/>
        <rFont val="Arial"/>
        <family val="2"/>
      </rPr>
      <t xml:space="preserve"> À Teresinha Catole Alves pela eleição, por cinco anos, como melhor padeira do Brasil pela Revista Panificação Brasileira.</t>
    </r>
  </si>
  <si>
    <r>
      <t>MOÇÃO DE AGRADECIMENTO Nº 108/2026 – LÚCIA DA SAÚDE -</t>
    </r>
    <r>
      <rPr>
        <sz val="11"/>
        <color theme="1"/>
        <rFont val="Arial"/>
        <family val="2"/>
      </rPr>
      <t xml:space="preserve"> Ao 2º Batalhão de Polícia do Exército e à Secretaria de Educação do Município de Osasco pela realização do programa de visitação educativa destinado aos alunos da rede municipal de ensino.</t>
    </r>
  </si>
  <si>
    <t>pela ausência da autora, será pautada na próxima sessão.</t>
  </si>
  <si>
    <r>
      <t xml:space="preserve">MOÇÃO DE APLAUSO Nº 109/2026 – JOSIAS DA JUCO - </t>
    </r>
    <r>
      <rPr>
        <sz val="11"/>
        <color theme="1"/>
        <rFont val="Arial"/>
        <family val="2"/>
      </rPr>
      <t>À equipe de Basquete 3x3 de Osasco pela conquista do 3º lugar no Campeonato Paulista – Série Ouro</t>
    </r>
    <r>
      <rPr>
        <b/>
        <sz val="11"/>
        <color theme="1"/>
        <rFont val="Arial"/>
        <family val="1"/>
      </rPr>
      <t>.</t>
    </r>
  </si>
  <si>
    <r>
      <t>MOÇÃO DE RECONHECIMENTO Nº 110/2026 – LAÉRCIO MENDONÇA –</t>
    </r>
    <r>
      <rPr>
        <sz val="11"/>
        <color theme="1"/>
        <rFont val="Arial"/>
        <family val="2"/>
      </rPr>
      <t xml:space="preserve"> À Erika Sant Anna Gomes, por sua relevante contribuição à cultura, esporte e a qualidade de vida da terceira idade no município de Osasco.</t>
    </r>
  </si>
  <si>
    <r>
      <t>MOÇÃO DE APLAUSO Nº 112/2026 – ALEXANDRE CAPRIOTTI -</t>
    </r>
    <r>
      <rPr>
        <sz val="11"/>
        <color theme="1"/>
        <rFont val="Arial"/>
        <family val="2"/>
      </rPr>
      <t xml:space="preserve"> À Orquestra Infantil de Cordas do CEU José Saramago, por abrilhantar a Cerimônia de posse das Autoridades Mirins 2026.</t>
    </r>
  </si>
  <si>
    <r>
      <t xml:space="preserve">MOÇÃO DE APLAUSO Nº 111/2026 – CANTOR GOLEIRO - </t>
    </r>
    <r>
      <rPr>
        <sz val="11"/>
        <color theme="1"/>
        <rFont val="Arial"/>
        <family val="2"/>
      </rPr>
      <t>Ao senhor Fábio de Jesus Pantera por sua trajetória de vida marcada pela superação, coragem e exemplo de dignidade.</t>
    </r>
  </si>
  <si>
    <r>
      <t xml:space="preserve">MOÇÃO DE RECONHECIMENTO Nº 114/2026 - LAÉRCIO MENDONÇA - </t>
    </r>
    <r>
      <rPr>
        <sz val="11"/>
        <color theme="1"/>
        <rFont val="Arial"/>
        <family val="2"/>
      </rPr>
      <t>À Jaqueline Morete dos Santos Louro, em virtude de sua trajetória de vida inspiradora, marcada pela fé, dedicação, superação e relevante contribuição à promoção da saúde e do bem-estar social.</t>
    </r>
  </si>
  <si>
    <r>
      <t>PROJETO DE LEI Nº 83/2026 – GUILHERME PRADO -</t>
    </r>
    <r>
      <rPr>
        <sz val="14"/>
        <color theme="1"/>
        <rFont val="Arial"/>
        <family val="2"/>
      </rPr>
      <t xml:space="preserve"> Institui no Calendário Oficial de Osasco o Dia da Corrida e Caminhada Desafio dos Trabalhadores.</t>
    </r>
  </si>
  <si>
    <r>
      <t>PROJETO DE DECRETO LEGISLATIVO Nº 100/2025 – RALFI SILVA -</t>
    </r>
    <r>
      <rPr>
        <sz val="11"/>
        <color theme="1"/>
        <rFont val="Arial"/>
        <family val="2"/>
      </rPr>
      <t xml:space="preserve"> Dispõe sobre a concessão de Placa Comemorativa à Ecco Multimarcas.</t>
    </r>
  </si>
  <si>
    <r>
      <t>PROJETO DE LEI Nº 81/2026 – GUILHERME PRADO -</t>
    </r>
    <r>
      <rPr>
        <sz val="11"/>
        <color theme="1"/>
        <rFont val="Arial"/>
        <family val="2"/>
      </rPr>
      <t xml:space="preserve"> Dispõe sobre a denominação do Restaurante Municipal do Servidor Armando Silva Maero.</t>
    </r>
  </si>
  <si>
    <t>APROVADO</t>
  </si>
  <si>
    <t>sim</t>
  </si>
  <si>
    <t>na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</si>
</sst>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0"/>
  <sheetViews>
    <sheetView tabSelected="1" zoomScale="70" zoomScaleNormal="70" workbookViewId="0">
      <selection activeCell="K10" sqref="K10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102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103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94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98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10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10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62"/>
      <c r="F10" s="88">
        <v>2</v>
      </c>
      <c r="G10" s="102" t="s">
        <v>50</v>
      </c>
      <c r="H10" s="63"/>
      <c r="I10" s="62"/>
      <c r="J10" s="63">
        <v>2</v>
      </c>
      <c r="K10" s="102" t="s">
        <v>50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102"/>
      <c r="F12" s="88">
        <v>2</v>
      </c>
      <c r="G12" s="102" t="s">
        <v>50</v>
      </c>
      <c r="H12" s="63"/>
      <c r="I12" s="68"/>
      <c r="J12" s="63">
        <v>1</v>
      </c>
      <c r="K12" s="62" t="s">
        <v>49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1</v>
      </c>
      <c r="G13" s="62" t="s">
        <v>49</v>
      </c>
      <c r="H13" s="63"/>
      <c r="I13" s="62"/>
      <c r="J13" s="63">
        <v>1</v>
      </c>
      <c r="K13" s="6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62"/>
      <c r="F14" s="88">
        <v>1</v>
      </c>
      <c r="G14" s="62" t="s">
        <v>49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10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24</v>
      </c>
      <c r="B16" s="88">
        <v>2</v>
      </c>
      <c r="C16" s="102" t="s">
        <v>50</v>
      </c>
      <c r="D16" s="63"/>
      <c r="E16" s="62"/>
      <c r="F16" s="88">
        <v>1</v>
      </c>
      <c r="G16" s="62" t="s">
        <v>49</v>
      </c>
      <c r="H16" s="63"/>
      <c r="I16" s="68"/>
      <c r="J16" s="63">
        <v>2</v>
      </c>
      <c r="K16" s="102" t="s">
        <v>50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7.25" customHeight="1">
      <c r="A17" s="46" t="s">
        <v>57</v>
      </c>
      <c r="B17" s="88">
        <v>1</v>
      </c>
      <c r="C17" s="62" t="s">
        <v>49</v>
      </c>
      <c r="D17" s="63"/>
      <c r="E17" s="102"/>
      <c r="F17" s="88">
        <v>1</v>
      </c>
      <c r="G17" s="62" t="s">
        <v>49</v>
      </c>
      <c r="H17" s="63"/>
      <c r="I17" s="62"/>
      <c r="J17" s="63">
        <v>1</v>
      </c>
      <c r="K17" s="62" t="s">
        <v>49</v>
      </c>
      <c r="L17" s="67"/>
      <c r="M17" s="65"/>
      <c r="N17" s="63"/>
      <c r="O17" s="10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8" customHeight="1">
      <c r="A18" s="46" t="s">
        <v>91</v>
      </c>
      <c r="B18" s="88">
        <v>2</v>
      </c>
      <c r="C18" s="102" t="s">
        <v>50</v>
      </c>
      <c r="D18" s="63"/>
      <c r="E18" s="102"/>
      <c r="F18" s="88">
        <v>2</v>
      </c>
      <c r="G18" s="102" t="s">
        <v>50</v>
      </c>
      <c r="H18" s="63"/>
      <c r="I18" s="62"/>
      <c r="J18" s="63">
        <v>2</v>
      </c>
      <c r="K18" s="102" t="s">
        <v>50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25</v>
      </c>
      <c r="B19" s="88">
        <v>2</v>
      </c>
      <c r="C19" s="102" t="s">
        <v>50</v>
      </c>
      <c r="D19" s="63"/>
      <c r="E19" s="102"/>
      <c r="F19" s="88">
        <v>1</v>
      </c>
      <c r="G19" s="62" t="s">
        <v>49</v>
      </c>
      <c r="H19" s="63"/>
      <c r="I19" s="68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.75" customHeight="1">
      <c r="A20" s="46" t="s">
        <v>58</v>
      </c>
      <c r="B20" s="88">
        <v>2</v>
      </c>
      <c r="C20" s="102" t="s">
        <v>50</v>
      </c>
      <c r="D20" s="63"/>
      <c r="E20" s="62"/>
      <c r="F20" s="88">
        <v>1</v>
      </c>
      <c r="G20" s="62" t="s">
        <v>49</v>
      </c>
      <c r="H20" s="63"/>
      <c r="I20" s="62"/>
      <c r="J20" s="63">
        <v>1</v>
      </c>
      <c r="K20" s="62" t="s">
        <v>49</v>
      </c>
      <c r="L20" s="64"/>
      <c r="M20" s="64"/>
      <c r="N20" s="63"/>
      <c r="O20" s="102"/>
      <c r="P20" s="63"/>
      <c r="Q20" s="63"/>
      <c r="R20" s="6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64</v>
      </c>
      <c r="B21" s="88">
        <v>2</v>
      </c>
      <c r="C21" s="102" t="s">
        <v>50</v>
      </c>
      <c r="D21" s="63"/>
      <c r="E21" s="102"/>
      <c r="F21" s="88">
        <v>1</v>
      </c>
      <c r="G21" s="62" t="s">
        <v>49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20.25">
      <c r="A22" s="46" t="s">
        <v>85</v>
      </c>
      <c r="B22" s="88">
        <v>2</v>
      </c>
      <c r="C22" s="102" t="s">
        <v>50</v>
      </c>
      <c r="D22" s="63"/>
      <c r="E22" s="102"/>
      <c r="F22" s="88">
        <v>1</v>
      </c>
      <c r="G22" s="62" t="s">
        <v>49</v>
      </c>
      <c r="H22" s="63"/>
      <c r="I22" s="62"/>
      <c r="J22" s="63">
        <v>1</v>
      </c>
      <c r="K22" s="62" t="s">
        <v>49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 thickBot="1">
      <c r="A23" s="46" t="s">
        <v>59</v>
      </c>
      <c r="B23" s="88">
        <v>1</v>
      </c>
      <c r="C23" s="62" t="s">
        <v>49</v>
      </c>
      <c r="D23" s="63"/>
      <c r="E23" s="62"/>
      <c r="F23" s="88">
        <v>1</v>
      </c>
      <c r="G23" s="62" t="s">
        <v>49</v>
      </c>
      <c r="H23" s="63"/>
      <c r="I23" s="68"/>
      <c r="J23" s="63">
        <v>1</v>
      </c>
      <c r="K23" s="62" t="s">
        <v>49</v>
      </c>
      <c r="L23" s="67"/>
      <c r="M23" s="65"/>
      <c r="N23" s="63"/>
      <c r="O23" s="62"/>
      <c r="P23" s="63"/>
      <c r="Q23" s="66"/>
      <c r="R23" s="102"/>
      <c r="S23" s="91"/>
      <c r="T23" s="150"/>
      <c r="U23" s="150"/>
      <c r="V23" s="150"/>
      <c r="W23" s="150"/>
      <c r="X23" s="150"/>
      <c r="Y23" s="150"/>
    </row>
    <row r="24" spans="1:28" ht="16.5" thickBot="1">
      <c r="A24" s="38" t="s">
        <v>13</v>
      </c>
      <c r="B24" s="98">
        <v>9</v>
      </c>
      <c r="C24" s="96" t="s">
        <v>44</v>
      </c>
      <c r="D24" s="98"/>
      <c r="E24" s="96" t="s">
        <v>44</v>
      </c>
      <c r="F24" s="98">
        <v>16</v>
      </c>
      <c r="G24" s="96" t="s">
        <v>44</v>
      </c>
      <c r="H24" s="100"/>
      <c r="I24" s="101"/>
      <c r="J24" s="98">
        <v>15</v>
      </c>
      <c r="K24" s="95" t="s">
        <v>44</v>
      </c>
      <c r="L24" s="85"/>
      <c r="M24" s="94"/>
      <c r="N24" s="98"/>
      <c r="O24" s="96" t="s">
        <v>44</v>
      </c>
      <c r="P24" s="98"/>
      <c r="Q24" s="98"/>
      <c r="R24" s="97" t="s">
        <v>44</v>
      </c>
      <c r="S24" s="86"/>
      <c r="V24" s="12"/>
      <c r="W24" s="12"/>
    </row>
    <row r="25" spans="1:28" ht="16.5" thickBot="1">
      <c r="A25" s="39" t="s">
        <v>14</v>
      </c>
      <c r="B25" s="98">
        <v>10</v>
      </c>
      <c r="C25" s="96" t="s">
        <v>45</v>
      </c>
      <c r="D25" s="98"/>
      <c r="E25" s="96" t="s">
        <v>45</v>
      </c>
      <c r="F25" s="98">
        <v>3</v>
      </c>
      <c r="G25" s="96" t="s">
        <v>45</v>
      </c>
      <c r="H25" s="100"/>
      <c r="I25" s="96"/>
      <c r="J25" s="98">
        <v>4</v>
      </c>
      <c r="K25" s="95" t="s">
        <v>45</v>
      </c>
      <c r="L25" s="85"/>
      <c r="M25" s="94"/>
      <c r="N25" s="98"/>
      <c r="O25" s="96" t="s">
        <v>45</v>
      </c>
      <c r="P25" s="98"/>
      <c r="Q25" s="98"/>
      <c r="R25" s="95" t="s">
        <v>45</v>
      </c>
      <c r="S25" s="86"/>
      <c r="V25" s="12"/>
      <c r="W25" s="12"/>
      <c r="AB25" s="5" t="s">
        <v>62</v>
      </c>
    </row>
    <row r="26" spans="1:28" ht="19.5" customHeight="1">
      <c r="A26"/>
      <c r="B26" s="53"/>
      <c r="C26" s="71"/>
      <c r="D26" s="71"/>
      <c r="E26" s="71"/>
      <c r="F26" s="53"/>
      <c r="G26" s="53"/>
      <c r="H26" s="53"/>
      <c r="I26" s="6"/>
      <c r="J26" s="6"/>
      <c r="K26" s="6"/>
      <c r="L26" s="6"/>
      <c r="M26" s="6"/>
      <c r="N26" s="6"/>
      <c r="O26" s="6"/>
      <c r="P26" s="6"/>
      <c r="Q26" s="6"/>
      <c r="R26" s="6"/>
      <c r="S26" s="53"/>
      <c r="V26" s="12"/>
      <c r="W26" s="12"/>
    </row>
    <row r="27" spans="1:28" ht="15.75">
      <c r="A27"/>
      <c r="C27" s="72"/>
      <c r="D27" s="72"/>
      <c r="E27" s="72"/>
      <c r="I27" s="6"/>
      <c r="K27" s="6"/>
      <c r="M27" s="6"/>
      <c r="O27" s="6"/>
      <c r="R27" s="6"/>
      <c r="S27" s="6"/>
      <c r="V27" s="12"/>
      <c r="W27" s="12"/>
    </row>
    <row r="28" spans="1:28" ht="18.75">
      <c r="A28" s="33" t="s">
        <v>15</v>
      </c>
      <c r="B28" s="33"/>
      <c r="C28" s="73"/>
      <c r="D28" s="73"/>
      <c r="E28" s="73"/>
      <c r="F28" s="33"/>
      <c r="G28" s="33"/>
      <c r="H28" s="33"/>
      <c r="I28" s="33"/>
      <c r="R28" s="33"/>
      <c r="V28" s="12"/>
      <c r="W28" s="12"/>
    </row>
    <row r="29" spans="1:28" ht="15.75">
      <c r="A29" s="7" t="s">
        <v>35</v>
      </c>
      <c r="V29" s="12"/>
      <c r="W29" s="12"/>
    </row>
    <row r="30" spans="1:28" ht="18">
      <c r="A30" s="34" t="s">
        <v>54</v>
      </c>
      <c r="V30" s="12"/>
      <c r="W30" s="12"/>
    </row>
    <row r="31" spans="1:28" ht="18">
      <c r="A31" s="34" t="s">
        <v>58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25</v>
      </c>
      <c r="V33" s="12"/>
      <c r="W33" s="12"/>
    </row>
    <row r="34" spans="1:23" ht="18">
      <c r="A34" s="34" t="s">
        <v>64</v>
      </c>
      <c r="V34" s="32"/>
      <c r="W34" s="12"/>
    </row>
    <row r="35" spans="1:23" ht="18">
      <c r="A35" s="34" t="s">
        <v>24</v>
      </c>
      <c r="V35" s="12"/>
      <c r="W35" s="12"/>
    </row>
    <row r="36" spans="1:23" ht="18">
      <c r="A36" s="34" t="s">
        <v>85</v>
      </c>
      <c r="V36" s="1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60</v>
      </c>
      <c r="V41" s="12"/>
      <c r="W41" s="12"/>
    </row>
    <row r="42" spans="1:23" ht="18">
      <c r="A42" s="34" t="s">
        <v>53</v>
      </c>
      <c r="V42" s="12"/>
      <c r="W42" s="12"/>
    </row>
    <row r="43" spans="1:23" ht="18">
      <c r="A43" s="34" t="s">
        <v>23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M51"/>
      <c r="W51" s="12"/>
    </row>
    <row r="52" spans="1:23" ht="15.75">
      <c r="A52" s="5" t="s">
        <v>34</v>
      </c>
      <c r="M52"/>
      <c r="W52" s="12"/>
    </row>
    <row r="53" spans="1:23" ht="18">
      <c r="A53" s="34" t="s">
        <v>64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5.75">
      <c r="A71" s="7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</sheetData>
  <mergeCells count="2">
    <mergeCell ref="B1:M3"/>
    <mergeCell ref="T1:Y23"/>
  </mergeCells>
  <dataValidations count="2">
    <dataValidation type="custom" allowBlank="1" showInputMessage="1" showErrorMessage="1" sqref="A72:A80 A62:A70" xr:uid="{201F3B03-C924-4B48-A5BC-AE6429F789F2}">
      <formula1>"a5:a25"</formula1>
    </dataValidation>
    <dataValidation type="list" allowBlank="1" showInputMessage="1" showErrorMessage="1" sqref="A42:A51 A53:A60 A30:A40" xr:uid="{B252DB4A-E8B6-4617-B61D-95E734AD4288}">
      <formula1>$A$5:$A$23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7"/>
  <sheetViews>
    <sheetView workbookViewId="0">
      <pane xSplit="1" topLeftCell="H1" activePane="topRight" state="frozen"/>
      <selection pane="topRight" activeCell="O5" sqref="O5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1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1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1" ht="63" customHeight="1">
      <c r="A4" s="51" t="str">
        <f>'[1]MOÇÃO E REQUERIMENTO'!B7</f>
        <v>EXPEDIENTE</v>
      </c>
      <c r="B4" s="50" t="s">
        <v>43</v>
      </c>
      <c r="C4" s="117" t="s">
        <v>99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2" t="s">
        <v>33</v>
      </c>
      <c r="M4" s="124"/>
      <c r="N4" s="50" t="s">
        <v>26</v>
      </c>
      <c r="O4" s="84" t="s">
        <v>112</v>
      </c>
      <c r="P4" s="84" t="s">
        <v>113</v>
      </c>
      <c r="Q4" s="84" t="s">
        <v>115</v>
      </c>
      <c r="R4" s="84" t="s">
        <v>116</v>
      </c>
      <c r="S4" s="84" t="s">
        <v>117</v>
      </c>
      <c r="T4" s="84" t="s">
        <v>118</v>
      </c>
      <c r="U4" s="84" t="s">
        <v>119</v>
      </c>
    </row>
    <row r="5" spans="1:21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13" t="s">
        <v>92</v>
      </c>
      <c r="P5" s="118" t="s">
        <v>114</v>
      </c>
      <c r="Q5" s="118" t="s">
        <v>93</v>
      </c>
      <c r="R5" s="118" t="s">
        <v>93</v>
      </c>
      <c r="S5" s="118" t="s">
        <v>93</v>
      </c>
      <c r="T5" s="113" t="s">
        <v>92</v>
      </c>
      <c r="U5" s="113" t="s">
        <v>92</v>
      </c>
    </row>
    <row r="6" spans="1:21" ht="15.75">
      <c r="A6" s="127" t="s">
        <v>48</v>
      </c>
      <c r="N6" s="23"/>
    </row>
    <row r="7" spans="1:21" ht="15.75">
      <c r="A7" s="127" t="s">
        <v>63</v>
      </c>
      <c r="N7" s="23"/>
    </row>
    <row r="8" spans="1:21" ht="15.75">
      <c r="A8" s="127" t="s">
        <v>51</v>
      </c>
      <c r="N8" s="23"/>
    </row>
    <row r="9" spans="1:21" ht="15.75">
      <c r="A9" s="128" t="s">
        <v>52</v>
      </c>
      <c r="N9" s="23"/>
    </row>
    <row r="10" spans="1:21" ht="15.75">
      <c r="A10" s="127" t="s">
        <v>27</v>
      </c>
      <c r="N10" s="23"/>
    </row>
    <row r="11" spans="1:21" ht="15.75">
      <c r="A11" s="127" t="s">
        <v>53</v>
      </c>
      <c r="N11" s="23"/>
    </row>
    <row r="12" spans="1:21" ht="15.75">
      <c r="A12" s="127" t="s">
        <v>22</v>
      </c>
      <c r="N12" s="23"/>
    </row>
    <row r="13" spans="1:21" ht="15.75">
      <c r="A13" s="127" t="s">
        <v>23</v>
      </c>
      <c r="N13" s="23"/>
    </row>
    <row r="14" spans="1:21" ht="15.75">
      <c r="A14" s="127" t="s">
        <v>54</v>
      </c>
      <c r="N14" s="23"/>
    </row>
    <row r="15" spans="1:21" ht="15.75">
      <c r="A15" s="127" t="s">
        <v>55</v>
      </c>
      <c r="N15" s="23"/>
    </row>
    <row r="16" spans="1:21" ht="15.75">
      <c r="A16" s="127" t="s">
        <v>56</v>
      </c>
      <c r="N16" s="23"/>
    </row>
    <row r="17" spans="1:14" ht="15.75">
      <c r="A17" s="127" t="s">
        <v>24</v>
      </c>
      <c r="N17" s="23"/>
    </row>
    <row r="18" spans="1:14" ht="15.75">
      <c r="A18" s="127" t="s">
        <v>57</v>
      </c>
      <c r="N18" s="23"/>
    </row>
    <row r="19" spans="1:14" ht="15.75">
      <c r="A19" s="127" t="s">
        <v>91</v>
      </c>
      <c r="N19" s="23"/>
    </row>
    <row r="20" spans="1:14" ht="15.75">
      <c r="A20" s="127" t="s">
        <v>25</v>
      </c>
      <c r="N20" s="23"/>
    </row>
    <row r="21" spans="1:14" ht="15.75">
      <c r="A21" s="127" t="s">
        <v>58</v>
      </c>
      <c r="N21" s="23"/>
    </row>
    <row r="22" spans="1:14" ht="15.75">
      <c r="A22" s="127" t="s">
        <v>64</v>
      </c>
      <c r="N22" s="23"/>
    </row>
    <row r="23" spans="1:14" ht="15.75">
      <c r="A23" s="127" t="s">
        <v>85</v>
      </c>
      <c r="N23" s="23"/>
    </row>
    <row r="24" spans="1:14" ht="15.75">
      <c r="A24" s="127" t="s">
        <v>59</v>
      </c>
      <c r="N24" s="23"/>
    </row>
    <row r="25" spans="1:14" s="25" customFormat="1">
      <c r="A25" s="24" t="s">
        <v>18</v>
      </c>
    </row>
    <row r="26" spans="1:14" s="27" customFormat="1">
      <c r="A26" s="26" t="s">
        <v>19</v>
      </c>
    </row>
    <row r="27" spans="1:14">
      <c r="A27" s="28" t="s">
        <v>11</v>
      </c>
    </row>
    <row r="28" spans="1:14" s="30" customFormat="1">
      <c r="A28" s="29" t="s">
        <v>20</v>
      </c>
    </row>
    <row r="30" spans="1:14" ht="25.5">
      <c r="A30" s="31" t="s">
        <v>0</v>
      </c>
    </row>
    <row r="31" spans="1:14" ht="76.5">
      <c r="A31" s="31" t="s">
        <v>1</v>
      </c>
    </row>
    <row r="32" spans="1:14" ht="63.75">
      <c r="A32" s="31" t="s">
        <v>2</v>
      </c>
    </row>
    <row r="33" spans="1:1" ht="38.25">
      <c r="A33" s="31" t="s">
        <v>3</v>
      </c>
    </row>
    <row r="34" spans="1:1" ht="89.25">
      <c r="A34" s="31" t="s">
        <v>4</v>
      </c>
    </row>
    <row r="37" spans="1:1">
      <c r="A37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5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45"/>
      <c r="D5" s="79"/>
      <c r="E5" s="113" t="s">
        <v>95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63</v>
      </c>
      <c r="C7" s="107"/>
      <c r="E7" s="114"/>
    </row>
    <row r="8" spans="1:45" ht="20.25">
      <c r="A8" s="46" t="s">
        <v>51</v>
      </c>
      <c r="C8" s="144"/>
      <c r="E8" s="107"/>
    </row>
    <row r="9" spans="1:45" ht="20.25">
      <c r="A9" s="82" t="s">
        <v>52</v>
      </c>
      <c r="C9" s="114"/>
      <c r="E9" s="114"/>
    </row>
    <row r="10" spans="1:45" ht="20.25">
      <c r="A10" s="46" t="s">
        <v>27</v>
      </c>
      <c r="C10" s="107"/>
      <c r="E10" s="107"/>
    </row>
    <row r="11" spans="1:45" ht="20.25">
      <c r="A11" s="46" t="s">
        <v>53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54</v>
      </c>
      <c r="C14" s="144"/>
      <c r="E14" s="114"/>
    </row>
    <row r="15" spans="1:45" ht="20.25">
      <c r="A15" s="46" t="s">
        <v>55</v>
      </c>
      <c r="C15" s="144"/>
      <c r="E15" s="107"/>
    </row>
    <row r="16" spans="1:45" ht="20.25">
      <c r="A16" s="46" t="s">
        <v>56</v>
      </c>
      <c r="C16" s="114"/>
      <c r="E16" s="107"/>
    </row>
    <row r="17" spans="1:130" ht="20.25">
      <c r="A17" s="46" t="s">
        <v>24</v>
      </c>
      <c r="C17" s="114"/>
      <c r="E17" s="107"/>
    </row>
    <row r="18" spans="1:130" ht="20.25">
      <c r="A18" s="46" t="s">
        <v>57</v>
      </c>
      <c r="C18" s="107"/>
      <c r="E18" s="107"/>
    </row>
    <row r="19" spans="1:130" ht="20.25">
      <c r="A19" s="46" t="s">
        <v>91</v>
      </c>
      <c r="C19" s="114"/>
      <c r="E19" s="107"/>
    </row>
    <row r="20" spans="1:130" ht="20.25">
      <c r="A20" s="46" t="s">
        <v>25</v>
      </c>
      <c r="C20" s="114"/>
      <c r="E20" s="114"/>
    </row>
    <row r="21" spans="1:130" ht="20.25">
      <c r="A21" s="46" t="s">
        <v>58</v>
      </c>
      <c r="C21" s="144"/>
      <c r="E21" s="107"/>
    </row>
    <row r="22" spans="1:130" ht="20.25">
      <c r="A22" s="46" t="s">
        <v>64</v>
      </c>
      <c r="C22" s="114"/>
      <c r="E22" s="107"/>
    </row>
    <row r="23" spans="1:130" ht="20.25">
      <c r="A23" s="46" t="s">
        <v>85</v>
      </c>
      <c r="C23" s="114"/>
      <c r="E23" s="107"/>
    </row>
    <row r="24" spans="1:130" ht="20.25">
      <c r="A24" s="46" t="s">
        <v>59</v>
      </c>
      <c r="C24" s="107"/>
      <c r="E24" s="107"/>
    </row>
    <row r="25" spans="1:130" s="16" customFormat="1" ht="15.75">
      <c r="A25" s="15" t="s">
        <v>18</v>
      </c>
      <c r="B25"/>
      <c r="C25" s="103">
        <f>COUNTIF(C6:C24,"sim")</f>
        <v>0</v>
      </c>
      <c r="D25"/>
      <c r="E25" s="103">
        <f>COUNTIF(E6:E24,"sim")</f>
        <v>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s="18" customFormat="1" ht="15.75">
      <c r="A26" s="17" t="s">
        <v>19</v>
      </c>
      <c r="B26"/>
      <c r="C26" s="104">
        <f>COUNTIF(C6:C24,"não")</f>
        <v>0</v>
      </c>
      <c r="D26"/>
      <c r="E26" s="104">
        <f>COUNTIF(E6:E24,"não")</f>
        <v>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5.75">
      <c r="A27" s="14" t="s">
        <v>11</v>
      </c>
      <c r="C27" s="40">
        <f>COUNTIF(C6:C24,"ausente")</f>
        <v>0</v>
      </c>
      <c r="E27" s="40">
        <f>COUNTIF(E6:E24,"ausente")</f>
        <v>0</v>
      </c>
    </row>
    <row r="28" spans="1:130" s="20" customFormat="1" ht="15.75">
      <c r="A28" s="19" t="s">
        <v>20</v>
      </c>
      <c r="B28"/>
      <c r="C28" s="105">
        <f>COUNTIF(C6:C24,"abstenção")</f>
        <v>0</v>
      </c>
      <c r="D28"/>
      <c r="E28" s="105">
        <f t="shared" ref="E28" si="0">COUNTIF(E6:E24,"abstenção")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s="20" customFormat="1" ht="15.75">
      <c r="A29" s="19"/>
      <c r="B29"/>
      <c r="C29" s="105"/>
      <c r="D29"/>
      <c r="E29" s="105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1" spans="1:130" ht="24.75">
      <c r="A31" s="1" t="s">
        <v>0</v>
      </c>
    </row>
    <row r="32" spans="1:130" ht="60.75">
      <c r="A32" s="1" t="s">
        <v>1</v>
      </c>
    </row>
    <row r="33" spans="1:1" ht="48.75">
      <c r="A33" s="1" t="s">
        <v>2</v>
      </c>
    </row>
    <row r="34" spans="1:1" ht="24.75">
      <c r="A34" s="1" t="s">
        <v>3</v>
      </c>
    </row>
    <row r="35" spans="1:1" ht="60.75">
      <c r="A35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5"/>
  <sheetViews>
    <sheetView zoomScale="90" zoomScaleNormal="90" workbookViewId="0">
      <pane xSplit="1" topLeftCell="B1" activePane="topRight" state="frozen"/>
      <selection pane="topRight" activeCell="F6" sqref="F6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96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8" t="s">
        <v>97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48</v>
      </c>
      <c r="C6" s="107"/>
      <c r="U6" s="7"/>
      <c r="V6" s="7"/>
    </row>
    <row r="7" spans="1:29" ht="18">
      <c r="A7" s="129" t="s">
        <v>63</v>
      </c>
      <c r="C7" s="114"/>
      <c r="U7" s="7"/>
      <c r="V7" s="7"/>
    </row>
    <row r="8" spans="1:29" ht="18">
      <c r="A8" s="129" t="s">
        <v>51</v>
      </c>
      <c r="C8" s="107"/>
      <c r="U8" s="7"/>
      <c r="V8" s="7"/>
    </row>
    <row r="9" spans="1:29" ht="18">
      <c r="A9" s="130" t="s">
        <v>52</v>
      </c>
      <c r="C9" s="114"/>
      <c r="U9" s="7"/>
      <c r="V9" s="7"/>
    </row>
    <row r="10" spans="1:29" ht="18">
      <c r="A10" s="129" t="s">
        <v>27</v>
      </c>
      <c r="C10" s="107"/>
      <c r="U10" s="7"/>
      <c r="V10" s="7"/>
    </row>
    <row r="11" spans="1:29" ht="18">
      <c r="A11" s="129" t="s">
        <v>53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07"/>
      <c r="U13" s="7"/>
      <c r="V13" s="7"/>
    </row>
    <row r="14" spans="1:29" ht="18">
      <c r="A14" s="129" t="s">
        <v>54</v>
      </c>
      <c r="C14" s="114"/>
      <c r="U14" s="7"/>
      <c r="V14" s="7"/>
    </row>
    <row r="15" spans="1:29" ht="18">
      <c r="A15" s="129" t="s">
        <v>55</v>
      </c>
      <c r="C15" s="107"/>
      <c r="U15" s="7"/>
      <c r="V15" s="7"/>
    </row>
    <row r="16" spans="1:29" ht="15" customHeight="1">
      <c r="A16" s="129" t="s">
        <v>56</v>
      </c>
      <c r="C16" s="107"/>
      <c r="T16" s="8"/>
      <c r="U16" s="7"/>
      <c r="V16" s="7"/>
    </row>
    <row r="17" spans="1:123" ht="18">
      <c r="A17" s="129" t="s">
        <v>24</v>
      </c>
      <c r="C17" s="107"/>
      <c r="U17" s="7"/>
      <c r="V17" s="7"/>
    </row>
    <row r="18" spans="1:123" ht="18">
      <c r="A18" s="129" t="s">
        <v>57</v>
      </c>
      <c r="C18" s="107"/>
      <c r="U18" s="7"/>
      <c r="V18" s="7"/>
    </row>
    <row r="19" spans="1:123" ht="18">
      <c r="A19" s="129" t="s">
        <v>91</v>
      </c>
      <c r="C19" s="107"/>
      <c r="U19" s="7"/>
      <c r="V19" s="7"/>
    </row>
    <row r="20" spans="1:123" ht="18">
      <c r="A20" s="129" t="s">
        <v>25</v>
      </c>
      <c r="C20" s="114"/>
      <c r="U20" s="7"/>
      <c r="V20" s="7"/>
    </row>
    <row r="21" spans="1:123" ht="18">
      <c r="A21" s="129" t="s">
        <v>58</v>
      </c>
      <c r="C21" s="107"/>
      <c r="U21" s="7"/>
      <c r="V21" s="7"/>
    </row>
    <row r="22" spans="1:123" ht="18">
      <c r="A22" s="129" t="s">
        <v>64</v>
      </c>
      <c r="C22" s="107"/>
      <c r="U22" s="7"/>
      <c r="V22" s="7"/>
    </row>
    <row r="23" spans="1:123" ht="18">
      <c r="A23" s="129" t="s">
        <v>85</v>
      </c>
      <c r="C23" s="107"/>
      <c r="U23" s="7"/>
      <c r="V23" s="7"/>
    </row>
    <row r="24" spans="1:123" ht="18">
      <c r="A24" s="129" t="s">
        <v>59</v>
      </c>
      <c r="C24" s="107"/>
      <c r="U24" s="7"/>
      <c r="V24" s="7"/>
    </row>
    <row r="25" spans="1:123" s="16" customFormat="1" ht="15.75">
      <c r="A25" s="15" t="s">
        <v>18</v>
      </c>
      <c r="B25" s="16">
        <f>COUNTIF(B6:B24,"sim")</f>
        <v>0</v>
      </c>
      <c r="C25" s="103">
        <f>COUNTIF(C6:C24,"sim")</f>
        <v>0</v>
      </c>
      <c r="J25" s="16">
        <f>COUNTIF(J6:J24,"sim")</f>
        <v>0</v>
      </c>
      <c r="K25" s="16">
        <f>COUNTIF(K6:K24,"sim")</f>
        <v>0</v>
      </c>
      <c r="L25" s="16">
        <f>COUNTIF(L6:L24,"sim")</f>
        <v>0</v>
      </c>
      <c r="M25" s="16">
        <f>COUNTIF(M6:M24,"sim")</f>
        <v>0</v>
      </c>
      <c r="N25" s="16">
        <f>COUNTIF(N6:N24,"sim")</f>
        <v>0</v>
      </c>
      <c r="O25" s="16">
        <f>COUNTIF(O6:O24,"sim")</f>
        <v>0</v>
      </c>
      <c r="P25" s="16">
        <f>COUNTIF(P6:P24,"sim")</f>
        <v>0</v>
      </c>
      <c r="Q25" s="16">
        <f>COUNTIF(Q6:Q24,"sim")</f>
        <v>0</v>
      </c>
      <c r="R25" s="16">
        <f>COUNTIF(R6:R24,"sim")</f>
        <v>0</v>
      </c>
      <c r="S25" s="16">
        <f>COUNTIF(S6:S24,"sim")</f>
        <v>0</v>
      </c>
      <c r="T25" s="16">
        <f>COUNTIF(T6:T24,"sim")</f>
        <v>0</v>
      </c>
      <c r="U25" s="16">
        <f>COUNTIF(U6:U24,"sim")</f>
        <v>0</v>
      </c>
      <c r="V25" s="16">
        <f>COUNTIF(V6:V24,"sim")</f>
        <v>0</v>
      </c>
      <c r="W25" s="16">
        <f>COUNTIF(W6:W24,"sim")</f>
        <v>0</v>
      </c>
      <c r="X25" s="16">
        <f>COUNTIF(X6:X24,"sim")</f>
        <v>0</v>
      </c>
      <c r="Y25" s="16">
        <f>COUNTIF(Y6:Y24,"sim")</f>
        <v>0</v>
      </c>
      <c r="Z25" s="16">
        <f>COUNTIF(Z6:Z24,"sim")</f>
        <v>0</v>
      </c>
      <c r="AA25" s="16">
        <f>COUNTIF(AA6:AA24,"sim")</f>
        <v>0</v>
      </c>
      <c r="AB25" s="16">
        <f>COUNTIF(AB6:AB24,"sim")</f>
        <v>0</v>
      </c>
      <c r="AC25" s="16">
        <f>COUNTIF(AC6:AC24,"sim")</f>
        <v>0</v>
      </c>
      <c r="AD25" s="16">
        <f>COUNTIF(AD6:AD24,"sim")</f>
        <v>0</v>
      </c>
      <c r="AE25" s="16">
        <f>COUNTIF(AE6:AE24,"sim")</f>
        <v>0</v>
      </c>
      <c r="AF25" s="16">
        <f>COUNTIF(AF6:AF24,"sim")</f>
        <v>0</v>
      </c>
      <c r="AG25" s="16">
        <f>COUNTIF(AG6:AG24,"sim")</f>
        <v>0</v>
      </c>
      <c r="AH25" s="16">
        <f>COUNTIF(AH6:AH24,"sim")</f>
        <v>0</v>
      </c>
      <c r="AI25" s="16">
        <f>COUNTIF(AI6:AI24,"sim")</f>
        <v>0</v>
      </c>
      <c r="AJ25" s="16">
        <f>COUNTIF(AJ6:AJ24,"sim")</f>
        <v>0</v>
      </c>
      <c r="AK25" s="16">
        <f>COUNTIF(AK6:AK24,"sim")</f>
        <v>0</v>
      </c>
      <c r="AL25" s="16">
        <f>COUNTIF(AL6:AL24,"sim")</f>
        <v>0</v>
      </c>
      <c r="AM25" s="16">
        <f>COUNTIF(AM6:AM24,"sim")</f>
        <v>0</v>
      </c>
      <c r="AN25" s="16">
        <f>COUNTIF(AN6:AN24,"sim")</f>
        <v>0</v>
      </c>
      <c r="AO25" s="16">
        <f>COUNTIF(AO6:AO24,"sim")</f>
        <v>0</v>
      </c>
      <c r="AP25" s="16">
        <f>COUNTIF(AP6:AP24,"sim")</f>
        <v>0</v>
      </c>
      <c r="AQ25" s="16">
        <f>COUNTIF(AQ6:AQ24,"sim")</f>
        <v>0</v>
      </c>
      <c r="AR25" s="16">
        <f>COUNTIF(AR6:AR24,"sim")</f>
        <v>0</v>
      </c>
      <c r="AS25" s="16">
        <f>COUNTIF(AS6:AS24,"sim")</f>
        <v>0</v>
      </c>
      <c r="AT25" s="16">
        <f>COUNTIF(AT6:AT24,"sim")</f>
        <v>0</v>
      </c>
      <c r="AU25" s="16">
        <f>COUNTIF(AU6:AU24,"sim")</f>
        <v>0</v>
      </c>
      <c r="AV25" s="16">
        <f>COUNTIF(AV6:AV24,"sim")</f>
        <v>0</v>
      </c>
      <c r="AW25" s="16">
        <f>COUNTIF(AW6:AW24,"sim")</f>
        <v>0</v>
      </c>
      <c r="AX25" s="16">
        <f>COUNTIF(AX6:AX24,"sim")</f>
        <v>0</v>
      </c>
      <c r="AY25" s="16">
        <f>COUNTIF(AY6:AY24,"sim")</f>
        <v>0</v>
      </c>
      <c r="AZ25" s="16">
        <f>COUNTIF(AZ6:AZ24,"sim")</f>
        <v>0</v>
      </c>
      <c r="BA25" s="16">
        <f>COUNTIF(BA6:BA24,"sim")</f>
        <v>0</v>
      </c>
      <c r="BB25" s="16">
        <f>COUNTIF(BB6:BB24,"sim")</f>
        <v>0</v>
      </c>
      <c r="BC25" s="16">
        <f>COUNTIF(BC6:BC24,"sim")</f>
        <v>0</v>
      </c>
      <c r="BD25" s="16">
        <f>COUNTIF(BD6:BD24,"sim")</f>
        <v>0</v>
      </c>
      <c r="BE25" s="16">
        <f>COUNTIF(BE6:BE24,"sim")</f>
        <v>0</v>
      </c>
      <c r="BF25" s="16">
        <f>COUNTIF(BF6:BF24,"sim")</f>
        <v>0</v>
      </c>
      <c r="BG25" s="16">
        <f>COUNTIF(BG6:BG24,"sim")</f>
        <v>0</v>
      </c>
      <c r="BH25" s="16">
        <f>COUNTIF(BH6:BH24,"sim")</f>
        <v>0</v>
      </c>
      <c r="BI25" s="16">
        <f>COUNTIF(BI6:BI24,"sim")</f>
        <v>0</v>
      </c>
      <c r="BJ25" s="16">
        <f>COUNTIF(BJ6:BJ24,"sim")</f>
        <v>0</v>
      </c>
      <c r="BK25" s="16">
        <f>COUNTIF(BK6:BK24,"sim")</f>
        <v>0</v>
      </c>
      <c r="BL25" s="16">
        <f>COUNTIF(BL6:BL24,"sim")</f>
        <v>0</v>
      </c>
      <c r="BM25" s="16">
        <f>COUNTIF(BM6:BM24,"sim")</f>
        <v>0</v>
      </c>
      <c r="BN25" s="16">
        <f>COUNTIF(BN6:BN24,"sim")</f>
        <v>0</v>
      </c>
      <c r="BO25" s="16">
        <f>COUNTIF(BO6:BO24,"sim")</f>
        <v>0</v>
      </c>
      <c r="BP25" s="16">
        <f>COUNTIF(BP6:BP24,"sim")</f>
        <v>0</v>
      </c>
      <c r="BQ25" s="16">
        <f>COUNTIF(BQ6:BQ24,"sim")</f>
        <v>0</v>
      </c>
      <c r="BR25" s="16">
        <f>COUNTIF(BR6:BR24,"sim")</f>
        <v>0</v>
      </c>
      <c r="BS25" s="16">
        <f>COUNTIF(BS6:BS24,"sim")</f>
        <v>0</v>
      </c>
      <c r="BT25" s="16">
        <f>COUNTIF(BT6:BT24,"sim")</f>
        <v>0</v>
      </c>
      <c r="BU25" s="16">
        <f>COUNTIF(BU6:BU24,"sim")</f>
        <v>0</v>
      </c>
      <c r="BV25" s="16">
        <f>COUNTIF(BV6:BV24,"sim")</f>
        <v>0</v>
      </c>
      <c r="BW25" s="16">
        <f>COUNTIF(BW6:BW24,"sim")</f>
        <v>0</v>
      </c>
      <c r="BX25" s="16">
        <f>COUNTIF(BX6:BX24,"sim")</f>
        <v>0</v>
      </c>
      <c r="BY25" s="16">
        <f>COUNTIF(BY6:BY24,"sim")</f>
        <v>0</v>
      </c>
      <c r="BZ25" s="16">
        <f>COUNTIF(BZ6:BZ24,"sim")</f>
        <v>0</v>
      </c>
      <c r="CA25" s="16">
        <f>COUNTIF(CA6:CA24,"sim")</f>
        <v>0</v>
      </c>
      <c r="CB25" s="16">
        <f>COUNTIF(CB6:CB24,"sim")</f>
        <v>0</v>
      </c>
      <c r="CC25" s="16">
        <f>COUNTIF(CC6:CC24,"sim")</f>
        <v>0</v>
      </c>
      <c r="CD25" s="16">
        <f>COUNTIF(CD6:CD24,"sim")</f>
        <v>0</v>
      </c>
      <c r="CE25" s="16">
        <f>COUNTIF(CE6:CE24,"sim")</f>
        <v>0</v>
      </c>
      <c r="CF25" s="16">
        <f>COUNTIF(CF6:CF24,"sim")</f>
        <v>0</v>
      </c>
      <c r="CG25" s="16">
        <f>COUNTIF(CG6:CG24,"sim")</f>
        <v>0</v>
      </c>
      <c r="CH25" s="16">
        <f>COUNTIF(CH6:CH24,"sim")</f>
        <v>0</v>
      </c>
      <c r="CI25" s="16">
        <f>COUNTIF(CI6:CI24,"sim")</f>
        <v>0</v>
      </c>
      <c r="CJ25" s="16">
        <f>COUNTIF(CJ6:CJ24,"sim")</f>
        <v>0</v>
      </c>
      <c r="CK25" s="16">
        <f>COUNTIF(CK6:CK24,"sim")</f>
        <v>0</v>
      </c>
      <c r="CL25" s="16">
        <f>COUNTIF(CL6:CL24,"sim")</f>
        <v>0</v>
      </c>
      <c r="CM25" s="16">
        <f>COUNTIF(CM6:CM24,"sim")</f>
        <v>0</v>
      </c>
      <c r="CN25" s="16">
        <f>COUNTIF(CN6:CN24,"sim")</f>
        <v>0</v>
      </c>
      <c r="CO25" s="16">
        <f>COUNTIF(CO6:CO24,"sim")</f>
        <v>0</v>
      </c>
      <c r="CP25" s="16">
        <f>COUNTIF(CP6:CP24,"sim")</f>
        <v>0</v>
      </c>
      <c r="CQ25" s="16">
        <f>COUNTIF(CQ6:CQ24,"sim")</f>
        <v>0</v>
      </c>
      <c r="CR25" s="16">
        <f>COUNTIF(CR6:CR24,"sim")</f>
        <v>0</v>
      </c>
      <c r="CS25" s="16">
        <f>COUNTIF(CS6:CS24,"sim")</f>
        <v>0</v>
      </c>
      <c r="CT25" s="16">
        <f>COUNTIF(CT6:CT24,"sim")</f>
        <v>0</v>
      </c>
      <c r="CU25" s="16">
        <f>COUNTIF(CU6:CU24,"sim")</f>
        <v>0</v>
      </c>
      <c r="CV25" s="16">
        <f>COUNTIF(CV6:CV24,"sim")</f>
        <v>0</v>
      </c>
      <c r="CW25" s="16">
        <f>COUNTIF(CW6:CW24,"sim")</f>
        <v>0</v>
      </c>
      <c r="CX25" s="16">
        <f>COUNTIF(CX6:CX24,"sim")</f>
        <v>0</v>
      </c>
      <c r="CY25" s="16">
        <f>COUNTIF(CY6:CY24,"sim")</f>
        <v>0</v>
      </c>
      <c r="CZ25" s="16">
        <f>COUNTIF(CZ6:CZ24,"sim")</f>
        <v>0</v>
      </c>
      <c r="DA25" s="16">
        <f>COUNTIF(DA6:DA24,"sim")</f>
        <v>0</v>
      </c>
      <c r="DB25" s="16">
        <f>COUNTIF(DB6:DB24,"sim")</f>
        <v>0</v>
      </c>
      <c r="DC25" s="16">
        <f>COUNTIF(DC6:DC24,"sim")</f>
        <v>0</v>
      </c>
      <c r="DD25" s="16">
        <f>COUNTIF(DD6:DD24,"sim")</f>
        <v>0</v>
      </c>
      <c r="DE25" s="16">
        <f>COUNTIF(DE6:DE24,"sim")</f>
        <v>0</v>
      </c>
      <c r="DF25" s="16">
        <f>COUNTIF(DF6:DF24,"sim")</f>
        <v>0</v>
      </c>
      <c r="DG25" s="16">
        <f>COUNTIF(DG6:DG24,"sim")</f>
        <v>0</v>
      </c>
      <c r="DH25" s="16">
        <f>COUNTIF(DH6:DH24,"sim")</f>
        <v>0</v>
      </c>
      <c r="DI25" s="16">
        <f>COUNTIF(DI6:DI24,"sim")</f>
        <v>0</v>
      </c>
      <c r="DJ25" s="16">
        <f>COUNTIF(DJ6:DJ24,"sim")</f>
        <v>0</v>
      </c>
      <c r="DK25" s="16">
        <f>COUNTIF(DK6:DK24,"sim")</f>
        <v>0</v>
      </c>
      <c r="DL25" s="16">
        <f>COUNTIF(DL6:DL24,"sim")</f>
        <v>0</v>
      </c>
      <c r="DM25" s="16">
        <f>COUNTIF(DM6:DM24,"sim")</f>
        <v>0</v>
      </c>
      <c r="DN25" s="16">
        <f>COUNTIF(DN6:DN24,"sim")</f>
        <v>0</v>
      </c>
      <c r="DO25" s="16">
        <f>COUNTIF(DO6:DO24,"sim")</f>
        <v>0</v>
      </c>
      <c r="DP25" s="16">
        <f>COUNTIF(DP6:DP24,"sim")</f>
        <v>0</v>
      </c>
      <c r="DQ25" s="16">
        <f>COUNTIF(DQ6:DQ24,"sim")</f>
        <v>0</v>
      </c>
      <c r="DR25" s="16">
        <f>COUNTIF(DR6:DR24,"sim")</f>
        <v>0</v>
      </c>
      <c r="DS25" s="16">
        <f>COUNTIF(DS6:DS24,"sim")</f>
        <v>0</v>
      </c>
    </row>
    <row r="26" spans="1:123" s="18" customFormat="1" ht="15.75">
      <c r="A26" s="17" t="s">
        <v>19</v>
      </c>
      <c r="B26" s="18">
        <f>COUNTIF(B6:B24,"não")</f>
        <v>0</v>
      </c>
      <c r="C26" s="104">
        <f>COUNTIF(C6:C24,"não")</f>
        <v>0</v>
      </c>
      <c r="J26" s="18">
        <f>COUNTIF(J6:J25,"não")</f>
        <v>0</v>
      </c>
      <c r="K26" s="18">
        <f>COUNTIF(K6:K25,"não")</f>
        <v>0</v>
      </c>
      <c r="L26" s="18">
        <f>COUNTIF(L6:L25,"não")</f>
        <v>0</v>
      </c>
      <c r="M26" s="18">
        <f>COUNTIF(M6:M25,"não")</f>
        <v>0</v>
      </c>
      <c r="N26" s="18">
        <f>COUNTIF(N6:N25,"não")</f>
        <v>0</v>
      </c>
      <c r="O26" s="18">
        <f>COUNTIF(O6:O25,"não")</f>
        <v>0</v>
      </c>
      <c r="P26" s="18">
        <f>COUNTIF(P6:P25,"não")</f>
        <v>0</v>
      </c>
      <c r="Q26" s="18">
        <f>COUNTIF(Q6:Q25,"não")</f>
        <v>0</v>
      </c>
      <c r="R26" s="18">
        <f>COUNTIF(R6:R25,"não")</f>
        <v>0</v>
      </c>
      <c r="S26" s="18">
        <f>COUNTIF(S6:S25,"não")</f>
        <v>0</v>
      </c>
      <c r="T26" s="18">
        <f>COUNTIF(T6:T25,"não")</f>
        <v>0</v>
      </c>
      <c r="U26" s="18">
        <f>COUNTIF(U6:U25,"não")</f>
        <v>0</v>
      </c>
      <c r="V26" s="18">
        <f>COUNTIF(V6:V25,"não")</f>
        <v>0</v>
      </c>
      <c r="W26" s="18">
        <f>COUNTIF(W6:W25,"não")</f>
        <v>0</v>
      </c>
      <c r="X26" s="18">
        <f>COUNTIF(X6:X25,"não")</f>
        <v>0</v>
      </c>
      <c r="Y26" s="18">
        <f>COUNTIF(Y6:Y25,"não")</f>
        <v>0</v>
      </c>
      <c r="Z26" s="18">
        <f>COUNTIF(Z6:Z25,"não")</f>
        <v>0</v>
      </c>
      <c r="AA26" s="18">
        <f>COUNTIF(AA6:AA25,"não")</f>
        <v>0</v>
      </c>
      <c r="AB26" s="18">
        <f>COUNTIF(AB6:AB25,"não")</f>
        <v>0</v>
      </c>
      <c r="AC26" s="18">
        <f>COUNTIF(AC6:AC25,"não")</f>
        <v>0</v>
      </c>
      <c r="AD26" s="18">
        <f>COUNTIF(AD6:AD25,"não")</f>
        <v>0</v>
      </c>
      <c r="AE26" s="18">
        <f>COUNTIF(AE6:AE25,"não")</f>
        <v>0</v>
      </c>
      <c r="AF26" s="18">
        <f>COUNTIF(AF6:AF25,"não")</f>
        <v>0</v>
      </c>
      <c r="AG26" s="18">
        <f>COUNTIF(AG6:AG25,"não")</f>
        <v>0</v>
      </c>
      <c r="AH26" s="18">
        <f>COUNTIF(AH6:AH25,"não")</f>
        <v>0</v>
      </c>
      <c r="AI26" s="18">
        <f>COUNTIF(AI6:AI25,"não")</f>
        <v>0</v>
      </c>
      <c r="AJ26" s="18">
        <f>COUNTIF(AJ6:AJ25,"não")</f>
        <v>0</v>
      </c>
      <c r="AK26" s="18">
        <f>COUNTIF(AK6:AK25,"não")</f>
        <v>0</v>
      </c>
      <c r="AL26" s="18">
        <f>COUNTIF(AL6:AL25,"não")</f>
        <v>0</v>
      </c>
      <c r="AM26" s="18">
        <f>COUNTIF(AM6:AM25,"não")</f>
        <v>0</v>
      </c>
      <c r="AN26" s="18">
        <f>COUNTIF(AN6:AN25,"não")</f>
        <v>0</v>
      </c>
      <c r="AO26" s="18">
        <f>COUNTIF(AO6:AO25,"não")</f>
        <v>0</v>
      </c>
      <c r="AP26" s="18">
        <f>COUNTIF(AP6:AP25,"não")</f>
        <v>0</v>
      </c>
      <c r="AQ26" s="18">
        <f>COUNTIF(AQ6:AQ25,"não")</f>
        <v>0</v>
      </c>
      <c r="AR26" s="18">
        <f>COUNTIF(AR6:AR25,"não")</f>
        <v>0</v>
      </c>
      <c r="AS26" s="18">
        <f>COUNTIF(AS6:AS25,"não")</f>
        <v>0</v>
      </c>
      <c r="AT26" s="18">
        <f>COUNTIF(AT6:AT25,"não")</f>
        <v>0</v>
      </c>
      <c r="AU26" s="18">
        <f>COUNTIF(AU6:AU25,"não")</f>
        <v>0</v>
      </c>
      <c r="AV26" s="18">
        <f>COUNTIF(AV6:AV25,"não")</f>
        <v>0</v>
      </c>
      <c r="AW26" s="18">
        <f>COUNTIF(AW6:AW25,"não")</f>
        <v>0</v>
      </c>
      <c r="AX26" s="18">
        <f>COUNTIF(AX6:AX25,"não")</f>
        <v>0</v>
      </c>
      <c r="AY26" s="18">
        <f>COUNTIF(AY6:AY25,"não")</f>
        <v>0</v>
      </c>
      <c r="AZ26" s="18">
        <f>COUNTIF(AZ6:AZ25,"não")</f>
        <v>0</v>
      </c>
      <c r="BA26" s="18">
        <f>COUNTIF(BA6:BA25,"não")</f>
        <v>0</v>
      </c>
      <c r="BB26" s="18">
        <f>COUNTIF(BB6:BB25,"não")</f>
        <v>0</v>
      </c>
      <c r="BC26" s="18">
        <f>COUNTIF(BC6:BC25,"não")</f>
        <v>0</v>
      </c>
      <c r="BD26" s="18">
        <f>COUNTIF(BD6:BD25,"não")</f>
        <v>0</v>
      </c>
      <c r="BE26" s="18">
        <f>COUNTIF(BE6:BE25,"não")</f>
        <v>0</v>
      </c>
      <c r="BF26" s="18">
        <f>COUNTIF(BF6:BF25,"não")</f>
        <v>0</v>
      </c>
      <c r="BG26" s="18">
        <f>COUNTIF(BG6:BG25,"não")</f>
        <v>0</v>
      </c>
      <c r="BH26" s="18">
        <f>COUNTIF(BH6:BH25,"não")</f>
        <v>0</v>
      </c>
      <c r="BI26" s="18">
        <f>COUNTIF(BI6:BI25,"não")</f>
        <v>0</v>
      </c>
      <c r="BJ26" s="18">
        <f>COUNTIF(BJ6:BJ25,"não")</f>
        <v>0</v>
      </c>
      <c r="BK26" s="18">
        <f>COUNTIF(BK6:BK25,"não")</f>
        <v>0</v>
      </c>
      <c r="BL26" s="18">
        <f>COUNTIF(BL6:BL25,"não")</f>
        <v>0</v>
      </c>
      <c r="BM26" s="18">
        <f>COUNTIF(BM6:BM25,"não")</f>
        <v>0</v>
      </c>
      <c r="BN26" s="18">
        <f>COUNTIF(BN6:BN25,"não")</f>
        <v>0</v>
      </c>
      <c r="BO26" s="18">
        <f>COUNTIF(BO6:BO25,"não")</f>
        <v>0</v>
      </c>
      <c r="BP26" s="18">
        <f>COUNTIF(BP6:BP25,"não")</f>
        <v>0</v>
      </c>
      <c r="BQ26" s="18">
        <f>COUNTIF(BQ6:BQ25,"não")</f>
        <v>0</v>
      </c>
      <c r="BR26" s="18">
        <f>COUNTIF(BR6:BR25,"não")</f>
        <v>0</v>
      </c>
      <c r="BS26" s="18">
        <f>COUNTIF(BS6:BS25,"não")</f>
        <v>0</v>
      </c>
      <c r="BT26" s="18">
        <f>COUNTIF(BT6:BT25,"não")</f>
        <v>0</v>
      </c>
      <c r="BU26" s="18">
        <f>COUNTIF(BU6:BU25,"não")</f>
        <v>0</v>
      </c>
      <c r="BV26" s="18">
        <f>COUNTIF(BV6:BV25,"não")</f>
        <v>0</v>
      </c>
      <c r="BW26" s="18">
        <f>COUNTIF(BW6:BW25,"não")</f>
        <v>0</v>
      </c>
      <c r="BX26" s="18">
        <f>COUNTIF(BX6:BX25,"não")</f>
        <v>0</v>
      </c>
      <c r="BY26" s="18">
        <f>COUNTIF(BY6:BY25,"não")</f>
        <v>0</v>
      </c>
      <c r="BZ26" s="18">
        <f>COUNTIF(BZ6:BZ25,"não")</f>
        <v>0</v>
      </c>
      <c r="CA26" s="18">
        <f>COUNTIF(CA6:CA25,"não")</f>
        <v>0</v>
      </c>
      <c r="CB26" s="18">
        <f>COUNTIF(CB6:CB25,"não")</f>
        <v>0</v>
      </c>
      <c r="CC26" s="18">
        <f>COUNTIF(CC6:CC25,"não")</f>
        <v>0</v>
      </c>
      <c r="CD26" s="18">
        <f>COUNTIF(CD6:CD25,"não")</f>
        <v>0</v>
      </c>
      <c r="CE26" s="18">
        <f>COUNTIF(CE6:CE25,"não")</f>
        <v>0</v>
      </c>
      <c r="CF26" s="18">
        <f>COUNTIF(CF6:CF25,"não")</f>
        <v>0</v>
      </c>
      <c r="CG26" s="18">
        <f>COUNTIF(CG6:CG25,"não")</f>
        <v>0</v>
      </c>
      <c r="CH26" s="18">
        <f>COUNTIF(CH6:CH25,"não")</f>
        <v>0</v>
      </c>
      <c r="CI26" s="18">
        <f>COUNTIF(CI6:CI25,"não")</f>
        <v>0</v>
      </c>
      <c r="CJ26" s="18">
        <f>COUNTIF(CJ6:CJ25,"não")</f>
        <v>0</v>
      </c>
      <c r="CK26" s="18">
        <f>COUNTIF(CK6:CK25,"não")</f>
        <v>0</v>
      </c>
      <c r="CL26" s="18">
        <f>COUNTIF(CL6:CL25,"não")</f>
        <v>0</v>
      </c>
      <c r="CM26" s="18">
        <f>COUNTIF(CM6:CM25,"não")</f>
        <v>0</v>
      </c>
      <c r="CN26" s="18">
        <f>COUNTIF(CN6:CN25,"não")</f>
        <v>0</v>
      </c>
      <c r="CO26" s="18">
        <f>COUNTIF(CO6:CO25,"não")</f>
        <v>0</v>
      </c>
      <c r="CP26" s="18">
        <f>COUNTIF(CP6:CP25,"não")</f>
        <v>0</v>
      </c>
      <c r="CQ26" s="18">
        <f>COUNTIF(CQ6:CQ25,"não")</f>
        <v>0</v>
      </c>
      <c r="CR26" s="18">
        <f>COUNTIF(CR6:CR25,"não")</f>
        <v>0</v>
      </c>
      <c r="CS26" s="18">
        <f>COUNTIF(CS6:CS25,"não")</f>
        <v>0</v>
      </c>
      <c r="CT26" s="18">
        <f>COUNTIF(CT6:CT25,"não")</f>
        <v>0</v>
      </c>
      <c r="CU26" s="18">
        <f>COUNTIF(CU6:CU25,"não")</f>
        <v>0</v>
      </c>
      <c r="CV26" s="18">
        <f>COUNTIF(CV6:CV25,"não")</f>
        <v>0</v>
      </c>
      <c r="CW26" s="18">
        <f>COUNTIF(CW6:CW25,"não")</f>
        <v>0</v>
      </c>
      <c r="CX26" s="18">
        <f>COUNTIF(CX6:CX25,"não")</f>
        <v>0</v>
      </c>
      <c r="CY26" s="18">
        <f>COUNTIF(CY6:CY25,"não")</f>
        <v>0</v>
      </c>
      <c r="CZ26" s="18">
        <f>COUNTIF(CZ6:CZ25,"não")</f>
        <v>0</v>
      </c>
      <c r="DA26" s="18">
        <f>COUNTIF(DA6:DA25,"não")</f>
        <v>0</v>
      </c>
      <c r="DB26" s="18">
        <f>COUNTIF(DB6:DB25,"não")</f>
        <v>0</v>
      </c>
      <c r="DC26" s="18">
        <f>COUNTIF(DC6:DC25,"não")</f>
        <v>0</v>
      </c>
      <c r="DD26" s="18">
        <f>COUNTIF(DD6:DD25,"não")</f>
        <v>0</v>
      </c>
      <c r="DE26" s="18">
        <f>COUNTIF(DE6:DE25,"não")</f>
        <v>0</v>
      </c>
      <c r="DF26" s="18">
        <f>COUNTIF(DF6:DF25,"não")</f>
        <v>0</v>
      </c>
      <c r="DG26" s="18">
        <f>COUNTIF(DG6:DG25,"não")</f>
        <v>0</v>
      </c>
      <c r="DH26" s="18">
        <f>COUNTIF(DH6:DH25,"não")</f>
        <v>0</v>
      </c>
      <c r="DI26" s="18">
        <f>COUNTIF(DI6:DI25,"não")</f>
        <v>0</v>
      </c>
      <c r="DJ26" s="18">
        <f>COUNTIF(DJ6:DJ25,"não")</f>
        <v>0</v>
      </c>
      <c r="DK26" s="18">
        <f>COUNTIF(DK6:DK25,"não")</f>
        <v>0</v>
      </c>
      <c r="DL26" s="18">
        <f>COUNTIF(DL6:DL25,"não")</f>
        <v>0</v>
      </c>
      <c r="DM26" s="18">
        <f>COUNTIF(DM6:DM25,"não")</f>
        <v>0</v>
      </c>
      <c r="DN26" s="18">
        <f>COUNTIF(DN6:DN25,"não")</f>
        <v>0</v>
      </c>
      <c r="DO26" s="18">
        <f>COUNTIF(DO6:DO25,"não")</f>
        <v>0</v>
      </c>
      <c r="DP26" s="18">
        <f>COUNTIF(DP6:DP25,"não")</f>
        <v>0</v>
      </c>
      <c r="DQ26" s="18">
        <f>COUNTIF(DQ6:DQ25,"não")</f>
        <v>0</v>
      </c>
      <c r="DR26" s="18">
        <f>COUNTIF(DR6:DR25,"não")</f>
        <v>0</v>
      </c>
      <c r="DS26" s="18">
        <f>COUNTIF(DS6:DS25,"não")</f>
        <v>0</v>
      </c>
    </row>
    <row r="27" spans="1:123" ht="15.75">
      <c r="A27" s="14" t="s">
        <v>11</v>
      </c>
      <c r="B27">
        <f>COUNTIF(B6:B24,"ausente")</f>
        <v>0</v>
      </c>
      <c r="C27" s="40">
        <f>COUNTIF(C6:C24,"ausente")</f>
        <v>0</v>
      </c>
      <c r="J27">
        <f>COUNTIF(J6:J26,"ausente")</f>
        <v>0</v>
      </c>
      <c r="K27">
        <f>COUNTIF(K6:K26,"ausente")</f>
        <v>0</v>
      </c>
      <c r="L27">
        <f>COUNTIF(L6:L26,"ausente")</f>
        <v>0</v>
      </c>
      <c r="M27">
        <f>COUNTIF(M6:M26,"ausente")</f>
        <v>0</v>
      </c>
      <c r="N27">
        <f>COUNTIF(N6:N26,"ausente")</f>
        <v>0</v>
      </c>
      <c r="O27">
        <f>COUNTIF(O6:O26,"ausente")</f>
        <v>0</v>
      </c>
      <c r="P27">
        <f>COUNTIF(P6:P26,"ausente")</f>
        <v>0</v>
      </c>
      <c r="Q27">
        <f>COUNTIF(Q6:Q26,"ausente")</f>
        <v>0</v>
      </c>
      <c r="R27">
        <f>COUNTIF(R6:R26,"ausente")</f>
        <v>0</v>
      </c>
      <c r="S27">
        <f>COUNTIF(S6:S26,"ausente")</f>
        <v>0</v>
      </c>
      <c r="T27">
        <f>COUNTIF(T6:T26,"ausente")</f>
        <v>0</v>
      </c>
      <c r="U27">
        <f>COUNTIF(U6:U26,"ausente")</f>
        <v>0</v>
      </c>
      <c r="V27">
        <f>COUNTIF(V6:V26,"ausente")</f>
        <v>0</v>
      </c>
      <c r="W27">
        <f>COUNTIF(W6:W26,"ausente")</f>
        <v>0</v>
      </c>
      <c r="X27">
        <f>COUNTIF(X6:X26,"ausente")</f>
        <v>0</v>
      </c>
      <c r="Y27">
        <f>COUNTIF(Y6:Y26,"ausente")</f>
        <v>0</v>
      </c>
      <c r="Z27">
        <f>COUNTIF(Z6:Z26,"ausente")</f>
        <v>0</v>
      </c>
      <c r="AA27">
        <f>COUNTIF(AA6:AA26,"ausente")</f>
        <v>0</v>
      </c>
      <c r="AB27">
        <f>COUNTIF(AB6:AB26,"ausente")</f>
        <v>0</v>
      </c>
      <c r="AC27">
        <f>COUNTIF(AC6:AC26,"ausente")</f>
        <v>0</v>
      </c>
      <c r="AD27">
        <f>COUNTIF(AD6:AD26,"ausente")</f>
        <v>0</v>
      </c>
      <c r="AE27">
        <f>COUNTIF(AE6:AE26,"ausente")</f>
        <v>0</v>
      </c>
      <c r="AF27">
        <f>COUNTIF(AF6:AF26,"ausente")</f>
        <v>0</v>
      </c>
      <c r="AG27">
        <f>COUNTIF(AG6:AG26,"ausente")</f>
        <v>0</v>
      </c>
      <c r="AH27">
        <f>COUNTIF(AH6:AH26,"ausente")</f>
        <v>0</v>
      </c>
      <c r="AI27">
        <f>COUNTIF(AI6:AI26,"ausente")</f>
        <v>0</v>
      </c>
      <c r="AJ27">
        <f>COUNTIF(AJ6:AJ26,"ausente")</f>
        <v>0</v>
      </c>
      <c r="AK27">
        <f>COUNTIF(AK6:AK26,"ausente")</f>
        <v>0</v>
      </c>
      <c r="AL27">
        <f>COUNTIF(AL6:AL26,"ausente")</f>
        <v>0</v>
      </c>
      <c r="AM27">
        <f>COUNTIF(AM6:AM26,"ausente")</f>
        <v>0</v>
      </c>
      <c r="AN27">
        <f>COUNTIF(AN6:AN26,"ausente")</f>
        <v>0</v>
      </c>
      <c r="AO27">
        <f>COUNTIF(AO6:AO26,"ausente")</f>
        <v>0</v>
      </c>
      <c r="AP27">
        <f>COUNTIF(AP6:AP26,"ausente")</f>
        <v>0</v>
      </c>
      <c r="AQ27">
        <f>COUNTIF(AQ6:AQ26,"ausente")</f>
        <v>0</v>
      </c>
      <c r="AR27">
        <f>COUNTIF(AR6:AR26,"ausente")</f>
        <v>0</v>
      </c>
      <c r="AS27">
        <f>COUNTIF(AS6:AS26,"ausente")</f>
        <v>0</v>
      </c>
      <c r="AT27">
        <f>COUNTIF(AT6:AT26,"ausente")</f>
        <v>0</v>
      </c>
      <c r="AU27">
        <f>COUNTIF(AU6:AU26,"ausente")</f>
        <v>0</v>
      </c>
      <c r="AV27">
        <f>COUNTIF(AV6:AV26,"ausente")</f>
        <v>0</v>
      </c>
      <c r="AW27">
        <f>COUNTIF(AW6:AW26,"ausente")</f>
        <v>0</v>
      </c>
      <c r="AX27">
        <f>COUNTIF(AX6:AX26,"ausente")</f>
        <v>0</v>
      </c>
      <c r="AY27">
        <f>COUNTIF(AY6:AY26,"ausente")</f>
        <v>0</v>
      </c>
      <c r="AZ27">
        <f>COUNTIF(AZ6:AZ26,"ausente")</f>
        <v>0</v>
      </c>
      <c r="BA27">
        <f>COUNTIF(BA6:BA26,"ausente")</f>
        <v>0</v>
      </c>
      <c r="BB27">
        <f>COUNTIF(BB6:BB26,"ausente")</f>
        <v>0</v>
      </c>
      <c r="BC27">
        <f>COUNTIF(BC6:BC26,"ausente")</f>
        <v>0</v>
      </c>
      <c r="BD27">
        <f>COUNTIF(BD6:BD26,"ausente")</f>
        <v>0</v>
      </c>
      <c r="BE27">
        <f>COUNTIF(BE6:BE26,"ausente")</f>
        <v>0</v>
      </c>
      <c r="BF27">
        <f>COUNTIF(BF6:BF26,"ausente")</f>
        <v>0</v>
      </c>
      <c r="BG27">
        <f>COUNTIF(BG6:BG26,"ausente")</f>
        <v>0</v>
      </c>
      <c r="BH27">
        <f>COUNTIF(BH6:BH26,"ausente")</f>
        <v>0</v>
      </c>
      <c r="BI27">
        <f>COUNTIF(BI6:BI26,"ausente")</f>
        <v>0</v>
      </c>
      <c r="BJ27">
        <f>COUNTIF(BJ6:BJ26,"ausente")</f>
        <v>0</v>
      </c>
      <c r="BK27">
        <f>COUNTIF(BK6:BK26,"ausente")</f>
        <v>0</v>
      </c>
      <c r="BL27">
        <f>COUNTIF(BL6:BL26,"ausente")</f>
        <v>0</v>
      </c>
      <c r="BM27">
        <f>COUNTIF(BM6:BM26,"ausente")</f>
        <v>0</v>
      </c>
      <c r="BN27">
        <f>COUNTIF(BN6:BN26,"ausente")</f>
        <v>0</v>
      </c>
      <c r="BO27">
        <f>COUNTIF(BO6:BO26,"ausente")</f>
        <v>0</v>
      </c>
      <c r="BP27">
        <f>COUNTIF(BP6:BP26,"ausente")</f>
        <v>0</v>
      </c>
      <c r="BQ27">
        <f>COUNTIF(BQ6:BQ26,"ausente")</f>
        <v>0</v>
      </c>
      <c r="BR27">
        <f>COUNTIF(BR6:BR26,"ausente")</f>
        <v>0</v>
      </c>
      <c r="BS27">
        <f>COUNTIF(BS6:BS26,"ausente")</f>
        <v>0</v>
      </c>
      <c r="BT27">
        <f>COUNTIF(BT6:BT26,"ausente")</f>
        <v>0</v>
      </c>
      <c r="BU27">
        <f>COUNTIF(BU6:BU26,"ausente")</f>
        <v>0</v>
      </c>
      <c r="BV27">
        <f>COUNTIF(BV6:BV26,"ausente")</f>
        <v>0</v>
      </c>
      <c r="BW27">
        <f>COUNTIF(BW6:BW26,"ausente")</f>
        <v>0</v>
      </c>
      <c r="BX27">
        <f>COUNTIF(BX6:BX26,"ausente")</f>
        <v>0</v>
      </c>
      <c r="BY27">
        <f>COUNTIF(BY6:BY26,"ausente")</f>
        <v>0</v>
      </c>
      <c r="BZ27">
        <f>COUNTIF(BZ6:BZ26,"ausente")</f>
        <v>0</v>
      </c>
      <c r="CA27">
        <f>COUNTIF(CA6:CA26,"ausente")</f>
        <v>0</v>
      </c>
      <c r="CB27">
        <f>COUNTIF(CB6:CB26,"ausente")</f>
        <v>0</v>
      </c>
      <c r="CC27">
        <f>COUNTIF(CC6:CC26,"ausente")</f>
        <v>0</v>
      </c>
      <c r="CD27">
        <f>COUNTIF(CD6:CD26,"ausente")</f>
        <v>0</v>
      </c>
      <c r="CE27">
        <f>COUNTIF(CE6:CE26,"ausente")</f>
        <v>0</v>
      </c>
      <c r="CF27">
        <f>COUNTIF(CF6:CF26,"ausente")</f>
        <v>0</v>
      </c>
      <c r="CG27">
        <f>COUNTIF(CG6:CG26,"ausente")</f>
        <v>0</v>
      </c>
      <c r="CH27">
        <f>COUNTIF(CH6:CH26,"ausente")</f>
        <v>0</v>
      </c>
      <c r="CI27">
        <f>COUNTIF(CI6:CI26,"ausente")</f>
        <v>0</v>
      </c>
      <c r="CJ27">
        <f>COUNTIF(CJ6:CJ26,"ausente")</f>
        <v>0</v>
      </c>
      <c r="CK27">
        <f>COUNTIF(CK6:CK26,"ausente")</f>
        <v>0</v>
      </c>
      <c r="CL27">
        <f>COUNTIF(CL6:CL26,"ausente")</f>
        <v>0</v>
      </c>
      <c r="CM27">
        <f>COUNTIF(CM6:CM26,"ausente")</f>
        <v>0</v>
      </c>
      <c r="CN27">
        <f>COUNTIF(CN6:CN26,"ausente")</f>
        <v>0</v>
      </c>
      <c r="CO27">
        <f>COUNTIF(CO6:CO26,"ausente")</f>
        <v>0</v>
      </c>
      <c r="CP27">
        <f>COUNTIF(CP6:CP26,"ausente")</f>
        <v>0</v>
      </c>
      <c r="CQ27">
        <f>COUNTIF(CQ6:CQ26,"ausente")</f>
        <v>0</v>
      </c>
      <c r="CR27">
        <f>COUNTIF(CR6:CR26,"ausente")</f>
        <v>0</v>
      </c>
      <c r="CS27">
        <f>COUNTIF(CS6:CS26,"ausente")</f>
        <v>0</v>
      </c>
      <c r="CT27">
        <f>COUNTIF(CT6:CT26,"ausente")</f>
        <v>0</v>
      </c>
      <c r="CU27">
        <f>COUNTIF(CU6:CU26,"ausente")</f>
        <v>0</v>
      </c>
      <c r="CV27">
        <f>COUNTIF(CV6:CV26,"ausente")</f>
        <v>0</v>
      </c>
      <c r="CW27">
        <f>COUNTIF(CW6:CW26,"ausente")</f>
        <v>0</v>
      </c>
      <c r="CX27">
        <f>COUNTIF(CX6:CX26,"ausente")</f>
        <v>0</v>
      </c>
      <c r="CY27">
        <f>COUNTIF(CY6:CY26,"ausente")</f>
        <v>0</v>
      </c>
      <c r="CZ27">
        <f>COUNTIF(CZ6:CZ26,"ausente")</f>
        <v>0</v>
      </c>
      <c r="DA27">
        <f>COUNTIF(DA6:DA26,"ausente")</f>
        <v>0</v>
      </c>
      <c r="DB27">
        <f>COUNTIF(DB6:DB26,"ausente")</f>
        <v>0</v>
      </c>
      <c r="DC27">
        <f>COUNTIF(DC6:DC26,"ausente")</f>
        <v>0</v>
      </c>
      <c r="DD27">
        <f>COUNTIF(DD6:DD26,"ausente")</f>
        <v>0</v>
      </c>
      <c r="DE27">
        <f>COUNTIF(DE6:DE26,"ausente")</f>
        <v>0</v>
      </c>
      <c r="DF27">
        <f>COUNTIF(DF6:DF26,"ausente")</f>
        <v>0</v>
      </c>
      <c r="DG27">
        <f>COUNTIF(DG6:DG26,"ausente")</f>
        <v>0</v>
      </c>
      <c r="DH27">
        <f>COUNTIF(DH6:DH26,"ausente")</f>
        <v>0</v>
      </c>
      <c r="DI27">
        <f>COUNTIF(DI6:DI26,"ausente")</f>
        <v>0</v>
      </c>
      <c r="DJ27">
        <f>COUNTIF(DJ6:DJ26,"ausente")</f>
        <v>0</v>
      </c>
      <c r="DK27">
        <f>COUNTIF(DK6:DK26,"ausente")</f>
        <v>0</v>
      </c>
      <c r="DL27">
        <f>COUNTIF(DL6:DL26,"ausente")</f>
        <v>0</v>
      </c>
      <c r="DM27">
        <f>COUNTIF(DM6:DM26,"ausente")</f>
        <v>0</v>
      </c>
      <c r="DN27">
        <f>COUNTIF(DN6:DN26,"ausente")</f>
        <v>0</v>
      </c>
      <c r="DO27">
        <f>COUNTIF(DO6:DO26,"ausente")</f>
        <v>0</v>
      </c>
      <c r="DP27">
        <f>COUNTIF(DP6:DP26,"ausente")</f>
        <v>0</v>
      </c>
      <c r="DQ27">
        <f>COUNTIF(DQ6:DQ26,"ausente")</f>
        <v>0</v>
      </c>
      <c r="DR27">
        <f>COUNTIF(DR6:DR26,"ausente")</f>
        <v>0</v>
      </c>
      <c r="DS27">
        <f>COUNTIF(DS6:DS26,"ausente")</f>
        <v>0</v>
      </c>
    </row>
    <row r="28" spans="1:123" s="20" customFormat="1" ht="15.75">
      <c r="A28" s="19" t="s">
        <v>20</v>
      </c>
      <c r="B28" s="20">
        <f>COUNTIF(B6:B24,"abstenção")</f>
        <v>0</v>
      </c>
      <c r="C28" s="105">
        <f>COUNTIF(C6:C24,"abstenção")</f>
        <v>0</v>
      </c>
      <c r="J28" s="20">
        <f>COUNTIF(J10:J27,"abstenção")</f>
        <v>0</v>
      </c>
      <c r="K28" s="20">
        <f>COUNTIF(K10:K27,"abstenção")</f>
        <v>0</v>
      </c>
      <c r="L28" s="20">
        <f>COUNTIF(L10:L27,"abstenção")</f>
        <v>0</v>
      </c>
      <c r="M28" s="20">
        <f>COUNTIF(M10:M27,"abstenção")</f>
        <v>0</v>
      </c>
      <c r="N28" s="20">
        <f>COUNTIF(N10:N27,"abstenção")</f>
        <v>0</v>
      </c>
      <c r="O28" s="20">
        <f>COUNTIF(O10:O27,"abstenção")</f>
        <v>0</v>
      </c>
      <c r="P28" s="20">
        <f>COUNTIF(P10:P27,"abstenção")</f>
        <v>0</v>
      </c>
      <c r="Q28" s="20">
        <f>COUNTIF(Q10:Q27,"abstenção")</f>
        <v>0</v>
      </c>
      <c r="R28" s="20">
        <f>COUNTIF(R10:R27,"abstenção")</f>
        <v>0</v>
      </c>
      <c r="S28" s="20">
        <f>COUNTIF(S10:S27,"abstenção")</f>
        <v>0</v>
      </c>
      <c r="T28" s="20">
        <f>COUNTIF(T10:T27,"abstenção")</f>
        <v>0</v>
      </c>
      <c r="U28" s="20">
        <f>COUNTIF(U10:U27,"abstenção")</f>
        <v>0</v>
      </c>
      <c r="V28" s="20">
        <f>COUNTIF(V10:V27,"abstenção")</f>
        <v>0</v>
      </c>
      <c r="W28" s="20">
        <f>COUNTIF(W10:W27,"abstenção")</f>
        <v>0</v>
      </c>
      <c r="X28" s="20">
        <f>COUNTIF(X10:X27,"abstenção")</f>
        <v>0</v>
      </c>
      <c r="Y28" s="20">
        <f>COUNTIF(Y10:Y27,"abstenção")</f>
        <v>0</v>
      </c>
      <c r="Z28" s="20">
        <f>COUNTIF(Z10:Z27,"abstenção")</f>
        <v>0</v>
      </c>
      <c r="AA28" s="20">
        <f>COUNTIF(AA10:AA27,"abstenção")</f>
        <v>0</v>
      </c>
      <c r="AB28" s="20">
        <f>COUNTIF(AB10:AB27,"abstenção")</f>
        <v>0</v>
      </c>
      <c r="AC28" s="20">
        <f>COUNTIF(AC10:AC27,"abstenção")</f>
        <v>0</v>
      </c>
      <c r="AD28" s="20">
        <f>COUNTIF(AD10:AD27,"abstenção")</f>
        <v>0</v>
      </c>
      <c r="AE28" s="20">
        <f>COUNTIF(AE10:AE27,"abstenção")</f>
        <v>0</v>
      </c>
      <c r="AF28" s="20">
        <f>COUNTIF(AF10:AF27,"abstenção")</f>
        <v>0</v>
      </c>
      <c r="AG28" s="20">
        <f>COUNTIF(AG10:AG27,"abstenção")</f>
        <v>0</v>
      </c>
      <c r="AH28" s="20">
        <f>COUNTIF(AH10:AH27,"abstenção")</f>
        <v>0</v>
      </c>
      <c r="AI28" s="20">
        <f>COUNTIF(AI10:AI27,"abstenção")</f>
        <v>0</v>
      </c>
      <c r="AJ28" s="20">
        <f>COUNTIF(AJ10:AJ27,"abstenção")</f>
        <v>0</v>
      </c>
      <c r="AK28" s="20">
        <f>COUNTIF(AK10:AK27,"abstenção")</f>
        <v>0</v>
      </c>
      <c r="AL28" s="20">
        <f>COUNTIF(AL10:AL27,"abstenção")</f>
        <v>0</v>
      </c>
      <c r="AM28" s="20">
        <f>COUNTIF(AM10:AM27,"abstenção")</f>
        <v>0</v>
      </c>
      <c r="AN28" s="20">
        <f>COUNTIF(AN10:AN27,"abstenção")</f>
        <v>0</v>
      </c>
      <c r="AO28" s="20">
        <f>COUNTIF(AO10:AO27,"abstenção")</f>
        <v>0</v>
      </c>
      <c r="AP28" s="20">
        <f>COUNTIF(AP10:AP27,"abstenção")</f>
        <v>0</v>
      </c>
      <c r="AQ28" s="20">
        <f>COUNTIF(AQ10:AQ27,"abstenção")</f>
        <v>0</v>
      </c>
      <c r="AR28" s="20">
        <f>COUNTIF(AR10:AR27,"abstenção")</f>
        <v>0</v>
      </c>
      <c r="AS28" s="20">
        <f>COUNTIF(AS10:AS27,"abstenção")</f>
        <v>0</v>
      </c>
      <c r="AT28" s="20">
        <f>COUNTIF(AT10:AT27,"abstenção")</f>
        <v>0</v>
      </c>
      <c r="AU28" s="20">
        <f>COUNTIF(AU10:AU27,"abstenção")</f>
        <v>0</v>
      </c>
      <c r="AV28" s="20">
        <f>COUNTIF(AV10:AV27,"abstenção")</f>
        <v>0</v>
      </c>
      <c r="AW28" s="20">
        <f>COUNTIF(AW10:AW27,"abstenção")</f>
        <v>0</v>
      </c>
      <c r="AX28" s="20">
        <f>COUNTIF(AX10:AX27,"abstenção")</f>
        <v>0</v>
      </c>
      <c r="AY28" s="20">
        <f>COUNTIF(AY10:AY27,"abstenção")</f>
        <v>0</v>
      </c>
      <c r="AZ28" s="20">
        <f>COUNTIF(AZ10:AZ27,"abstenção")</f>
        <v>0</v>
      </c>
      <c r="BA28" s="20">
        <f>COUNTIF(BA10:BA27,"abstenção")</f>
        <v>0</v>
      </c>
      <c r="BB28" s="20">
        <f>COUNTIF(BB10:BB27,"abstenção")</f>
        <v>0</v>
      </c>
      <c r="BC28" s="20">
        <f>COUNTIF(BC10:BC27,"abstenção")</f>
        <v>0</v>
      </c>
      <c r="BD28" s="20">
        <f>COUNTIF(BD10:BD27,"abstenção")</f>
        <v>0</v>
      </c>
      <c r="BE28" s="20">
        <f>COUNTIF(BE10:BE27,"abstenção")</f>
        <v>0</v>
      </c>
      <c r="BF28" s="20">
        <f>COUNTIF(BF10:BF27,"abstenção")</f>
        <v>0</v>
      </c>
      <c r="BG28" s="20">
        <f>COUNTIF(BG10:BG27,"abstenção")</f>
        <v>0</v>
      </c>
      <c r="BH28" s="20">
        <f>COUNTIF(BH10:BH27,"abstenção")</f>
        <v>0</v>
      </c>
      <c r="BI28" s="20">
        <f t="shared" ref="BI28:DS28" si="0">COUNTIF(BI10:BI27,"abstenção")</f>
        <v>0</v>
      </c>
      <c r="BJ28" s="20">
        <f t="shared" si="0"/>
        <v>0</v>
      </c>
      <c r="BK28" s="20">
        <f t="shared" si="0"/>
        <v>0</v>
      </c>
      <c r="BL28" s="20">
        <f t="shared" si="0"/>
        <v>0</v>
      </c>
      <c r="BM28" s="20">
        <f t="shared" si="0"/>
        <v>0</v>
      </c>
      <c r="BN28" s="20">
        <f t="shared" si="0"/>
        <v>0</v>
      </c>
      <c r="BO28" s="20">
        <f t="shared" si="0"/>
        <v>0</v>
      </c>
      <c r="BP28" s="20">
        <f t="shared" si="0"/>
        <v>0</v>
      </c>
      <c r="BQ28" s="20">
        <f t="shared" si="0"/>
        <v>0</v>
      </c>
      <c r="BR28" s="20">
        <f t="shared" si="0"/>
        <v>0</v>
      </c>
      <c r="BS28" s="20">
        <f t="shared" si="0"/>
        <v>0</v>
      </c>
      <c r="BT28" s="20">
        <f t="shared" si="0"/>
        <v>0</v>
      </c>
      <c r="BU28" s="20">
        <f t="shared" si="0"/>
        <v>0</v>
      </c>
      <c r="BV28" s="20">
        <f t="shared" si="0"/>
        <v>0</v>
      </c>
      <c r="BW28" s="20">
        <f t="shared" si="0"/>
        <v>0</v>
      </c>
      <c r="BX28" s="20">
        <f t="shared" si="0"/>
        <v>0</v>
      </c>
      <c r="BY28" s="20">
        <f t="shared" si="0"/>
        <v>0</v>
      </c>
      <c r="BZ28" s="20">
        <f t="shared" si="0"/>
        <v>0</v>
      </c>
      <c r="CA28" s="20">
        <f t="shared" si="0"/>
        <v>0</v>
      </c>
      <c r="CB28" s="20">
        <f t="shared" si="0"/>
        <v>0</v>
      </c>
      <c r="CC28" s="20">
        <f t="shared" si="0"/>
        <v>0</v>
      </c>
      <c r="CD28" s="20">
        <f t="shared" si="0"/>
        <v>0</v>
      </c>
      <c r="CE28" s="20">
        <f t="shared" si="0"/>
        <v>0</v>
      </c>
      <c r="CF28" s="20">
        <f t="shared" si="0"/>
        <v>0</v>
      </c>
      <c r="CG28" s="20">
        <f t="shared" si="0"/>
        <v>0</v>
      </c>
      <c r="CH28" s="20">
        <f t="shared" si="0"/>
        <v>0</v>
      </c>
      <c r="CI28" s="20">
        <f t="shared" si="0"/>
        <v>0</v>
      </c>
      <c r="CJ28" s="20">
        <f t="shared" si="0"/>
        <v>0</v>
      </c>
      <c r="CK28" s="20">
        <f t="shared" si="0"/>
        <v>0</v>
      </c>
      <c r="CL28" s="20">
        <f t="shared" si="0"/>
        <v>0</v>
      </c>
      <c r="CM28" s="20">
        <f t="shared" si="0"/>
        <v>0</v>
      </c>
      <c r="CN28" s="20">
        <f t="shared" si="0"/>
        <v>0</v>
      </c>
      <c r="CO28" s="20">
        <f t="shared" si="0"/>
        <v>0</v>
      </c>
      <c r="CP28" s="20">
        <f t="shared" si="0"/>
        <v>0</v>
      </c>
      <c r="CQ28" s="20">
        <f t="shared" si="0"/>
        <v>0</v>
      </c>
      <c r="CR28" s="20">
        <f t="shared" si="0"/>
        <v>0</v>
      </c>
      <c r="CS28" s="20">
        <f t="shared" si="0"/>
        <v>0</v>
      </c>
      <c r="CT28" s="20">
        <f t="shared" si="0"/>
        <v>0</v>
      </c>
      <c r="CU28" s="20">
        <f t="shared" si="0"/>
        <v>0</v>
      </c>
      <c r="CV28" s="20">
        <f t="shared" si="0"/>
        <v>0</v>
      </c>
      <c r="CW28" s="20">
        <f t="shared" si="0"/>
        <v>0</v>
      </c>
      <c r="CX28" s="20">
        <f t="shared" si="0"/>
        <v>0</v>
      </c>
      <c r="CY28" s="20">
        <f t="shared" si="0"/>
        <v>0</v>
      </c>
      <c r="CZ28" s="20">
        <f t="shared" si="0"/>
        <v>0</v>
      </c>
      <c r="DA28" s="20">
        <f t="shared" si="0"/>
        <v>0</v>
      </c>
      <c r="DB28" s="20">
        <f t="shared" si="0"/>
        <v>0</v>
      </c>
      <c r="DC28" s="20">
        <f t="shared" si="0"/>
        <v>0</v>
      </c>
      <c r="DD28" s="20">
        <f t="shared" si="0"/>
        <v>0</v>
      </c>
      <c r="DE28" s="20">
        <f t="shared" si="0"/>
        <v>0</v>
      </c>
      <c r="DF28" s="20">
        <f t="shared" si="0"/>
        <v>0</v>
      </c>
      <c r="DG28" s="20">
        <f t="shared" si="0"/>
        <v>0</v>
      </c>
      <c r="DH28" s="20">
        <f t="shared" si="0"/>
        <v>0</v>
      </c>
      <c r="DI28" s="20">
        <f t="shared" si="0"/>
        <v>0</v>
      </c>
      <c r="DJ28" s="20">
        <f t="shared" si="0"/>
        <v>0</v>
      </c>
      <c r="DK28" s="20">
        <f t="shared" si="0"/>
        <v>0</v>
      </c>
      <c r="DL28" s="20">
        <f t="shared" si="0"/>
        <v>0</v>
      </c>
      <c r="DM28" s="20">
        <f t="shared" si="0"/>
        <v>0</v>
      </c>
      <c r="DN28" s="20">
        <f t="shared" si="0"/>
        <v>0</v>
      </c>
      <c r="DO28" s="20">
        <f t="shared" si="0"/>
        <v>0</v>
      </c>
      <c r="DP28" s="20">
        <f t="shared" si="0"/>
        <v>0</v>
      </c>
      <c r="DQ28" s="20">
        <f t="shared" si="0"/>
        <v>0</v>
      </c>
      <c r="DR28" s="20">
        <f t="shared" si="0"/>
        <v>0</v>
      </c>
      <c r="DS28" s="20">
        <f t="shared" si="0"/>
        <v>0</v>
      </c>
    </row>
    <row r="31" spans="1:123" ht="24.75">
      <c r="A31" s="1" t="s">
        <v>0</v>
      </c>
    </row>
    <row r="32" spans="1:123" ht="72.75">
      <c r="A32" s="1" t="s">
        <v>1</v>
      </c>
    </row>
    <row r="33" spans="1:1" ht="48.75">
      <c r="A33" s="1" t="s">
        <v>2</v>
      </c>
    </row>
    <row r="34" spans="1:1" ht="36.75">
      <c r="A34" s="1" t="s">
        <v>3</v>
      </c>
    </row>
    <row r="35" spans="1:1" ht="84.75">
      <c r="A35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6"/>
  <sheetViews>
    <sheetView workbookViewId="0">
      <pane xSplit="1" topLeftCell="B1" activePane="topRight" state="frozen"/>
      <selection pane="topRight" activeCell="F24" sqref="F24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102</v>
      </c>
      <c r="B2" s="2"/>
    </row>
    <row r="3" spans="1:6" ht="15.75" thickBot="1">
      <c r="A3" s="121" t="s">
        <v>103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100</v>
      </c>
      <c r="D4" s="139" t="s">
        <v>101</v>
      </c>
      <c r="E4" s="139" t="s">
        <v>121</v>
      </c>
      <c r="F4" s="139" t="s">
        <v>122</v>
      </c>
    </row>
    <row r="5" spans="1:6" s="6" customFormat="1" ht="60.75" customHeight="1">
      <c r="A5" s="122"/>
      <c r="B5" s="111"/>
      <c r="C5" s="113" t="s">
        <v>123</v>
      </c>
      <c r="D5" s="113" t="s">
        <v>123</v>
      </c>
      <c r="E5" s="113" t="s">
        <v>123</v>
      </c>
      <c r="F5" s="113" t="s">
        <v>123</v>
      </c>
    </row>
    <row r="6" spans="1:6" ht="15.75">
      <c r="A6" s="127" t="s">
        <v>48</v>
      </c>
      <c r="C6" s="107" t="s">
        <v>124</v>
      </c>
      <c r="D6" s="107" t="s">
        <v>124</v>
      </c>
      <c r="E6" s="107" t="s">
        <v>124</v>
      </c>
      <c r="F6" s="107" t="s">
        <v>124</v>
      </c>
    </row>
    <row r="7" spans="1:6" ht="15.75">
      <c r="A7" s="127" t="s">
        <v>63</v>
      </c>
      <c r="C7" s="107" t="s">
        <v>124</v>
      </c>
      <c r="D7" s="107" t="s">
        <v>124</v>
      </c>
      <c r="E7" s="107" t="s">
        <v>124</v>
      </c>
      <c r="F7" s="107" t="s">
        <v>124</v>
      </c>
    </row>
    <row r="8" spans="1:6" ht="15.75">
      <c r="A8" s="127" t="s">
        <v>51</v>
      </c>
      <c r="C8" s="107" t="s">
        <v>124</v>
      </c>
      <c r="D8" s="107" t="s">
        <v>124</v>
      </c>
      <c r="E8" s="107" t="s">
        <v>124</v>
      </c>
      <c r="F8" s="107" t="s">
        <v>124</v>
      </c>
    </row>
    <row r="9" spans="1:6" ht="15.75">
      <c r="A9" s="128" t="s">
        <v>52</v>
      </c>
      <c r="C9" s="107" t="s">
        <v>124</v>
      </c>
      <c r="D9" s="107" t="s">
        <v>124</v>
      </c>
      <c r="E9" s="107" t="s">
        <v>124</v>
      </c>
      <c r="F9" s="114" t="s">
        <v>125</v>
      </c>
    </row>
    <row r="10" spans="1:6" ht="15.75">
      <c r="A10" s="127" t="s">
        <v>27</v>
      </c>
      <c r="C10" s="107" t="s">
        <v>124</v>
      </c>
      <c r="D10" s="107" t="s">
        <v>124</v>
      </c>
      <c r="E10" s="107" t="s">
        <v>124</v>
      </c>
      <c r="F10" s="107" t="s">
        <v>124</v>
      </c>
    </row>
    <row r="11" spans="1:6" ht="15.75">
      <c r="A11" s="127" t="s">
        <v>53</v>
      </c>
      <c r="C11" s="114" t="s">
        <v>50</v>
      </c>
      <c r="D11" s="114" t="s">
        <v>50</v>
      </c>
      <c r="E11" s="114" t="s">
        <v>50</v>
      </c>
      <c r="F11" s="114" t="s">
        <v>50</v>
      </c>
    </row>
    <row r="12" spans="1:6" ht="15.75">
      <c r="A12" s="127" t="s">
        <v>22</v>
      </c>
      <c r="C12" s="107" t="s">
        <v>124</v>
      </c>
      <c r="D12" s="107" t="s">
        <v>124</v>
      </c>
      <c r="E12" s="107" t="s">
        <v>124</v>
      </c>
      <c r="F12" s="107" t="s">
        <v>124</v>
      </c>
    </row>
    <row r="13" spans="1:6" ht="15.75">
      <c r="A13" s="127" t="s">
        <v>23</v>
      </c>
      <c r="B13" s="138"/>
      <c r="C13" s="114" t="s">
        <v>50</v>
      </c>
      <c r="D13" s="114" t="s">
        <v>50</v>
      </c>
      <c r="E13" s="114" t="s">
        <v>50</v>
      </c>
      <c r="F13" s="114" t="s">
        <v>50</v>
      </c>
    </row>
    <row r="14" spans="1:6" ht="15.75">
      <c r="A14" s="127" t="s">
        <v>54</v>
      </c>
      <c r="C14" s="107" t="s">
        <v>124</v>
      </c>
      <c r="D14" s="107" t="s">
        <v>124</v>
      </c>
      <c r="E14" s="107" t="s">
        <v>124</v>
      </c>
      <c r="F14" s="107" t="s">
        <v>124</v>
      </c>
    </row>
    <row r="15" spans="1:6" ht="15.75">
      <c r="A15" s="127" t="s">
        <v>55</v>
      </c>
      <c r="C15" s="107" t="s">
        <v>124</v>
      </c>
      <c r="D15" s="107" t="s">
        <v>124</v>
      </c>
      <c r="E15" s="107" t="s">
        <v>124</v>
      </c>
      <c r="F15" s="107" t="s">
        <v>124</v>
      </c>
    </row>
    <row r="16" spans="1:6" ht="15.75">
      <c r="A16" s="127" t="s">
        <v>56</v>
      </c>
      <c r="C16" s="107" t="s">
        <v>124</v>
      </c>
      <c r="D16" s="107" t="s">
        <v>124</v>
      </c>
      <c r="E16" s="107" t="s">
        <v>124</v>
      </c>
      <c r="F16" s="107" t="s">
        <v>124</v>
      </c>
    </row>
    <row r="17" spans="1:6" ht="15.75">
      <c r="A17" s="127" t="s">
        <v>24</v>
      </c>
      <c r="C17" s="107" t="s">
        <v>124</v>
      </c>
      <c r="D17" s="107" t="s">
        <v>124</v>
      </c>
      <c r="E17" s="107" t="s">
        <v>124</v>
      </c>
      <c r="F17" s="107" t="s">
        <v>124</v>
      </c>
    </row>
    <row r="18" spans="1:6" ht="15.75">
      <c r="A18" s="127" t="s">
        <v>57</v>
      </c>
      <c r="C18" s="107" t="s">
        <v>124</v>
      </c>
      <c r="D18" s="107" t="s">
        <v>124</v>
      </c>
      <c r="E18" s="107" t="s">
        <v>124</v>
      </c>
      <c r="F18" s="107" t="s">
        <v>124</v>
      </c>
    </row>
    <row r="19" spans="1:6" ht="15.75">
      <c r="A19" s="127" t="s">
        <v>91</v>
      </c>
      <c r="C19" s="114" t="s">
        <v>50</v>
      </c>
      <c r="D19" s="114" t="s">
        <v>50</v>
      </c>
      <c r="E19" s="114" t="s">
        <v>50</v>
      </c>
      <c r="F19" s="114" t="s">
        <v>50</v>
      </c>
    </row>
    <row r="20" spans="1:6" ht="15.75">
      <c r="A20" s="127" t="s">
        <v>25</v>
      </c>
      <c r="C20" s="114" t="s">
        <v>50</v>
      </c>
      <c r="D20" s="114" t="s">
        <v>50</v>
      </c>
      <c r="E20" s="114" t="s">
        <v>50</v>
      </c>
      <c r="F20" s="114" t="s">
        <v>50</v>
      </c>
    </row>
    <row r="21" spans="1:6" ht="15.75">
      <c r="A21" s="127" t="s">
        <v>58</v>
      </c>
      <c r="C21" s="107" t="s">
        <v>124</v>
      </c>
      <c r="D21" s="107" t="s">
        <v>124</v>
      </c>
      <c r="E21" s="107" t="s">
        <v>124</v>
      </c>
      <c r="F21" s="107" t="s">
        <v>124</v>
      </c>
    </row>
    <row r="22" spans="1:6" ht="15.75">
      <c r="A22" s="127" t="s">
        <v>64</v>
      </c>
      <c r="C22" s="107" t="s">
        <v>124</v>
      </c>
      <c r="D22" s="107" t="s">
        <v>124</v>
      </c>
      <c r="E22" s="107" t="s">
        <v>124</v>
      </c>
      <c r="F22" s="107" t="s">
        <v>124</v>
      </c>
    </row>
    <row r="23" spans="1:6" ht="15.75">
      <c r="A23" s="127" t="s">
        <v>85</v>
      </c>
      <c r="C23" s="107" t="s">
        <v>124</v>
      </c>
      <c r="D23" s="107" t="s">
        <v>124</v>
      </c>
      <c r="E23" s="107" t="s">
        <v>124</v>
      </c>
      <c r="F23" s="107" t="s">
        <v>124</v>
      </c>
    </row>
    <row r="24" spans="1:6" ht="15.75">
      <c r="A24" s="127" t="s">
        <v>59</v>
      </c>
      <c r="C24" s="107" t="s">
        <v>124</v>
      </c>
      <c r="D24" s="107" t="s">
        <v>124</v>
      </c>
      <c r="E24" s="107" t="s">
        <v>124</v>
      </c>
      <c r="F24" s="107" t="s">
        <v>124</v>
      </c>
    </row>
    <row r="25" spans="1:6">
      <c r="C25" s="107"/>
      <c r="D25" s="107"/>
      <c r="E25" s="107"/>
      <c r="F25" s="107"/>
    </row>
    <row r="26" spans="1:6" ht="15.75">
      <c r="A26" s="15" t="s">
        <v>18</v>
      </c>
      <c r="B26" s="16">
        <f>COUNTIF(B6:B24,"sim")</f>
        <v>0</v>
      </c>
      <c r="C26" s="103">
        <f>COUNTIF(C6:C24,"sim")</f>
        <v>15</v>
      </c>
      <c r="D26" s="103">
        <f>COUNTIF(D6:D24,"sim")</f>
        <v>15</v>
      </c>
      <c r="E26" s="103"/>
      <c r="F26" s="103">
        <f>COUNTIF(F6:F24,"sim")</f>
        <v>14</v>
      </c>
    </row>
    <row r="27" spans="1:6" ht="15.75">
      <c r="A27" s="17" t="s">
        <v>19</v>
      </c>
      <c r="B27" s="18">
        <f>COUNTIF(B6:B24,"não")</f>
        <v>0</v>
      </c>
      <c r="C27" s="104">
        <f>COUNTIF(C6:C24,"não")</f>
        <v>0</v>
      </c>
      <c r="D27" s="104">
        <f>COUNTIF(D6:D24,"não")</f>
        <v>0</v>
      </c>
      <c r="E27" s="104"/>
      <c r="F27" s="104">
        <f>COUNTIF(F6:F24,"não")</f>
        <v>0</v>
      </c>
    </row>
    <row r="28" spans="1:6" ht="15.75">
      <c r="A28" s="14" t="s">
        <v>11</v>
      </c>
      <c r="B28">
        <f>COUNTIF(B6:B24,"ausente")</f>
        <v>0</v>
      </c>
      <c r="C28" s="40">
        <f>COUNTIF(C6:C24,"ausente")</f>
        <v>4</v>
      </c>
      <c r="D28" s="40">
        <f>COUNTIF(D6:D24,"ausente")</f>
        <v>4</v>
      </c>
      <c r="E28" s="40"/>
      <c r="F28" s="40">
        <f>COUNTIF(F6:F24,"ausente")</f>
        <v>4</v>
      </c>
    </row>
    <row r="29" spans="1:6" ht="15.75">
      <c r="A29" s="19" t="s">
        <v>20</v>
      </c>
      <c r="B29" s="20">
        <f>COUNTIF(B6:B24,"abstenção")</f>
        <v>0</v>
      </c>
      <c r="C29" s="105">
        <f t="shared" ref="C29:F29" si="0">COUNTIF(C6:C24,"abstenção")</f>
        <v>0</v>
      </c>
      <c r="D29" s="105">
        <f t="shared" si="0"/>
        <v>0</v>
      </c>
      <c r="E29" s="105"/>
      <c r="F29" s="105">
        <f t="shared" si="0"/>
        <v>0</v>
      </c>
    </row>
    <row r="32" spans="1:6" ht="24.75">
      <c r="A32" s="1" t="s">
        <v>0</v>
      </c>
    </row>
    <row r="33" spans="1:1" ht="72.75">
      <c r="A33" s="1" t="s">
        <v>1</v>
      </c>
    </row>
    <row r="34" spans="1:1" ht="48.75">
      <c r="A34" s="1" t="s">
        <v>2</v>
      </c>
    </row>
    <row r="35" spans="1:1" ht="36.75">
      <c r="A35" s="1" t="s">
        <v>3</v>
      </c>
    </row>
    <row r="36" spans="1:1" ht="72.75">
      <c r="A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6"/>
  <sheetViews>
    <sheetView workbookViewId="0">
      <selection activeCell="A23" sqref="A23:XFD2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102</v>
      </c>
      <c r="B2" s="2"/>
      <c r="C2" s="54"/>
      <c r="D2" s="54"/>
      <c r="E2" s="54"/>
    </row>
    <row r="3" spans="1:10" ht="15.75" thickBot="1">
      <c r="A3" s="121" t="s">
        <v>103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86</v>
      </c>
      <c r="G4" s="142" t="s">
        <v>87</v>
      </c>
      <c r="H4" s="142" t="s">
        <v>88</v>
      </c>
      <c r="I4" s="142" t="s">
        <v>89</v>
      </c>
      <c r="J4" s="142" t="s">
        <v>90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48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63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51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52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27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53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54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55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56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24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57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91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25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58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64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85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59</v>
      </c>
      <c r="C24" s="133"/>
      <c r="D24" s="133"/>
      <c r="E24" s="133"/>
      <c r="F24" s="40"/>
      <c r="G24" s="40"/>
      <c r="H24" s="40"/>
      <c r="I24" s="40"/>
      <c r="J24" s="40"/>
    </row>
    <row r="25" spans="1:10">
      <c r="C25" s="133"/>
      <c r="D25" s="133"/>
      <c r="E25" s="133"/>
      <c r="F25" s="40"/>
      <c r="G25" s="40"/>
      <c r="H25" s="40"/>
      <c r="I25" s="40"/>
      <c r="J25" s="40"/>
    </row>
    <row r="26" spans="1:10" ht="15.75">
      <c r="A26" s="15" t="s">
        <v>18</v>
      </c>
      <c r="B26" s="16"/>
      <c r="C26" s="134">
        <f>COUNTIF(C6:C24,"sim")</f>
        <v>0</v>
      </c>
      <c r="D26" s="134">
        <f>COUNTIF(D6:D24,"sim")</f>
        <v>0</v>
      </c>
      <c r="E26" s="134">
        <f>COUNTIF(E6:E24,"sim")</f>
        <v>0</v>
      </c>
      <c r="F26" s="134"/>
      <c r="G26" s="134"/>
      <c r="H26" s="134"/>
      <c r="I26" s="134"/>
      <c r="J26" s="134">
        <f>COUNTIF(J6:J24,"sim")</f>
        <v>0</v>
      </c>
    </row>
    <row r="27" spans="1:10" ht="15.75">
      <c r="A27" s="17" t="s">
        <v>19</v>
      </c>
      <c r="B27" s="18"/>
      <c r="C27" s="135">
        <f>COUNTIF(C6:C24,"não")</f>
        <v>0</v>
      </c>
      <c r="D27" s="135">
        <f>COUNTIF(D6:D24,"não")</f>
        <v>0</v>
      </c>
      <c r="E27" s="135">
        <f>COUNTIF(E6:E24,"não")</f>
        <v>0</v>
      </c>
      <c r="F27" s="135"/>
      <c r="G27" s="135"/>
      <c r="H27" s="135"/>
      <c r="I27" s="135"/>
      <c r="J27" s="135">
        <f>COUNTIF(J6:J24,"não")</f>
        <v>0</v>
      </c>
    </row>
    <row r="28" spans="1:10" ht="15.75">
      <c r="A28" s="14" t="s">
        <v>11</v>
      </c>
      <c r="C28" s="133">
        <f>COUNTIF(C6:C24,"ausente")</f>
        <v>0</v>
      </c>
      <c r="D28" s="133">
        <f>COUNTIF(D6:D24,"ausente")</f>
        <v>0</v>
      </c>
      <c r="E28" s="133">
        <f>COUNTIF(E6:E24,"ausente")</f>
        <v>0</v>
      </c>
      <c r="F28" s="133"/>
      <c r="G28" s="133"/>
      <c r="H28" s="133"/>
      <c r="I28" s="133"/>
      <c r="J28" s="133">
        <f>COUNTIF(J6:J24,"ausente")</f>
        <v>0</v>
      </c>
    </row>
    <row r="29" spans="1:10" ht="15.75">
      <c r="A29" s="19" t="s">
        <v>20</v>
      </c>
      <c r="B29" s="20"/>
      <c r="C29" s="136">
        <f t="shared" ref="C29:J29" si="0">COUNTIF(C6:C24,"abstenção")</f>
        <v>0</v>
      </c>
      <c r="D29" s="136">
        <f t="shared" si="0"/>
        <v>0</v>
      </c>
      <c r="E29" s="136">
        <f t="shared" si="0"/>
        <v>0</v>
      </c>
      <c r="F29" s="136"/>
      <c r="G29" s="136"/>
      <c r="H29" s="136"/>
      <c r="I29" s="136"/>
      <c r="J29" s="136">
        <f t="shared" si="0"/>
        <v>0</v>
      </c>
    </row>
    <row r="32" spans="1:10" ht="24.75">
      <c r="A32" s="1" t="s">
        <v>0</v>
      </c>
    </row>
    <row r="33" spans="1:1" ht="72.75">
      <c r="A33" s="1" t="s">
        <v>1</v>
      </c>
    </row>
    <row r="34" spans="1:1" ht="48.75">
      <c r="A34" s="1" t="s">
        <v>2</v>
      </c>
    </row>
    <row r="35" spans="1:1" ht="36.75">
      <c r="A35" s="1" t="s">
        <v>3</v>
      </c>
    </row>
    <row r="36" spans="1:1" ht="84.75">
      <c r="A36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5"/>
  <sheetViews>
    <sheetView zoomScale="90" zoomScaleNormal="90" workbookViewId="0">
      <selection activeCell="A23" sqref="A23:XFD2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48</v>
      </c>
    </row>
    <row r="7" spans="1:23" ht="15.75">
      <c r="A7" s="127" t="s">
        <v>63</v>
      </c>
    </row>
    <row r="8" spans="1:23" ht="15.75">
      <c r="A8" s="127" t="s">
        <v>51</v>
      </c>
    </row>
    <row r="9" spans="1:23" ht="15.75">
      <c r="A9" s="128" t="s">
        <v>52</v>
      </c>
    </row>
    <row r="10" spans="1:23" ht="15.75">
      <c r="A10" s="127" t="s">
        <v>27</v>
      </c>
    </row>
    <row r="11" spans="1:23" ht="15.75">
      <c r="A11" s="127" t="s">
        <v>53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54</v>
      </c>
    </row>
    <row r="15" spans="1:23" ht="15.75">
      <c r="A15" s="127" t="s">
        <v>55</v>
      </c>
    </row>
    <row r="16" spans="1:23" ht="15.75">
      <c r="A16" s="127" t="s">
        <v>56</v>
      </c>
    </row>
    <row r="17" spans="1:23" ht="15.75">
      <c r="A17" s="127" t="s">
        <v>24</v>
      </c>
    </row>
    <row r="18" spans="1:23" ht="15.75">
      <c r="A18" s="127" t="s">
        <v>57</v>
      </c>
    </row>
    <row r="19" spans="1:23" ht="15.75">
      <c r="A19" s="127" t="s">
        <v>91</v>
      </c>
    </row>
    <row r="20" spans="1:23" ht="15.75">
      <c r="A20" s="127" t="s">
        <v>25</v>
      </c>
    </row>
    <row r="21" spans="1:23" ht="15.75">
      <c r="A21" s="127" t="s">
        <v>58</v>
      </c>
    </row>
    <row r="22" spans="1:23" ht="15.75">
      <c r="A22" s="127" t="s">
        <v>64</v>
      </c>
    </row>
    <row r="23" spans="1:23" ht="15.75">
      <c r="A23" s="127" t="s">
        <v>85</v>
      </c>
    </row>
    <row r="24" spans="1:23" ht="15.75">
      <c r="A24" s="127" t="s">
        <v>59</v>
      </c>
    </row>
    <row r="25" spans="1:23" ht="15.75">
      <c r="A25" s="15" t="s">
        <v>18</v>
      </c>
      <c r="B25" s="16">
        <f>COUNTIF(B6:B23,"sim")</f>
        <v>0</v>
      </c>
      <c r="C25" s="16">
        <f>COUNTIF(C6:C23,"sim")</f>
        <v>0</v>
      </c>
      <c r="D25" s="16">
        <f>COUNTIF(D6:D23,"sim")</f>
        <v>0</v>
      </c>
      <c r="E25" s="16">
        <f>COUNTIF(E6:E23,"sim")</f>
        <v>0</v>
      </c>
      <c r="F25" s="16">
        <f>COUNTIF(F6:F23,"sim")</f>
        <v>0</v>
      </c>
      <c r="G25" s="16">
        <f>COUNTIF(G6:G23,"sim")</f>
        <v>0</v>
      </c>
      <c r="H25" s="16">
        <f>COUNTIF(H6:H23,"sim")</f>
        <v>0</v>
      </c>
      <c r="I25" s="16">
        <f>COUNTIF(I6:I23,"sim")</f>
        <v>0</v>
      </c>
      <c r="J25" s="16">
        <f>COUNTIF(J6:J23,"sim")</f>
        <v>0</v>
      </c>
      <c r="K25" s="16">
        <f>COUNTIF(K6:K23,"sim")</f>
        <v>0</v>
      </c>
      <c r="L25" s="16">
        <f>COUNTIF(L6:L23,"sim")</f>
        <v>0</v>
      </c>
      <c r="M25" s="16">
        <f>COUNTIF(M6:M23,"sim")</f>
        <v>0</v>
      </c>
      <c r="N25" s="16">
        <f>COUNTIF(N6:N23,"sim")</f>
        <v>0</v>
      </c>
      <c r="O25" s="16">
        <f>COUNTIF(O6:O23,"sim")</f>
        <v>0</v>
      </c>
      <c r="P25" s="16">
        <f>COUNTIF(P6:P23,"sim")</f>
        <v>0</v>
      </c>
      <c r="Q25" s="16">
        <f>COUNTIF(Q6:Q23,"sim")</f>
        <v>0</v>
      </c>
      <c r="R25" s="16">
        <f>COUNTIF(R6:R23,"sim")</f>
        <v>0</v>
      </c>
      <c r="S25" s="16">
        <f>COUNTIF(S6:S23,"sim")</f>
        <v>0</v>
      </c>
      <c r="T25" s="16">
        <f>COUNTIF(T6:T23,"sim")</f>
        <v>0</v>
      </c>
      <c r="U25" s="16">
        <f>COUNTIF(U6:U23,"sim")</f>
        <v>0</v>
      </c>
      <c r="V25" s="16">
        <f>COUNTIF(V6:V23,"sim")</f>
        <v>0</v>
      </c>
      <c r="W25" s="16">
        <f>COUNTIF(W6:W23,"sim")</f>
        <v>0</v>
      </c>
    </row>
    <row r="26" spans="1:23" ht="15.75">
      <c r="A26" s="17" t="s">
        <v>19</v>
      </c>
      <c r="B26" s="18">
        <f>COUNTIF(B6:B23,"não")</f>
        <v>0</v>
      </c>
      <c r="C26" s="18">
        <f>COUNTIF(C6:C23,"não")</f>
        <v>0</v>
      </c>
      <c r="D26" s="18">
        <f>COUNTIF(D6:D23,"não")</f>
        <v>0</v>
      </c>
      <c r="E26" s="18">
        <f>COUNTIF(E6:E23,"não")</f>
        <v>0</v>
      </c>
      <c r="F26" s="18">
        <f>COUNTIF(F6:F23,"não")</f>
        <v>0</v>
      </c>
      <c r="G26" s="18">
        <f>COUNTIF(G6:G23,"não")</f>
        <v>0</v>
      </c>
      <c r="H26" s="18">
        <f>COUNTIF(H6:H23,"não")</f>
        <v>0</v>
      </c>
      <c r="I26" s="18">
        <f>COUNTIF(I6:I23,"não")</f>
        <v>0</v>
      </c>
      <c r="J26" s="18">
        <f>COUNTIF(J6:J23,"não")</f>
        <v>0</v>
      </c>
      <c r="K26" s="18">
        <f>COUNTIF(K6:K23,"não")</f>
        <v>0</v>
      </c>
      <c r="L26" s="18">
        <f>COUNTIF(L6:L23,"não")</f>
        <v>0</v>
      </c>
      <c r="M26" s="18">
        <f>COUNTIF(M6:M23,"não")</f>
        <v>0</v>
      </c>
      <c r="N26" s="18">
        <f>COUNTIF(N6:N23,"não")</f>
        <v>0</v>
      </c>
      <c r="O26" s="18">
        <f>COUNTIF(O6:O23,"não")</f>
        <v>0</v>
      </c>
      <c r="P26" s="18">
        <f>COUNTIF(P6:P23,"não")</f>
        <v>0</v>
      </c>
      <c r="Q26" s="18">
        <f>COUNTIF(Q6:Q23,"não")</f>
        <v>0</v>
      </c>
      <c r="R26" s="18">
        <f>COUNTIF(R6:R23,"não")</f>
        <v>0</v>
      </c>
      <c r="S26" s="18">
        <f>COUNTIF(S6:S23,"não")</f>
        <v>0</v>
      </c>
      <c r="T26" s="18">
        <f>COUNTIF(T6:T23,"não")</f>
        <v>0</v>
      </c>
      <c r="U26" s="18">
        <f>COUNTIF(U6:U23,"não")</f>
        <v>0</v>
      </c>
      <c r="V26" s="18">
        <f>COUNTIF(V6:V23,"não")</f>
        <v>0</v>
      </c>
      <c r="W26" s="18">
        <f>COUNTIF(W6:W23,"não")</f>
        <v>0</v>
      </c>
    </row>
    <row r="27" spans="1:23" ht="15.75">
      <c r="A27" s="14" t="s">
        <v>11</v>
      </c>
      <c r="B27">
        <f>COUNTIF(B6:B23,"ausente")</f>
        <v>0</v>
      </c>
      <c r="C27">
        <f>COUNTIF(C6:C23,"ausente")</f>
        <v>0</v>
      </c>
      <c r="D27">
        <f>COUNTIF(D6:D23,"ausente")</f>
        <v>0</v>
      </c>
      <c r="E27">
        <f>COUNTIF(E6:E23,"ausente")</f>
        <v>0</v>
      </c>
      <c r="F27">
        <f>COUNTIF(F6:F23,"ausente")</f>
        <v>0</v>
      </c>
      <c r="G27">
        <f>COUNTIF(G6:G23,"ausente")</f>
        <v>0</v>
      </c>
      <c r="H27">
        <f>COUNTIF(H6:H23,"ausente")</f>
        <v>0</v>
      </c>
      <c r="I27">
        <f>COUNTIF(I6:I23,"ausente")</f>
        <v>0</v>
      </c>
      <c r="J27">
        <f>COUNTIF(J6:J23,"ausente")</f>
        <v>0</v>
      </c>
      <c r="K27">
        <f>COUNTIF(K6:K23,"ausente")</f>
        <v>0</v>
      </c>
      <c r="L27">
        <f>COUNTIF(L6:L23,"ausente")</f>
        <v>0</v>
      </c>
      <c r="M27">
        <f>COUNTIF(M6:M23,"ausente")</f>
        <v>0</v>
      </c>
      <c r="N27">
        <f>COUNTIF(N6:N23,"ausente")</f>
        <v>0</v>
      </c>
      <c r="O27">
        <f>COUNTIF(O6:O23,"ausente")</f>
        <v>0</v>
      </c>
      <c r="P27">
        <f>COUNTIF(P6:P23,"ausente")</f>
        <v>0</v>
      </c>
      <c r="Q27">
        <f>COUNTIF(Q6:Q23,"ausente")</f>
        <v>0</v>
      </c>
      <c r="R27">
        <f>COUNTIF(R6:R23,"ausente")</f>
        <v>0</v>
      </c>
      <c r="S27">
        <f>COUNTIF(S6:S23,"ausente")</f>
        <v>0</v>
      </c>
      <c r="T27">
        <f>COUNTIF(T6:T23,"ausente")</f>
        <v>0</v>
      </c>
      <c r="U27">
        <f>COUNTIF(U6:U23,"ausente")</f>
        <v>0</v>
      </c>
      <c r="V27">
        <f>COUNTIF(V6:V23,"ausente")</f>
        <v>0</v>
      </c>
      <c r="W27">
        <f>COUNTIF(W6:W23,"ausente")</f>
        <v>0</v>
      </c>
    </row>
    <row r="28" spans="1:23" ht="15.75">
      <c r="A28" s="19" t="s">
        <v>20</v>
      </c>
      <c r="B28" s="20">
        <f>COUNTIF(B6:B23,"abstenção")</f>
        <v>0</v>
      </c>
      <c r="C28" s="20">
        <f>COUNTIF(C6:C23,"abstenção")</f>
        <v>0</v>
      </c>
      <c r="D28" s="20">
        <f>COUNTIF(D6:D23,"abstenção")</f>
        <v>0</v>
      </c>
      <c r="E28" s="20">
        <f>COUNTIF(E6:E23,"abstenção")</f>
        <v>0</v>
      </c>
      <c r="F28" s="20">
        <f>COUNTIF(F6:F23,"abstenção")</f>
        <v>0</v>
      </c>
      <c r="G28" s="20">
        <f>COUNTIF(G6:G23,"abstenção")</f>
        <v>0</v>
      </c>
      <c r="H28" s="20">
        <f>COUNTIF(H6:H23,"abstenção")</f>
        <v>0</v>
      </c>
      <c r="I28" s="20">
        <f>COUNTIF(I6:I23,"abstenção")</f>
        <v>0</v>
      </c>
      <c r="J28" s="20">
        <f>COUNTIF(J6:J23,"abstenção")</f>
        <v>0</v>
      </c>
      <c r="K28" s="20">
        <f>COUNTIF(K6:K23,"abstenção")</f>
        <v>0</v>
      </c>
      <c r="L28" s="20">
        <f>COUNTIF(L6:L23,"abstenção")</f>
        <v>0</v>
      </c>
      <c r="M28" s="20">
        <f>COUNTIF(M6:M23,"abstenção")</f>
        <v>0</v>
      </c>
      <c r="N28" s="20">
        <f>COUNTIF(N6:N23,"abstenção")</f>
        <v>0</v>
      </c>
      <c r="O28" s="20">
        <f>COUNTIF(O6:O23,"abstenção")</f>
        <v>0</v>
      </c>
      <c r="P28" s="20">
        <f>COUNTIF(P6:P23,"abstenção")</f>
        <v>0</v>
      </c>
      <c r="Q28" s="20">
        <f>COUNTIF(Q6:Q23,"abstenção")</f>
        <v>0</v>
      </c>
      <c r="R28" s="20">
        <f>COUNTIF(R6:R23,"abstenção")</f>
        <v>0</v>
      </c>
      <c r="S28" s="20">
        <f>COUNTIF(S6:S23,"abstenção")</f>
        <v>0</v>
      </c>
      <c r="T28" s="20">
        <f>COUNTIF(T6:T23,"abstenção")</f>
        <v>0</v>
      </c>
      <c r="U28" s="20">
        <f>COUNTIF(U6:U23,"abstenção")</f>
        <v>0</v>
      </c>
      <c r="V28" s="20">
        <f>COUNTIF(V6:V23,"abstenção")</f>
        <v>0</v>
      </c>
      <c r="W28" s="20">
        <f>COUNTIF(W6:W23,"abstenção")</f>
        <v>0</v>
      </c>
    </row>
    <row r="31" spans="1:23" ht="24.75">
      <c r="A31" s="1" t="s">
        <v>0</v>
      </c>
    </row>
    <row r="32" spans="1:23" ht="72.75">
      <c r="A32" s="1" t="s">
        <v>1</v>
      </c>
    </row>
    <row r="33" spans="1:1" ht="48.75">
      <c r="A33" s="1" t="s">
        <v>2</v>
      </c>
    </row>
    <row r="34" spans="1:1" ht="36.75">
      <c r="A34" s="1" t="s">
        <v>3</v>
      </c>
    </row>
    <row r="35" spans="1:1" ht="84.75">
      <c r="A35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2026-05-12T14:44:08Z</dcterms:modified>
</cp:coreProperties>
</file>