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E2C0FA7-301B-4797-8130-E2FC4E18128E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D27" i="3"/>
  <c r="D28" i="3"/>
  <c r="D29" i="3"/>
  <c r="D30" i="3"/>
  <c r="C28" i="10"/>
  <c r="C29" i="10"/>
  <c r="C30" i="10"/>
  <c r="C31" i="10"/>
  <c r="F27" i="2"/>
  <c r="F28" i="2"/>
  <c r="F29" i="2"/>
  <c r="F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<sst xmlns="http://schemas.openxmlformats.org/spreadsheetml/2006/main" count="438" uniqueCount="123">
  <si>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</si>
  <si>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</si>
  <si>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</si>
  <si>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</si>
  <si>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</si>
  <si>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</si>
  <si>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</si>
  <si>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</si>
  <si>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</si>
  <si>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</si>
  <si>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</si>
  <si>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</si>
  <si>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</si>
  <si>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</si>
  <si>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</si>
  <si>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</si>
  <si>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</si>
  <si>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</si>
  <si>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</si>
  <si>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</si>
  <si>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</si>
  <si>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</si>
  <si>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</si>
  <si>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</si>
  <si>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</si>
  <si>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</si>
  <si>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</si>
  <si>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</si>
  <si>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</si>
  <si>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</si>
  <si>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</si>
  <si>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</si>
  <si>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</si>
  <si>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</si>
  <si>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</si>
  <si>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</si>
  <si>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</si>
  <si>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</si>
  <si>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</si>
  <si>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</si>
  <si>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</si>
  <si>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</si>
  <si>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</si>
  <si>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</si>
  <si>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</si>
  <si>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</si>
  <si>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</si>
  <si>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</si>
  <si>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</si>
  <si>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</si>
  <si>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</si>
  <si>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</si>
  <si>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</si>
  <si>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</si>
  <si>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</si>
  <si>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</si>
  <si>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</si>
  <si>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</si>
  <si>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</si>
  <si>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</si>
  <si>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</si>
  <si>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</si>
  <si>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</si>
  <si>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</si>
  <si>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</si>
  <si>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</si>
  <si>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</si>
  <si>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</si>
  <si>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</si>
  <si>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</si>
  <si>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</si>
  <si>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</si>
  <si>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</si>
  <si>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</si>
  <si>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</si>
  <si>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</si>
  <si>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</si>
  <si>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</si>
  <si>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</si>
  <si>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</si>
  <si>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</si>
  <si>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</si>
  <si>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</si>
  <si>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</si>
  <si>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</si>
  <si>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</si>
  <si>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</si>
  <si>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</si>
  <si>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</si>
  <si>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</si>
  <si>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</si>
  <si>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</si>
  <si>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</si>
  <si>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</si>
  <si>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</si>
  <si>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</si>
  <si>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</si>
  <si>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</si>
  <si>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pela ausência da autora, será pautada na próxima sessão.</t>
  </si>
  <si>
    <t>APROVADO</t>
  </si>
  <si>
    <t>sim</t>
  </si>
  <si>
    <t>Ivanildo Eventos</t>
  </si>
  <si>
    <t>Julião</t>
  </si>
  <si>
    <r>
      <t xml:space="preserve">MOÇÃO DE APLAUSO Nº 113/2026 – JOSIAS DA JUCO - </t>
    </r>
    <r>
      <rPr>
        <sz val="11"/>
        <color theme="1"/>
        <rFont val="Arial"/>
        <family val="2"/>
      </rPr>
      <t>À Secretaria Municipal de Educação e a todos que se dedicaram à organização e realização da 3ª edição do Programa Autoridades Mirins.</t>
    </r>
  </si>
  <si>
    <r>
      <t>MOÇÃO DE APLAUSO Nº 116/2026 – PAULO JÚNIOR –</t>
    </r>
    <r>
      <rPr>
        <sz val="11"/>
        <color theme="1"/>
        <rFont val="Arial"/>
        <family val="2"/>
      </rPr>
      <t xml:space="preserve"> À Igreja Evangélica do Jardim D’abril por sua fundação.</t>
    </r>
  </si>
  <si>
    <r>
      <t xml:space="preserve">MOÇÃO DE CONGRATULAÇÕES Nº 121/2026 – DELBIO TERUEL – </t>
    </r>
    <r>
      <rPr>
        <sz val="11"/>
        <color theme="1"/>
        <rFont val="Arial"/>
        <family val="2"/>
      </rPr>
      <t>Aos Corretores de Imóveis do Município de Osasco e de todo o Brasil, em celebração ao dia 12 de maio, data que marca a promulgação da Lei Federal nº 6.530 de 1978, que regulamentou a profissão de Corretor de Imóveis.</t>
    </r>
  </si>
  <si>
    <t>na presidência</t>
  </si>
  <si>
    <t>26ª SESSÃO ORDINÁRIA</t>
  </si>
  <si>
    <t>DIA 14 DE MAIO DE 2026 - QUINTA-FEIRA</t>
  </si>
  <si>
    <t>Justificativa de ausência do Vereador Laércio Mendonça.</t>
  </si>
  <si>
    <t>Justificativa de ausência do Vereador Emerson Osasco.</t>
  </si>
  <si>
    <t>Justificativa de ausência do Vereador Josias da Juco.</t>
  </si>
  <si>
    <r>
      <t>MOÇÃO DE REPÚDIO Nº 120/2026 – LAÉRCIO MENDONÇA –</t>
    </r>
    <r>
      <rPr>
        <sz val="11"/>
        <color theme="1"/>
        <rFont val="Arial"/>
        <family val="2"/>
      </rPr>
      <t xml:space="preserve"> Diante do bárbaro caso de abuso e estupro coletivo envolvendo crianças, ocorrido na zona leste de São Paulo, no bairro de São Miguel Paulista, em 21 de abril do corrente ano.</t>
    </r>
  </si>
  <si>
    <r>
      <t>MOÇÃO DE APLAUSO Nº 125/2026 – JOSIAS DA JUCO -</t>
    </r>
    <r>
      <rPr>
        <sz val="11"/>
        <color theme="1"/>
        <rFont val="Arial"/>
        <family val="2"/>
      </rPr>
      <t xml:space="preserve"> Pela inauguração da segunda unidade da Central de Monitoramento na região central de Osasco, importante iniciativa que fortalece a segurança pública, amplia a capacidade de resposta operacional e reafirma o compromisso do município com a modernização tecnológica e a proteção da população osasquense.</t>
    </r>
  </si>
  <si>
    <r>
      <t xml:space="preserve">MOÇÃO DE APLAUSO Nº 126/2026 – ALEXANDRE CAPRIOTTI - </t>
    </r>
    <r>
      <rPr>
        <sz val="11"/>
        <color theme="1"/>
        <rFont val="Arial"/>
        <family val="2"/>
      </rPr>
      <t>Ao Senhor Luiz Alberto Faustino da Rosa, pela dedicação ao serviço público e relevantes serviços prestados ao município de Osasco e, em especial, à comunidade do Jardim Veloso.</t>
    </r>
  </si>
  <si>
    <r>
      <t xml:space="preserve">MOÇÃO DE APLAUSO Nº 127/2026 – CANTOR GOLEIRO - </t>
    </r>
    <r>
      <rPr>
        <sz val="11"/>
        <color theme="1"/>
        <rFont val="Arial"/>
        <family val="2"/>
      </rPr>
      <t>Ao Sr. Renato Correia de Mendonça, por sua trajetória de vida marcada pela honestidade, perseverança, humildade e dedicação ao trabalho, tornando-se exemplo de superação e inspiração para toda a comunidade.</t>
    </r>
  </si>
  <si>
    <r>
      <t xml:space="preserve">MOÇÃO DE APOIO Nº 129/2026 – LÚCIA DA SAÚDE – </t>
    </r>
    <r>
      <rPr>
        <sz val="11"/>
        <color theme="1"/>
        <rFont val="Arial"/>
        <family val="2"/>
      </rPr>
      <t>Ao Projeto de Lei nº 2.294/2024, que institui o Exame Nacional de Proficiência em Medicina.</t>
    </r>
  </si>
  <si>
    <r>
      <t xml:space="preserve">PROJETO DE LEI COMPLEMENTAR Nº 4/2026 - PREFEITO DO MUNICÍPIO DE OSASCO - </t>
    </r>
    <r>
      <rPr>
        <sz val="14"/>
        <color theme="1"/>
        <rFont val="Arial"/>
        <family val="2"/>
      </rPr>
      <t>Disciplina a criação, organização e funcionamento de feiras livres no Município de Osasco.</t>
    </r>
  </si>
  <si>
    <r>
      <t>PROJETO DE LEI Nº 113/2025 – LÚCIA DA SAÚDE –</t>
    </r>
    <r>
      <rPr>
        <sz val="14"/>
        <color theme="1"/>
        <rFont val="Arial"/>
        <family val="2"/>
      </rPr>
      <t xml:space="preserve"> Altera a lei nº 4.829, de 14 de setembro de 2017, que dispõe sobre a divulgação do “Disque 100” nos livros, cadernos, impressos informativos da Secretaria de Educação do Município de Osasco.</t>
    </r>
  </si>
  <si>
    <r>
      <t xml:space="preserve">PROJETO DE LEI Nº 71/2026 – LÚCIA DA SAÚDE – </t>
    </r>
    <r>
      <rPr>
        <sz val="11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</si>
  <si>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</si>
  <si>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>PROJETO DE DECRETO LEGISLATIVO Nº 9/2026 – MESA DIRETORA –</t>
    </r>
    <r>
      <rPr>
        <sz val="11"/>
        <color theme="1"/>
        <rFont val="Arial"/>
        <family val="2"/>
      </rPr>
      <t xml:space="preserve"> Dispõe sobre a concessão do Prêmio Ana Paula Rossi – Mulher de Destaque 2026.</t>
    </r>
  </si>
  <si>
    <t>remetido à CCJ por requerimento aprovado em plenário.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</si>
</sst>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18" sqref="K1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107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108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94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10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10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62"/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102"/>
      <c r="F12" s="88">
        <v>2</v>
      </c>
      <c r="G12" s="102" t="s">
        <v>50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1</v>
      </c>
      <c r="C13" s="62" t="s">
        <v>49</v>
      </c>
      <c r="D13" s="63"/>
      <c r="E13" s="62"/>
      <c r="F13" s="88">
        <v>1</v>
      </c>
      <c r="G13" s="62" t="s">
        <v>49</v>
      </c>
      <c r="H13" s="63"/>
      <c r="I13" s="62"/>
      <c r="J13" s="63">
        <v>1</v>
      </c>
      <c r="K13" s="6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1</v>
      </c>
      <c r="C14" s="62" t="s">
        <v>49</v>
      </c>
      <c r="D14" s="63"/>
      <c r="E14" s="62"/>
      <c r="F14" s="88">
        <v>1</v>
      </c>
      <c r="G14" s="62" t="s">
        <v>49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10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101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2</v>
      </c>
      <c r="C17" s="102" t="s">
        <v>50</v>
      </c>
      <c r="D17" s="63"/>
      <c r="E17" s="62"/>
      <c r="F17" s="88">
        <v>2</v>
      </c>
      <c r="G17" s="102" t="s">
        <v>50</v>
      </c>
      <c r="H17" s="63"/>
      <c r="I17" s="68"/>
      <c r="J17" s="63">
        <v>2</v>
      </c>
      <c r="K17" s="102" t="s">
        <v>50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102"/>
      <c r="F18" s="88">
        <v>2</v>
      </c>
      <c r="G18" s="102" t="s">
        <v>50</v>
      </c>
      <c r="H18" s="63"/>
      <c r="I18" s="62"/>
      <c r="J18" s="63">
        <v>2</v>
      </c>
      <c r="K18" s="102" t="s">
        <v>50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102</v>
      </c>
      <c r="B19" s="88">
        <v>2</v>
      </c>
      <c r="C19" s="102" t="s">
        <v>50</v>
      </c>
      <c r="D19" s="63"/>
      <c r="E19" s="10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91</v>
      </c>
      <c r="B20" s="88">
        <v>1</v>
      </c>
      <c r="C20" s="62" t="s">
        <v>49</v>
      </c>
      <c r="D20" s="63"/>
      <c r="E20" s="102"/>
      <c r="F20" s="88">
        <v>1</v>
      </c>
      <c r="G20" s="62" t="s">
        <v>49</v>
      </c>
      <c r="H20" s="63"/>
      <c r="I20" s="62"/>
      <c r="J20" s="63">
        <v>1</v>
      </c>
      <c r="K20" s="62" t="s">
        <v>49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1</v>
      </c>
      <c r="C21" s="62" t="s">
        <v>49</v>
      </c>
      <c r="D21" s="63"/>
      <c r="E21" s="102"/>
      <c r="F21" s="88">
        <v>1</v>
      </c>
      <c r="G21" s="62" t="s">
        <v>49</v>
      </c>
      <c r="H21" s="63"/>
      <c r="I21" s="68"/>
      <c r="J21" s="63">
        <v>1</v>
      </c>
      <c r="K21" s="62" t="s">
        <v>49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58</v>
      </c>
      <c r="B22" s="88">
        <v>1</v>
      </c>
      <c r="C22" s="62" t="s">
        <v>49</v>
      </c>
      <c r="D22" s="63"/>
      <c r="E22" s="62"/>
      <c r="F22" s="88">
        <v>1</v>
      </c>
      <c r="G22" s="62" t="s">
        <v>49</v>
      </c>
      <c r="H22" s="63"/>
      <c r="I22" s="62"/>
      <c r="J22" s="63">
        <v>2</v>
      </c>
      <c r="K22" s="102" t="s">
        <v>50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64</v>
      </c>
      <c r="B23" s="88">
        <v>1</v>
      </c>
      <c r="C23" s="62" t="s">
        <v>49</v>
      </c>
      <c r="D23" s="63"/>
      <c r="E23" s="102"/>
      <c r="F23" s="88">
        <v>1</v>
      </c>
      <c r="G23" s="62" t="s">
        <v>49</v>
      </c>
      <c r="H23" s="63"/>
      <c r="I23" s="68"/>
      <c r="J23" s="63">
        <v>1</v>
      </c>
      <c r="K23" s="62" t="s">
        <v>49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85</v>
      </c>
      <c r="B24" s="88">
        <v>2</v>
      </c>
      <c r="C24" s="102" t="s">
        <v>50</v>
      </c>
      <c r="D24" s="63"/>
      <c r="E24" s="102"/>
      <c r="F24" s="88">
        <v>2</v>
      </c>
      <c r="G24" s="102" t="s">
        <v>50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15</v>
      </c>
      <c r="C26" s="96" t="s">
        <v>44</v>
      </c>
      <c r="D26" s="98"/>
      <c r="E26" s="96" t="s">
        <v>44</v>
      </c>
      <c r="F26" s="98">
        <v>17</v>
      </c>
      <c r="G26" s="96" t="s">
        <v>44</v>
      </c>
      <c r="H26" s="100"/>
      <c r="I26" s="101"/>
      <c r="J26" s="98">
        <v>17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45</v>
      </c>
      <c r="D27" s="98"/>
      <c r="E27" s="96" t="s">
        <v>45</v>
      </c>
      <c r="F27" s="98">
        <v>4</v>
      </c>
      <c r="G27" s="96" t="s">
        <v>45</v>
      </c>
      <c r="H27" s="100"/>
      <c r="I27" s="96"/>
      <c r="J27" s="98">
        <v>4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102</v>
      </c>
      <c r="V32" s="12"/>
      <c r="W32" s="12"/>
    </row>
    <row r="33" spans="1:23" ht="18">
      <c r="A33" s="34" t="s">
        <v>53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85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workbookViewId="0">
      <pane xSplit="1" topLeftCell="B1" activePane="topRight" state="frozen"/>
      <selection pane="topRight" activeCell="S5" sqref="S5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16" width="22.7109375" style="22" customWidth="1"/>
    <col min="17" max="16384" width="9.140625" style="22"/>
  </cols>
  <sheetData>
    <row r="1" spans="1:16" ht="15">
      <c r="A1" s="76" t="s">
        <v>8</v>
      </c>
      <c r="B1" s="21"/>
      <c r="C1" s="21"/>
      <c r="D1" s="21"/>
      <c r="E1" s="21"/>
      <c r="F1" s="21"/>
      <c r="G1" s="21"/>
    </row>
    <row r="2" spans="1:16" ht="15">
      <c r="A2" s="76" t="s">
        <v>107</v>
      </c>
      <c r="B2" s="21"/>
      <c r="C2" s="21"/>
      <c r="D2" s="21"/>
      <c r="E2" s="21"/>
      <c r="F2" s="21"/>
      <c r="G2" s="21"/>
    </row>
    <row r="3" spans="1:16" ht="17.25" customHeight="1">
      <c r="A3" s="76" t="s">
        <v>108</v>
      </c>
      <c r="B3" s="21"/>
      <c r="C3" s="21"/>
      <c r="D3" s="21"/>
      <c r="E3" s="21"/>
      <c r="F3" s="21"/>
      <c r="G3" s="21"/>
    </row>
    <row r="4" spans="1:16" ht="63" customHeight="1">
      <c r="A4" s="51" t="str">
        <f>'[1]MOÇÃO E REQUERIMENTO'!B7</f>
        <v>EXPEDIENTE</v>
      </c>
      <c r="B4" s="50" t="s">
        <v>43</v>
      </c>
      <c r="C4" s="117" t="s">
        <v>109</v>
      </c>
      <c r="D4" s="117" t="s">
        <v>110</v>
      </c>
      <c r="E4" s="117" t="s">
        <v>111</v>
      </c>
      <c r="F4" s="112" t="s">
        <v>33</v>
      </c>
      <c r="G4" s="124"/>
      <c r="H4" s="50" t="s">
        <v>26</v>
      </c>
      <c r="I4" s="84" t="s">
        <v>103</v>
      </c>
      <c r="J4" s="84" t="s">
        <v>104</v>
      </c>
      <c r="K4" s="84" t="s">
        <v>112</v>
      </c>
      <c r="L4" s="84" t="s">
        <v>105</v>
      </c>
      <c r="M4" s="84" t="s">
        <v>113</v>
      </c>
      <c r="N4" s="84" t="s">
        <v>114</v>
      </c>
      <c r="O4" s="84" t="s">
        <v>115</v>
      </c>
      <c r="P4" s="84" t="s">
        <v>116</v>
      </c>
    </row>
    <row r="5" spans="1:16" s="59" customFormat="1" ht="48" customHeight="1">
      <c r="A5" s="57" t="s">
        <v>41</v>
      </c>
      <c r="B5" s="55"/>
      <c r="C5" s="55"/>
      <c r="D5" s="55"/>
      <c r="E5" s="55"/>
      <c r="F5" s="55"/>
      <c r="G5" s="113"/>
      <c r="I5" s="118" t="s">
        <v>93</v>
      </c>
      <c r="J5" s="113" t="s">
        <v>92</v>
      </c>
      <c r="K5" s="118" t="s">
        <v>93</v>
      </c>
      <c r="L5" s="113" t="s">
        <v>92</v>
      </c>
      <c r="M5" s="118" t="s">
        <v>93</v>
      </c>
      <c r="N5" s="118" t="s">
        <v>93</v>
      </c>
      <c r="O5" s="113" t="s">
        <v>92</v>
      </c>
      <c r="P5" s="118" t="s">
        <v>98</v>
      </c>
    </row>
    <row r="6" spans="1:16" ht="15.75">
      <c r="A6" s="127" t="s">
        <v>48</v>
      </c>
      <c r="H6" s="23"/>
    </row>
    <row r="7" spans="1:16" ht="15.75">
      <c r="A7" s="127" t="s">
        <v>63</v>
      </c>
      <c r="H7" s="23"/>
    </row>
    <row r="8" spans="1:16" ht="15.75">
      <c r="A8" s="127" t="s">
        <v>51</v>
      </c>
      <c r="H8" s="23"/>
    </row>
    <row r="9" spans="1:16" ht="15.75">
      <c r="A9" s="127" t="s">
        <v>52</v>
      </c>
      <c r="H9" s="23"/>
    </row>
    <row r="10" spans="1:16" ht="15.75">
      <c r="A10" s="127" t="s">
        <v>27</v>
      </c>
      <c r="H10" s="23"/>
    </row>
    <row r="11" spans="1:16" ht="15.75">
      <c r="A11" s="128" t="s">
        <v>53</v>
      </c>
      <c r="H11" s="23"/>
    </row>
    <row r="12" spans="1:16" ht="15.75">
      <c r="A12" s="127" t="s">
        <v>22</v>
      </c>
      <c r="H12" s="23"/>
    </row>
    <row r="13" spans="1:16" ht="15.75">
      <c r="A13" s="127" t="s">
        <v>23</v>
      </c>
      <c r="H13" s="23"/>
    </row>
    <row r="14" spans="1:16" ht="15.75">
      <c r="A14" s="127" t="s">
        <v>54</v>
      </c>
      <c r="H14" s="23"/>
    </row>
    <row r="15" spans="1:16" ht="15.75">
      <c r="A15" s="127" t="s">
        <v>55</v>
      </c>
      <c r="H15" s="23"/>
    </row>
    <row r="16" spans="1:16" ht="15.75">
      <c r="A16" s="127" t="s">
        <v>56</v>
      </c>
      <c r="H16" s="23"/>
    </row>
    <row r="17" spans="1:8" ht="15.75">
      <c r="A17" s="127" t="s">
        <v>101</v>
      </c>
      <c r="H17" s="23"/>
    </row>
    <row r="18" spans="1:8" ht="15.75">
      <c r="A18" s="127" t="s">
        <v>24</v>
      </c>
      <c r="H18" s="23"/>
    </row>
    <row r="19" spans="1:8" ht="15.75">
      <c r="A19" s="127" t="s">
        <v>57</v>
      </c>
      <c r="H19" s="23"/>
    </row>
    <row r="20" spans="1:8" ht="15.75">
      <c r="A20" s="127" t="s">
        <v>102</v>
      </c>
      <c r="H20" s="23"/>
    </row>
    <row r="21" spans="1:8" ht="15.75">
      <c r="A21" s="127" t="s">
        <v>91</v>
      </c>
      <c r="H21" s="23"/>
    </row>
    <row r="22" spans="1:8" ht="15.75">
      <c r="A22" s="127" t="s">
        <v>25</v>
      </c>
      <c r="H22" s="23"/>
    </row>
    <row r="23" spans="1:8" ht="15.75">
      <c r="A23" s="127" t="s">
        <v>58</v>
      </c>
      <c r="H23" s="23"/>
    </row>
    <row r="24" spans="1:8" ht="15.75">
      <c r="A24" s="127" t="s">
        <v>64</v>
      </c>
      <c r="H24" s="23"/>
    </row>
    <row r="25" spans="1:8" ht="15.75">
      <c r="A25" s="127" t="s">
        <v>85</v>
      </c>
      <c r="H25" s="23"/>
    </row>
    <row r="26" spans="1:8" ht="15.75">
      <c r="A26" s="127" t="s">
        <v>59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26" sqref="F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107</v>
      </c>
      <c r="B2" s="49"/>
      <c r="C2" s="74"/>
    </row>
    <row r="3" spans="1:46" ht="17.25" customHeight="1">
      <c r="A3" s="76" t="s">
        <v>108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117</v>
      </c>
      <c r="F4" s="140" t="s">
        <v>118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36</v>
      </c>
      <c r="B5" s="78"/>
      <c r="C5" s="145"/>
      <c r="D5" s="79"/>
      <c r="E5" s="151" t="s">
        <v>99</v>
      </c>
      <c r="F5" s="151" t="s">
        <v>99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48</v>
      </c>
      <c r="C6" s="107"/>
      <c r="E6" s="107" t="s">
        <v>100</v>
      </c>
      <c r="F6" s="107" t="s">
        <v>100</v>
      </c>
      <c r="G6" s="143"/>
    </row>
    <row r="7" spans="1:46" ht="20.25">
      <c r="A7" s="46" t="s">
        <v>63</v>
      </c>
      <c r="C7" s="107"/>
      <c r="E7" s="107" t="s">
        <v>100</v>
      </c>
      <c r="F7" s="107" t="s">
        <v>100</v>
      </c>
    </row>
    <row r="8" spans="1:46" ht="20.25">
      <c r="A8" s="46" t="s">
        <v>51</v>
      </c>
      <c r="C8" s="144"/>
      <c r="E8" s="107" t="s">
        <v>100</v>
      </c>
      <c r="F8" s="107" t="s">
        <v>100</v>
      </c>
    </row>
    <row r="9" spans="1:46" ht="20.25">
      <c r="A9" s="82" t="s">
        <v>52</v>
      </c>
      <c r="C9" s="144"/>
      <c r="E9" s="114" t="s">
        <v>106</v>
      </c>
      <c r="F9" s="114" t="s">
        <v>106</v>
      </c>
    </row>
    <row r="10" spans="1:46" ht="20.25">
      <c r="A10" s="46" t="s">
        <v>27</v>
      </c>
      <c r="C10" s="114"/>
      <c r="E10" s="107" t="s">
        <v>100</v>
      </c>
      <c r="F10" s="107" t="s">
        <v>100</v>
      </c>
    </row>
    <row r="11" spans="1:46" ht="20.25">
      <c r="A11" s="46" t="s">
        <v>53</v>
      </c>
      <c r="C11" s="114"/>
      <c r="E11" s="107" t="s">
        <v>100</v>
      </c>
      <c r="F11" s="107" t="s">
        <v>100</v>
      </c>
    </row>
    <row r="12" spans="1:46" ht="20.25">
      <c r="A12" s="46" t="s">
        <v>22</v>
      </c>
      <c r="C12" s="107"/>
      <c r="E12" s="107" t="s">
        <v>100</v>
      </c>
      <c r="F12" s="107" t="s">
        <v>100</v>
      </c>
    </row>
    <row r="13" spans="1:46" ht="20.25">
      <c r="A13" s="46" t="s">
        <v>23</v>
      </c>
      <c r="C13" s="107"/>
      <c r="E13" s="114" t="s">
        <v>50</v>
      </c>
      <c r="F13" s="114" t="s">
        <v>50</v>
      </c>
    </row>
    <row r="14" spans="1:46" ht="20.25">
      <c r="A14" s="46" t="s">
        <v>54</v>
      </c>
      <c r="C14" s="107"/>
      <c r="E14" s="107" t="s">
        <v>100</v>
      </c>
      <c r="F14" s="107" t="s">
        <v>100</v>
      </c>
    </row>
    <row r="15" spans="1:46" ht="20.25">
      <c r="A15" s="46" t="s">
        <v>55</v>
      </c>
      <c r="C15" s="114"/>
      <c r="E15" s="107" t="s">
        <v>100</v>
      </c>
      <c r="F15" s="107" t="s">
        <v>100</v>
      </c>
    </row>
    <row r="16" spans="1:46" ht="20.25">
      <c r="A16" s="46" t="s">
        <v>56</v>
      </c>
      <c r="C16" s="144"/>
      <c r="E16" s="107" t="s">
        <v>100</v>
      </c>
      <c r="F16" s="107" t="s">
        <v>100</v>
      </c>
    </row>
    <row r="17" spans="1:131" ht="20.25">
      <c r="A17" s="46" t="s">
        <v>101</v>
      </c>
      <c r="C17" s="144"/>
      <c r="E17" s="107" t="s">
        <v>100</v>
      </c>
      <c r="F17" s="107" t="s">
        <v>100</v>
      </c>
    </row>
    <row r="18" spans="1:131" ht="20.25">
      <c r="A18" s="46" t="s">
        <v>24</v>
      </c>
      <c r="C18" s="114"/>
      <c r="E18" s="114" t="s">
        <v>50</v>
      </c>
      <c r="F18" s="114" t="s">
        <v>50</v>
      </c>
    </row>
    <row r="19" spans="1:131" ht="20.25">
      <c r="A19" s="46" t="s">
        <v>57</v>
      </c>
      <c r="C19" s="114"/>
      <c r="E19" s="114" t="s">
        <v>50</v>
      </c>
      <c r="F19" s="114" t="s">
        <v>50</v>
      </c>
    </row>
    <row r="20" spans="1:131" ht="20.25">
      <c r="A20" s="46" t="s">
        <v>102</v>
      </c>
      <c r="C20" s="107"/>
      <c r="E20" s="107" t="s">
        <v>100</v>
      </c>
      <c r="F20" s="107" t="s">
        <v>100</v>
      </c>
    </row>
    <row r="21" spans="1:131" ht="20.25">
      <c r="A21" s="46" t="s">
        <v>91</v>
      </c>
      <c r="C21" s="114"/>
      <c r="E21" s="107" t="s">
        <v>100</v>
      </c>
      <c r="F21" s="107" t="s">
        <v>100</v>
      </c>
    </row>
    <row r="22" spans="1:131" ht="20.25">
      <c r="A22" s="46" t="s">
        <v>25</v>
      </c>
      <c r="C22" s="114"/>
      <c r="E22" s="107" t="s">
        <v>100</v>
      </c>
      <c r="F22" s="107" t="s">
        <v>100</v>
      </c>
    </row>
    <row r="23" spans="1:131" ht="20.25">
      <c r="A23" s="46" t="s">
        <v>58</v>
      </c>
      <c r="C23" s="144"/>
      <c r="E23" s="114" t="s">
        <v>50</v>
      </c>
      <c r="F23" s="114" t="s">
        <v>50</v>
      </c>
    </row>
    <row r="24" spans="1:131" ht="20.25">
      <c r="A24" s="46" t="s">
        <v>64</v>
      </c>
      <c r="C24" s="114"/>
      <c r="E24" s="107" t="s">
        <v>100</v>
      </c>
      <c r="F24" s="107" t="s">
        <v>100</v>
      </c>
    </row>
    <row r="25" spans="1:131" ht="20.25">
      <c r="A25" s="46" t="s">
        <v>85</v>
      </c>
      <c r="C25" s="114"/>
      <c r="E25" s="107" t="s">
        <v>100</v>
      </c>
      <c r="F25" s="107" t="s">
        <v>100</v>
      </c>
    </row>
    <row r="26" spans="1:131" ht="20.25">
      <c r="A26" s="46" t="s">
        <v>59</v>
      </c>
      <c r="C26" s="107"/>
      <c r="E26" s="107" t="s">
        <v>100</v>
      </c>
      <c r="F26" s="107" t="s">
        <v>100</v>
      </c>
    </row>
    <row r="27" spans="1:131" s="16" customFormat="1" ht="15.75">
      <c r="A27" s="15" t="s">
        <v>18</v>
      </c>
      <c r="B27"/>
      <c r="C27" s="103">
        <f>COUNTIF(C6:C26,"sim")</f>
        <v>0</v>
      </c>
      <c r="D27"/>
      <c r="E27" s="103">
        <f>COUNTIF(E6:E26,"sim")</f>
        <v>16</v>
      </c>
      <c r="F27" s="103">
        <f>COUNTIF(F6:F26,"sim")</f>
        <v>16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>COUNTIF(C6:C26,"não")</f>
        <v>0</v>
      </c>
      <c r="D28"/>
      <c r="E28" s="104">
        <f>COUNTIF(E6:E26,"não")</f>
        <v>0</v>
      </c>
      <c r="F28" s="104">
        <f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>COUNTIF(E6:E26,"ausente")</f>
        <v>4</v>
      </c>
      <c r="F29" s="40">
        <f>COUNTIF(F6:F26,"ausente")</f>
        <v>4</v>
      </c>
    </row>
    <row r="30" spans="1:131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F30" si="0">COUNTIF(E6:E26,"abstenção")</f>
        <v>0</v>
      </c>
      <c r="F30" s="105">
        <f t="shared" si="0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D5" sqref="D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95</v>
      </c>
      <c r="D4" s="139" t="s">
        <v>119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96</v>
      </c>
      <c r="D5" s="113" t="s">
        <v>120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48</v>
      </c>
      <c r="C6" s="107"/>
      <c r="D6" s="107"/>
      <c r="V6" s="7"/>
      <c r="W6" s="7"/>
    </row>
    <row r="7" spans="1:30" ht="18">
      <c r="A7" s="129" t="s">
        <v>63</v>
      </c>
      <c r="C7" s="114"/>
      <c r="D7" s="114"/>
      <c r="V7" s="7"/>
      <c r="W7" s="7"/>
    </row>
    <row r="8" spans="1:30" ht="18">
      <c r="A8" s="129" t="s">
        <v>51</v>
      </c>
      <c r="C8" s="107"/>
      <c r="D8" s="107"/>
      <c r="V8" s="7"/>
      <c r="W8" s="7"/>
    </row>
    <row r="9" spans="1:30" ht="18">
      <c r="A9" s="130" t="s">
        <v>52</v>
      </c>
      <c r="C9" s="114"/>
      <c r="D9" s="114"/>
      <c r="V9" s="7"/>
      <c r="W9" s="7"/>
    </row>
    <row r="10" spans="1:30" ht="18">
      <c r="A10" s="129" t="s">
        <v>27</v>
      </c>
      <c r="C10" s="107"/>
      <c r="D10" s="107"/>
      <c r="V10" s="7"/>
      <c r="W10" s="7"/>
    </row>
    <row r="11" spans="1:30" ht="18">
      <c r="A11" s="129" t="s">
        <v>53</v>
      </c>
      <c r="C11" s="107"/>
      <c r="D11" s="114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07"/>
      <c r="D13" s="114"/>
      <c r="V13" s="7"/>
      <c r="W13" s="7"/>
    </row>
    <row r="14" spans="1:30" ht="18">
      <c r="A14" s="129" t="s">
        <v>54</v>
      </c>
      <c r="C14" s="107"/>
      <c r="D14" s="114"/>
      <c r="V14" s="7"/>
      <c r="W14" s="7"/>
    </row>
    <row r="15" spans="1:30" ht="18">
      <c r="A15" s="129" t="s">
        <v>55</v>
      </c>
      <c r="C15" s="107"/>
      <c r="D15" s="107"/>
      <c r="V15" s="7"/>
      <c r="W15" s="7"/>
    </row>
    <row r="16" spans="1:30" ht="18">
      <c r="A16" s="129" t="s">
        <v>56</v>
      </c>
      <c r="C16" s="114"/>
      <c r="D16" s="107"/>
      <c r="V16" s="7"/>
      <c r="W16" s="7"/>
    </row>
    <row r="17" spans="1:124" ht="18">
      <c r="A17" s="129" t="s">
        <v>101</v>
      </c>
      <c r="C17" s="107"/>
      <c r="D17" s="107"/>
      <c r="V17" s="7"/>
      <c r="W17" s="7"/>
    </row>
    <row r="18" spans="1:124" ht="15" customHeight="1">
      <c r="A18" s="129" t="s">
        <v>24</v>
      </c>
      <c r="C18" s="107"/>
      <c r="D18" s="107"/>
      <c r="U18" s="8"/>
      <c r="V18" s="7"/>
      <c r="W18" s="7"/>
    </row>
    <row r="19" spans="1:124" ht="18">
      <c r="A19" s="129" t="s">
        <v>57</v>
      </c>
      <c r="C19" s="107"/>
      <c r="D19" s="107"/>
      <c r="V19" s="7"/>
      <c r="W19" s="7"/>
    </row>
    <row r="20" spans="1:124" ht="18">
      <c r="A20" s="129" t="s">
        <v>102</v>
      </c>
      <c r="C20" s="107"/>
      <c r="D20" s="107"/>
      <c r="V20" s="7"/>
      <c r="W20" s="7"/>
    </row>
    <row r="21" spans="1:124" ht="18">
      <c r="A21" s="129" t="s">
        <v>91</v>
      </c>
      <c r="C21" s="107"/>
      <c r="D21" s="107"/>
      <c r="V21" s="7"/>
      <c r="W21" s="7"/>
    </row>
    <row r="22" spans="1:124" ht="18">
      <c r="A22" s="129" t="s">
        <v>25</v>
      </c>
      <c r="C22" s="114"/>
      <c r="D22" s="114"/>
      <c r="V22" s="7"/>
      <c r="W22" s="7"/>
    </row>
    <row r="23" spans="1:124" ht="18">
      <c r="A23" s="129" t="s">
        <v>58</v>
      </c>
      <c r="C23" s="107"/>
      <c r="D23" s="114"/>
      <c r="V23" s="7"/>
      <c r="W23" s="7"/>
    </row>
    <row r="24" spans="1:124" ht="18">
      <c r="A24" s="129" t="s">
        <v>64</v>
      </c>
      <c r="C24" s="107"/>
      <c r="D24" s="107"/>
      <c r="V24" s="7"/>
      <c r="W24" s="7"/>
    </row>
    <row r="25" spans="1:124" ht="18">
      <c r="A25" s="129" t="s">
        <v>85</v>
      </c>
      <c r="C25" s="107"/>
      <c r="D25" s="107"/>
      <c r="V25" s="7"/>
      <c r="W25" s="7"/>
    </row>
    <row r="26" spans="1:124" ht="18">
      <c r="A26" s="129" t="s">
        <v>59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>COUNTIF(B6:B26,"sim")</f>
        <v>0</v>
      </c>
      <c r="C27" s="103">
        <f>COUNTIF(C6:C26,"sim")</f>
        <v>0</v>
      </c>
      <c r="D27" s="103">
        <f>COUNTIF(D6:D26,"sim")</f>
        <v>0</v>
      </c>
      <c r="K27" s="16">
        <f t="shared" ref="K27:AP27" si="0">COUNTIF(K6:K26,"sim")</f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si="0"/>
        <v>0</v>
      </c>
      <c r="AQ27" s="16">
        <f t="shared" ref="AQ27:BV27" si="1">COUNTIF(AQ6:AQ26,"sim")</f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si="1"/>
        <v>0</v>
      </c>
      <c r="BW27" s="16">
        <f t="shared" ref="BW27:DB27" si="2">COUNTIF(BW6:BW26,"sim")</f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si="2"/>
        <v>0</v>
      </c>
      <c r="DC27" s="16">
        <f t="shared" ref="DC27:DT27" si="3">COUNTIF(DC6:DC26,"sim")</f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  <c r="DT27" s="16">
        <f t="shared" si="3"/>
        <v>0</v>
      </c>
    </row>
    <row r="28" spans="1:124" s="18" customFormat="1" ht="15.75">
      <c r="A28" s="17" t="s">
        <v>19</v>
      </c>
      <c r="B28" s="18">
        <f>COUNTIF(B6:B26,"não")</f>
        <v>0</v>
      </c>
      <c r="C28" s="104">
        <f>COUNTIF(C6:C26,"não")</f>
        <v>0</v>
      </c>
      <c r="D28" s="104">
        <f>COUNTIF(D6:D26,"não")</f>
        <v>0</v>
      </c>
      <c r="K28" s="18">
        <f t="shared" ref="K28:AP28" si="4">COUNTIF(K6:K27,"não")</f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si="4"/>
        <v>0</v>
      </c>
      <c r="AQ28" s="18">
        <f t="shared" ref="AQ28:BV28" si="5">COUNTIF(AQ6:AQ27,"não")</f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si="5"/>
        <v>0</v>
      </c>
      <c r="BW28" s="18">
        <f t="shared" ref="BW28:DB28" si="6">COUNTIF(BW6:BW27,"não")</f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si="6"/>
        <v>0</v>
      </c>
      <c r="DC28" s="18">
        <f t="shared" ref="DC28:DT28" si="7">COUNTIF(DC6:DC27,"não")</f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  <c r="DT28" s="18">
        <f t="shared" si="7"/>
        <v>0</v>
      </c>
    </row>
    <row r="29" spans="1:124" ht="15.75">
      <c r="A29" s="14" t="s">
        <v>11</v>
      </c>
      <c r="B29">
        <f>COUNTIF(B6:B26,"ausente")</f>
        <v>0</v>
      </c>
      <c r="C29" s="40">
        <f>COUNTIF(C6:C26,"ausente")</f>
        <v>0</v>
      </c>
      <c r="D29" s="40">
        <f>COUNTIF(D6:D26,"ausente")</f>
        <v>0</v>
      </c>
      <c r="K29">
        <f t="shared" ref="K29:AP29" si="8">COUNTIF(K6:K28,"ausente")</f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ref="AQ29:BV29" si="9">COUNTIF(AQ6:AQ28,"ausente")</f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ref="BW29:DB29" si="10">COUNTIF(BW6:BW28,"ausente")</f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ref="DC29:DT29" si="11">COUNTIF(DC6:DC28,"ausente")</f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</row>
    <row r="30" spans="1:124" s="20" customFormat="1" ht="15.75">
      <c r="A30" s="19" t="s">
        <v>20</v>
      </c>
      <c r="B30" s="20">
        <f>COUNTIF(B6:B26,"abstenção")</f>
        <v>0</v>
      </c>
      <c r="C30" s="105">
        <f>COUNTIF(C6:C26,"abstenção")</f>
        <v>0</v>
      </c>
      <c r="D30" s="105">
        <f>COUNTIF(D6:D26,"abstenção")</f>
        <v>0</v>
      </c>
      <c r="K30" s="20">
        <f t="shared" ref="K30:AP30" si="12">COUNTIF(K10:K29,"abstenção")</f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si="12"/>
        <v>0</v>
      </c>
      <c r="AQ30" s="20">
        <f t="shared" ref="AQ30:BV30" si="13">COUNTIF(AQ10:AQ29,"abstenção")</f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si="13"/>
        <v>0</v>
      </c>
      <c r="BW30" s="20">
        <f t="shared" ref="BW30:DB30" si="14">COUNTIF(BW10:BW29,"abstenção")</f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si="14"/>
        <v>0</v>
      </c>
      <c r="DC30" s="20">
        <f t="shared" ref="DC30:DT30" si="15">COUNTIF(DC10:DC29,"abstenção")</f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  <c r="DT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5" sqref="F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107</v>
      </c>
      <c r="B2" s="2"/>
    </row>
    <row r="3" spans="1:3" ht="15.75" thickBot="1">
      <c r="A3" s="121" t="s">
        <v>108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121</v>
      </c>
    </row>
    <row r="5" spans="1:3" s="6" customFormat="1" ht="60.75" customHeight="1">
      <c r="A5" s="122"/>
      <c r="B5" s="111"/>
      <c r="C5" s="118" t="s">
        <v>122</v>
      </c>
    </row>
    <row r="6" spans="1:3" ht="15.75">
      <c r="A6" s="127" t="s">
        <v>48</v>
      </c>
      <c r="C6" s="107"/>
    </row>
    <row r="7" spans="1:3" ht="15.75">
      <c r="A7" s="127" t="s">
        <v>63</v>
      </c>
      <c r="C7" s="114"/>
    </row>
    <row r="8" spans="1:3" ht="15.75">
      <c r="A8" s="127" t="s">
        <v>51</v>
      </c>
      <c r="C8" s="107"/>
    </row>
    <row r="9" spans="1:3" ht="15.75">
      <c r="A9" s="128" t="s">
        <v>52</v>
      </c>
      <c r="C9" s="114"/>
    </row>
    <row r="10" spans="1:3" ht="15.75">
      <c r="A10" s="127" t="s">
        <v>27</v>
      </c>
      <c r="C10" s="107"/>
    </row>
    <row r="11" spans="1:3" ht="15.75">
      <c r="A11" s="127" t="s">
        <v>53</v>
      </c>
      <c r="C11" s="107"/>
    </row>
    <row r="12" spans="1:3" ht="15.75">
      <c r="A12" s="127" t="s">
        <v>22</v>
      </c>
      <c r="C12" s="107"/>
    </row>
    <row r="13" spans="1:3" ht="15.75">
      <c r="A13" s="127" t="s">
        <v>23</v>
      </c>
      <c r="C13" s="114"/>
    </row>
    <row r="14" spans="1:3" ht="15.75">
      <c r="A14" s="127" t="s">
        <v>54</v>
      </c>
      <c r="C14" s="114"/>
    </row>
    <row r="15" spans="1:3" ht="15.75">
      <c r="A15" s="127" t="s">
        <v>55</v>
      </c>
      <c r="B15" s="138"/>
      <c r="C15" s="107"/>
    </row>
    <row r="16" spans="1:3" ht="15.75">
      <c r="A16" s="127" t="s">
        <v>56</v>
      </c>
      <c r="C16" s="107"/>
    </row>
    <row r="17" spans="1:3" ht="15.75">
      <c r="A17" s="127" t="s">
        <v>101</v>
      </c>
      <c r="C17" s="107"/>
    </row>
    <row r="18" spans="1:3" ht="15.75">
      <c r="A18" s="127" t="s">
        <v>24</v>
      </c>
      <c r="C18" s="107"/>
    </row>
    <row r="19" spans="1:3" ht="15.75">
      <c r="A19" s="127" t="s">
        <v>57</v>
      </c>
      <c r="C19" s="107"/>
    </row>
    <row r="20" spans="1:3" ht="15.75">
      <c r="A20" s="127" t="s">
        <v>102</v>
      </c>
      <c r="C20" s="107"/>
    </row>
    <row r="21" spans="1:3" ht="15.75">
      <c r="A21" s="127" t="s">
        <v>91</v>
      </c>
      <c r="C21" s="107"/>
    </row>
    <row r="22" spans="1:3" ht="15.75">
      <c r="A22" s="127" t="s">
        <v>25</v>
      </c>
      <c r="C22" s="114"/>
    </row>
    <row r="23" spans="1:3" ht="15.75">
      <c r="A23" s="127" t="s">
        <v>58</v>
      </c>
      <c r="C23" s="114"/>
    </row>
    <row r="24" spans="1:3" ht="15.75">
      <c r="A24" s="127" t="s">
        <v>64</v>
      </c>
      <c r="C24" s="107"/>
    </row>
    <row r="25" spans="1:3" ht="15.75">
      <c r="A25" s="127" t="s">
        <v>85</v>
      </c>
      <c r="C25" s="107"/>
    </row>
    <row r="26" spans="1:3" ht="15.75">
      <c r="A26" s="127" t="s">
        <v>59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0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2" sqref="A2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107</v>
      </c>
      <c r="B2" s="2"/>
      <c r="C2" s="54"/>
      <c r="D2" s="54"/>
      <c r="E2" s="54"/>
    </row>
    <row r="3" spans="1:10" ht="15.75" thickBot="1">
      <c r="A3" s="121" t="s">
        <v>108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86</v>
      </c>
      <c r="G4" s="142" t="s">
        <v>87</v>
      </c>
      <c r="H4" s="142" t="s">
        <v>88</v>
      </c>
      <c r="I4" s="142" t="s">
        <v>89</v>
      </c>
      <c r="J4" s="142" t="s">
        <v>90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5.75">
      <c r="A6" s="127" t="s">
        <v>48</v>
      </c>
      <c r="C6" s="133"/>
      <c r="D6" s="133"/>
      <c r="E6" s="133"/>
      <c r="F6" s="40"/>
      <c r="G6" s="40"/>
      <c r="H6" s="40"/>
      <c r="I6" s="40"/>
      <c r="J6" s="40"/>
    </row>
    <row r="7" spans="1:10" ht="15.75">
      <c r="A7" s="127" t="s">
        <v>63</v>
      </c>
      <c r="C7" s="133"/>
      <c r="D7" s="133"/>
      <c r="E7" s="133"/>
      <c r="F7" s="40"/>
      <c r="G7" s="40"/>
      <c r="H7" s="40"/>
      <c r="I7" s="40"/>
      <c r="J7" s="40"/>
    </row>
    <row r="8" spans="1:10" ht="15.75">
      <c r="A8" s="127" t="s">
        <v>51</v>
      </c>
      <c r="C8" s="133"/>
      <c r="D8" s="133"/>
      <c r="E8" s="133"/>
      <c r="F8" s="40"/>
      <c r="G8" s="40"/>
      <c r="H8" s="40"/>
      <c r="I8" s="40"/>
      <c r="J8" s="40"/>
    </row>
    <row r="9" spans="1:10" ht="15.75">
      <c r="A9" s="128" t="s">
        <v>52</v>
      </c>
      <c r="C9" s="133"/>
      <c r="D9" s="133"/>
      <c r="E9" s="133"/>
      <c r="F9" s="40"/>
      <c r="G9" s="40"/>
      <c r="H9" s="40"/>
      <c r="I9" s="40"/>
      <c r="J9" s="40"/>
    </row>
    <row r="10" spans="1:10" ht="15.75">
      <c r="A10" s="127" t="s">
        <v>27</v>
      </c>
      <c r="C10" s="133"/>
      <c r="D10" s="133"/>
      <c r="E10" s="133"/>
      <c r="F10" s="40"/>
      <c r="G10" s="40"/>
      <c r="H10" s="40"/>
      <c r="I10" s="40"/>
      <c r="J10" s="40"/>
    </row>
    <row r="11" spans="1:10" ht="15.75">
      <c r="A11" s="127" t="s">
        <v>53</v>
      </c>
      <c r="C11" s="133"/>
      <c r="D11" s="133"/>
      <c r="E11" s="133"/>
      <c r="F11" s="40"/>
      <c r="G11" s="40"/>
      <c r="H11" s="40"/>
      <c r="I11" s="40"/>
      <c r="J11" s="40"/>
    </row>
    <row r="12" spans="1:10" ht="15.75">
      <c r="A12" s="127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5.75">
      <c r="A13" s="127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5.75">
      <c r="A14" s="127" t="s">
        <v>54</v>
      </c>
      <c r="C14" s="133"/>
      <c r="D14" s="133"/>
      <c r="E14" s="133"/>
      <c r="F14" s="40"/>
      <c r="G14" s="40"/>
      <c r="H14" s="40"/>
      <c r="I14" s="40"/>
      <c r="J14" s="40"/>
    </row>
    <row r="15" spans="1:10" ht="15.75">
      <c r="A15" s="127" t="s">
        <v>55</v>
      </c>
      <c r="C15" s="133"/>
      <c r="D15" s="133"/>
      <c r="E15" s="133"/>
      <c r="F15" s="40"/>
      <c r="G15" s="40"/>
      <c r="H15" s="40"/>
      <c r="I15" s="40"/>
      <c r="J15" s="40"/>
    </row>
    <row r="16" spans="1:10" ht="15.75">
      <c r="A16" s="127" t="s">
        <v>56</v>
      </c>
      <c r="C16" s="133"/>
      <c r="D16" s="133"/>
      <c r="E16" s="133"/>
      <c r="F16" s="40"/>
      <c r="G16" s="40"/>
      <c r="H16" s="40"/>
      <c r="I16" s="40"/>
      <c r="J16" s="40"/>
    </row>
    <row r="17" spans="1:10" ht="15.75">
      <c r="A17" s="127" t="s">
        <v>101</v>
      </c>
      <c r="C17" s="133"/>
      <c r="D17" s="133"/>
      <c r="E17" s="133"/>
      <c r="F17" s="40"/>
      <c r="G17" s="40"/>
      <c r="H17" s="40"/>
      <c r="I17" s="40"/>
      <c r="J17" s="40"/>
    </row>
    <row r="18" spans="1:10" ht="15.75">
      <c r="A18" s="127" t="s">
        <v>24</v>
      </c>
      <c r="C18" s="133"/>
      <c r="D18" s="133"/>
      <c r="E18" s="133"/>
      <c r="F18" s="40"/>
      <c r="G18" s="40"/>
      <c r="H18" s="40"/>
      <c r="I18" s="40"/>
      <c r="J18" s="40"/>
    </row>
    <row r="19" spans="1:10" ht="15.75">
      <c r="A19" s="127" t="s">
        <v>57</v>
      </c>
      <c r="C19" s="133"/>
      <c r="D19" s="133"/>
      <c r="E19" s="133"/>
      <c r="F19" s="40"/>
      <c r="G19" s="40"/>
      <c r="H19" s="40"/>
      <c r="I19" s="40"/>
      <c r="J19" s="40"/>
    </row>
    <row r="20" spans="1:10" ht="15.75">
      <c r="A20" s="127" t="s">
        <v>102</v>
      </c>
      <c r="C20" s="133"/>
      <c r="D20" s="133"/>
      <c r="E20" s="133"/>
      <c r="F20" s="40"/>
      <c r="G20" s="40"/>
      <c r="H20" s="40"/>
      <c r="I20" s="40"/>
      <c r="J20" s="40"/>
    </row>
    <row r="21" spans="1:10" ht="15.75">
      <c r="A21" s="127" t="s">
        <v>91</v>
      </c>
      <c r="C21" s="133"/>
      <c r="D21" s="133"/>
      <c r="E21" s="133"/>
      <c r="F21" s="40"/>
      <c r="G21" s="40"/>
      <c r="H21" s="40"/>
      <c r="I21" s="40"/>
      <c r="J21" s="40"/>
    </row>
    <row r="22" spans="1:10" ht="15.75">
      <c r="A22" s="127" t="s">
        <v>25</v>
      </c>
      <c r="C22" s="133"/>
      <c r="D22" s="133"/>
      <c r="E22" s="133"/>
      <c r="F22" s="40"/>
      <c r="G22" s="40"/>
      <c r="H22" s="40"/>
      <c r="I22" s="40"/>
      <c r="J22" s="40"/>
    </row>
    <row r="23" spans="1:10" ht="15.75">
      <c r="A23" s="127" t="s">
        <v>58</v>
      </c>
      <c r="C23" s="133"/>
      <c r="D23" s="133"/>
      <c r="E23" s="133"/>
      <c r="F23" s="40"/>
      <c r="G23" s="40"/>
      <c r="H23" s="40"/>
      <c r="I23" s="40"/>
      <c r="J23" s="40"/>
    </row>
    <row r="24" spans="1:10" ht="15.75">
      <c r="A24" s="127" t="s">
        <v>64</v>
      </c>
      <c r="C24" s="133"/>
      <c r="D24" s="133"/>
      <c r="E24" s="133"/>
      <c r="F24" s="40"/>
      <c r="G24" s="40"/>
      <c r="H24" s="40"/>
      <c r="I24" s="40"/>
      <c r="J24" s="40"/>
    </row>
    <row r="25" spans="1:10" ht="15.75">
      <c r="A25" s="127" t="s">
        <v>85</v>
      </c>
      <c r="C25" s="133"/>
      <c r="D25" s="133"/>
      <c r="E25" s="133"/>
      <c r="F25" s="40"/>
      <c r="G25" s="40"/>
      <c r="H25" s="40"/>
      <c r="I25" s="40"/>
      <c r="J25" s="40"/>
    </row>
    <row r="26" spans="1:10" ht="15.75">
      <c r="A26" s="127" t="s">
        <v>59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/>
      <c r="J28" s="134">
        <f>COUNTIF(J6:J26,"sim")</f>
        <v>0</v>
      </c>
    </row>
    <row r="29" spans="1:10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/>
      <c r="J29" s="135">
        <f>COUNTIF(J6:J26,"não")</f>
        <v>0</v>
      </c>
    </row>
    <row r="30" spans="1:10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/>
      <c r="J30" s="133">
        <f>COUNTIF(J6:J26,"ausente")</f>
        <v>0</v>
      </c>
    </row>
    <row r="31" spans="1:10" ht="15.75">
      <c r="A31" s="19" t="s">
        <v>20</v>
      </c>
      <c r="B31" s="20"/>
      <c r="C31" s="136">
        <f t="shared" ref="C31:J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/>
      <c r="J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A2" sqref="A2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107</v>
      </c>
      <c r="B2" s="2"/>
    </row>
    <row r="3" spans="1:23">
      <c r="A3" s="76" t="s">
        <v>108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101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102</v>
      </c>
    </row>
    <row r="21" spans="1:23" ht="18">
      <c r="A21" s="129" t="s">
        <v>91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2026-05-20T19:31:27Z</dcterms:modified>
</cp:coreProperties>
</file>