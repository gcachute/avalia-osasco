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675330CC-7896-4A4B-95C0-FF2C95C332B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E27" i="2"/>
  <c r="E28" i="2"/>
  <c r="E29" i="2"/>
  <c r="E30" i="2"/>
  <c r="F27" i="2"/>
  <c r="G27" i="2"/>
  <c r="F28" i="2"/>
  <c r="G28" i="2"/>
  <c r="F29" i="2"/>
  <c r="G29" i="2"/>
  <c r="F30" i="2"/>
  <c r="G30" i="2"/>
  <c r="E28" i="10"/>
  <c r="E29" i="10"/>
  <c r="E30" i="10"/>
  <c r="E31" i="10"/>
  <c r="C27" i="3"/>
  <c r="C28" i="3"/>
  <c r="C29" i="3"/>
  <c r="C30" i="3"/>
  <c r="H27" i="2"/>
  <c r="H28" i="2"/>
  <c r="H29" i="2"/>
  <c r="H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<sst xmlns="http://schemas.openxmlformats.org/spreadsheetml/2006/main" count="544" uniqueCount="129">
  <si>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</si>
  <si>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</si>
  <si>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</si>
  <si>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</si>
  <si>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</si>
  <si>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</si>
  <si>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</si>
  <si>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</si>
  <si>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</si>
  <si>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</si>
  <si>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</si>
  <si>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</si>
  <si>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</si>
  <si>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</si>
  <si>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</si>
  <si>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</si>
  <si>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</si>
  <si>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</si>
  <si>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</si>
  <si>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</si>
  <si>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</si>
  <si>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</si>
  <si>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</si>
  <si>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</si>
  <si>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</si>
  <si>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</si>
  <si>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</si>
  <si>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</si>
  <si>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</si>
  <si>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</si>
  <si>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</si>
  <si>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</si>
  <si>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</si>
  <si>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</si>
  <si>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</si>
  <si>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</si>
  <si>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</si>
  <si>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</si>
  <si>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</si>
  <si>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</si>
  <si>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</si>
  <si>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</si>
  <si>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</si>
  <si>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</si>
  <si>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</si>
  <si>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</si>
  <si>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</si>
  <si>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</si>
  <si>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</si>
  <si>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</si>
  <si>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</si>
  <si>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</si>
  <si>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</si>
  <si>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</si>
  <si>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</si>
  <si>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</si>
  <si>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</si>
  <si>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</si>
  <si>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</si>
  <si>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</si>
  <si>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</si>
  <si>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</si>
  <si>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</si>
  <si>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</si>
  <si>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</si>
  <si>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</si>
  <si>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</si>
  <si>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</si>
  <si>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</si>
  <si>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</si>
  <si>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</si>
  <si>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</si>
  <si>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</si>
  <si>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</si>
  <si>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</si>
  <si>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</si>
  <si>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</si>
  <si>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</si>
  <si>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</si>
  <si>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</si>
  <si>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</si>
  <si>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</si>
  <si>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</si>
  <si>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</si>
  <si>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</si>
  <si>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</si>
  <si>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</si>
  <si>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</si>
  <si>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</si>
  <si>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</si>
  <si>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</si>
  <si>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</si>
  <si>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</si>
  <si>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</si>
  <si>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</si>
  <si>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</si>
  <si>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</si>
  <si>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</si>
  <si>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pela ausência do autor, será pautada na próxima sessão.</t>
  </si>
  <si>
    <t xml:space="preserve"> 2ª chamada abertura da sessão 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</si>
  <si>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</si>
  <si>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MOÇÃO DE RECONHECIMENTO Nº 81/2026 – GUILHERME PRADO – </t>
    </r>
    <r>
      <rPr>
        <sz val="11"/>
        <color theme="1"/>
        <rFont val="Arial"/>
        <family val="2"/>
      </rPr>
      <t>À Guarda Civil Municipal Thayná Débora da Silva Nunes, por sua trajetória de superação pessoal, dedicação ao serviço público e relevante atuação na orientação e incentivo à formação e desenvolvimento de cidadãos.</t>
    </r>
  </si>
  <si>
    <r>
      <t xml:space="preserve">MOÇÃO DE RECONHECIMENTO Nº 82/2026 – ALEXANDRE CAPRIOTTI – </t>
    </r>
    <r>
      <rPr>
        <sz val="11"/>
        <color theme="1"/>
        <rFont val="Arial"/>
        <family val="2"/>
      </rPr>
      <t>Ao Pelotão de Oz por sua relevante contribuição ao esporte, à promoção da saúde e à valorização do município de Osasco em todo o Estado de São Paulo.</t>
    </r>
  </si>
  <si>
    <r>
      <t xml:space="preserve">MOÇÃO DE APOIO Nº 90/2026– STEPHANE ROSSI – </t>
    </r>
    <r>
      <rPr>
        <sz val="11"/>
        <color theme="1"/>
        <rFont val="Arial"/>
        <family val="2"/>
      </rPr>
      <t>Às deputadas que, de forma legítima e democrática, têm se posicionado em defesa da integridade e da finalidade da Comissão de Defesa dos Direitos da Mulher na Câmara dos Deputados.</t>
    </r>
  </si>
  <si>
    <t>na presidência</t>
  </si>
  <si>
    <t>não</t>
  </si>
  <si>
    <t>19ª SESSÃO ORDINÁRIA</t>
  </si>
  <si>
    <t>DIA 16 DE ABRIL DE 2026 - QUINTA-FEIRA</t>
  </si>
  <si>
    <t>Justificativa de ausência do Vereador Emerson Osasco.</t>
  </si>
  <si>
    <t>Justificativa de ausência do Vereador Fábio Chirinhan.</t>
  </si>
  <si>
    <t xml:space="preserve">Ofício Prolegis nº 202603089157 – Prefeito do Município de Osasco – Informa a sanção de Lei nº 5.467, de 14 de abril de 2026, que dispõe sobre a concessão de Título de Utilidade Pública ao Instituto Um Novo Tempo, de autoria da vereadora Elania Silva. </t>
  </si>
  <si>
    <t>Ofício Prolegis nº 202603089455 – Prefeito do Município de Osasco – Informa a sanção de Lei nº 5.468, de 14 de abril de 2026, que altera a Lei nº 5.110, de 12 de maio de 2021, que dispõe sobre a denominação do Hospital da Criança Dr. Celso Antônio Giglio, no Município de Osasco, de autoria do vereador Délbio Teruel.</t>
  </si>
  <si>
    <t>Ofício Prolegis nº 202603089468 – Prefeito do Município de Osasco – Informa a sanção de Lei nº 5.469, de 14 de abril de 2026 que Institui o Dia das Artes Marciais no âmbito do Município de Osasco, de autoria da vereadora Elsa Oliveira.</t>
  </si>
  <si>
    <t>Projeto de Lei nº 88/2026 – Heber do Juntoz – Institui diretrizes para a Política Municipal de Apoio à Maternidade Atípica no Município de Osasco.</t>
  </si>
  <si>
    <t>Projeto de Lei nº 89/2026 – Josias da Juco – Dispõe sobre alteração a Lei nº 4.855, de 7 de dezembro de 2017, para estender a prorrogação da licença-maternidade às servidoras públicas municipais que adotarem ou obtiverem guarda judicial para fins de adoção.</t>
  </si>
  <si>
    <r>
      <t>MOÇÃO DE APLAUSO Nº 75/2026 – LÚCIA DA SAÚDE –</t>
    </r>
    <r>
      <rPr>
        <sz val="11"/>
        <color theme="1"/>
        <rFont val="Arial"/>
        <family val="2"/>
      </rPr>
      <t xml:space="preserve"> À Unidade Básica de Saúde Irmã Águeda Maria Jaime, localizada no bairro Olaria, Osasco, em reconhecimento ao excelente desempenho alcançado na Avaliação da Atenção Primária à Saúde, realizada pelo Ministério da Saúde.</t>
    </r>
  </si>
  <si>
    <r>
      <t xml:space="preserve">MOÇÃO DE RECONHECIMENTO Nº 83/2026 – CARMÔNIO BASTOS – </t>
    </r>
    <r>
      <rPr>
        <sz val="11"/>
        <color theme="1"/>
        <rFont val="Arial"/>
        <family val="2"/>
      </rPr>
      <t>Ao sr. Marcos Paulo Machado, por sua trajetória de dedicação ao serviço público e por sua relevante atuação na área da saúde no Município de Osasco.</t>
    </r>
  </si>
  <si>
    <r>
      <t xml:space="preserve">MOÇÃO DE RECONHECIMENTO Nº 84/2026 – CARMÔNIO BASTOS – </t>
    </r>
    <r>
      <rPr>
        <sz val="11"/>
        <color theme="1"/>
        <rFont val="Arial"/>
        <family val="2"/>
      </rPr>
      <t>À Dra. Luciana Maria Nunes Ferreira para manifestar Reconhecimento, por sua relevante atuação na implantação, fortalecimento e humanização dos cuidados paliativos no Município de Osasco.</t>
    </r>
  </si>
  <si>
    <r>
      <t>MOÇÃO DE CONGRATULAÇÕES Nº 87/2026 – DELBIO TERUEL –</t>
    </r>
    <r>
      <rPr>
        <sz val="11"/>
        <color theme="1"/>
        <rFont val="Arial"/>
        <family val="2"/>
      </rPr>
      <t xml:space="preserve"> À Associação Atlética Vila Izabel, tradicional equipe do futebol de várzea do município de Osasco, pelos 78 anos de fundação, celebrados no dia 10 de abril.</t>
    </r>
  </si>
  <si>
    <r>
      <t xml:space="preserve">MOÇÃO DE CONGRATULAÇÕES Nº 88/2026 – DELBIO TERUEL – </t>
    </r>
    <r>
      <rPr>
        <sz val="11"/>
        <color theme="1"/>
        <rFont val="Arial"/>
        <family val="2"/>
      </rPr>
      <t>Ao C.R. Flamengo do Jardim Piratininga, tradicional equipe do futebol de várzea do município de Osasco, pelos 64 anos de fundação, comemorado no mês de abril.</t>
    </r>
  </si>
  <si>
    <r>
      <t xml:space="preserve">MOÇÃO DE RECONHECIMENTO Nº 89/2026 – LAÉRCIO MENDONÇA – </t>
    </r>
    <r>
      <rPr>
        <sz val="11"/>
        <color theme="1"/>
        <rFont val="Arial"/>
        <family val="2"/>
      </rPr>
      <t>Ao Senhor João Fernando Laurito Gagliardi por sua ilibada trajetória pessoal, acadêmica e profissional, bem como pelos relevantes serviços prestados à educação e à sociedade.</t>
    </r>
  </si>
  <si>
    <r>
      <t xml:space="preserve">MOÇÃO DE RECONHECIMENTO Nº 91/2026 – GABRIEL SAÚDE – </t>
    </r>
    <r>
      <rPr>
        <sz val="11"/>
        <color theme="1"/>
        <rFont val="Arial"/>
        <family val="2"/>
      </rPr>
      <t>À Secretaria de Saúde de Osasco, pela conquista do Prêmio David Capistrano, concedido pelo COSEMS-SP, em razão da relevante contribuição à saúde pública municipal.</t>
    </r>
  </si>
  <si>
    <r>
      <t xml:space="preserve">PROJETO DE LEI Nº 39/2026 – PREFEITO DO MUNICÍPIO DE OSASCO –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</si>
  <si>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40/2026 – PREFEITO DO MUNICÍPIO DE OSASCO –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</si>
  <si>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Nº 41/2026 – PREFEITO DO MUNICÍPIO DE OSASCO –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</si>
  <si>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35/2026 – JOSIAS DA JUCO – </t>
    </r>
    <r>
      <rPr>
        <sz val="14"/>
        <color theme="1"/>
        <rFont val="Arial"/>
        <family val="2"/>
      </rPr>
      <t>Institui o “Dia do Veterano Militar das Forças Armadas Brasileiras e Forças Auxiliares” no Município de Osasco e dá outras providências.</t>
    </r>
  </si>
  <si>
    <r>
      <t>PROJETO DE LEI Nº 205/2025 – DÉLBIO TERUEL -</t>
    </r>
    <r>
      <rPr>
        <sz val="11"/>
        <color theme="1"/>
        <rFont val="Arial"/>
        <family val="2"/>
      </rPr>
      <t xml:space="preserve"> Dispõe sobre a denominação do Campo Manoel Antônio Cabral localizado nas dependências do Parque Ecológico Manoel Manzano.</t>
    </r>
  </si>
  <si>
    <r>
      <t xml:space="preserve">PROJETO DE DECRETO LEGISLATIVO Nº 79/2025 – LAÉRCIO MENDONÇA - </t>
    </r>
    <r>
      <rPr>
        <sz val="11"/>
        <color theme="1"/>
        <rFont val="Arial"/>
        <family val="2"/>
      </rPr>
      <t>Dispõe sobre a concessão de Placa Comemorativa à Igreja Adventista do Sétimo Dia.</t>
    </r>
  </si>
  <si>
    <r>
      <t xml:space="preserve">PROJETO DE DECRETO LEGISLATIVO Nº 109/2025 – GABRIEL SAÚDE - </t>
    </r>
    <r>
      <rPr>
        <sz val="11"/>
        <color theme="1"/>
        <rFont val="Arial"/>
        <family val="2"/>
      </rPr>
      <t>Concede o Diploma de Líder Comunitário à Sra. Érica da Rocha.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</si>
</sst>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25" sqref="K2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106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107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 t="s">
        <v>99</v>
      </c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102"/>
      <c r="F5" s="88">
        <v>2</v>
      </c>
      <c r="G5" s="102" t="s">
        <v>53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1</v>
      </c>
      <c r="C6" s="62" t="s">
        <v>52</v>
      </c>
      <c r="D6" s="63"/>
      <c r="E6" s="102"/>
      <c r="F6" s="88">
        <v>2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2</v>
      </c>
      <c r="C7" s="102" t="s">
        <v>53</v>
      </c>
      <c r="D7" s="63"/>
      <c r="E7" s="62"/>
      <c r="F7" s="88">
        <v>2</v>
      </c>
      <c r="G7" s="102" t="s">
        <v>53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62"/>
      <c r="F13" s="88">
        <v>2</v>
      </c>
      <c r="G13" s="102" t="s">
        <v>53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6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6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1</v>
      </c>
      <c r="C19" s="62" t="s">
        <v>52</v>
      </c>
      <c r="D19" s="63"/>
      <c r="E19" s="10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10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/>
      <c r="E24" s="10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8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13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8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66</v>
      </c>
      <c r="V32" s="12"/>
      <c r="W32" s="12"/>
    </row>
    <row r="33" spans="1:23" ht="18">
      <c r="A33" s="34" t="s">
        <v>54</v>
      </c>
      <c r="V33" s="12"/>
      <c r="W33" s="12"/>
    </row>
    <row r="34" spans="1:23" ht="18">
      <c r="A34" s="34" t="s">
        <v>25</v>
      </c>
      <c r="V34" s="12"/>
      <c r="W34" s="12"/>
    </row>
    <row r="35" spans="1:23" ht="18">
      <c r="A35" s="34" t="s">
        <v>88</v>
      </c>
      <c r="V35" s="12"/>
      <c r="W35" s="12"/>
    </row>
    <row r="36" spans="1:23" ht="18">
      <c r="A36" s="34" t="s">
        <v>28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26</v>
      </c>
      <c r="V44" s="12"/>
      <c r="W44" s="12"/>
    </row>
    <row r="45" spans="1:23" ht="18">
      <c r="A45" s="34" t="s">
        <v>60</v>
      </c>
      <c r="V45" s="12"/>
      <c r="W45" s="12"/>
    </row>
    <row r="46" spans="1:23" ht="18">
      <c r="A46" s="34" t="s">
        <v>51</v>
      </c>
      <c r="V46" s="12"/>
      <c r="W46" s="12"/>
    </row>
    <row r="47" spans="1:23" ht="18">
      <c r="A47" s="34" t="s">
        <v>49</v>
      </c>
      <c r="V47" s="12"/>
      <c r="W47" s="12"/>
    </row>
    <row r="48" spans="1:23" ht="18">
      <c r="A48" s="34" t="s">
        <v>67</v>
      </c>
      <c r="B48" s="7"/>
      <c r="V48" s="12"/>
      <c r="W48" s="32"/>
    </row>
    <row r="49" spans="1:23" ht="18">
      <c r="A49" s="34" t="s">
        <v>66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 t="s">
        <v>28</v>
      </c>
    </row>
    <row r="56" spans="1:23" ht="18">
      <c r="A56" s="34" t="s">
        <v>58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V39"/>
  <sheetViews>
    <sheetView workbookViewId="0">
      <pane xSplit="1" topLeftCell="B1" activePane="topRight" state="frozen"/>
      <selection pane="topRight" activeCell="U12" sqref="U12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2" width="22.7109375" style="22" customWidth="1"/>
    <col min="23" max="16384" width="9.140625" style="22"/>
  </cols>
  <sheetData>
    <row r="1" spans="1:22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2" ht="15">
      <c r="A2" s="76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2" ht="17.25" customHeight="1">
      <c r="A3" s="76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2" ht="63" customHeight="1">
      <c r="A4" s="51" t="str">
        <f>'[1]MOÇÃO E REQUERIMENTO'!B7</f>
        <v>EXPEDIENTE</v>
      </c>
      <c r="B4" s="50" t="s">
        <v>45</v>
      </c>
      <c r="C4" s="117" t="s">
        <v>108</v>
      </c>
      <c r="D4" s="117" t="s">
        <v>109</v>
      </c>
      <c r="E4" s="117" t="s">
        <v>110</v>
      </c>
      <c r="F4" s="117" t="s">
        <v>111</v>
      </c>
      <c r="G4" s="117" t="s">
        <v>112</v>
      </c>
      <c r="H4" s="117" t="s">
        <v>113</v>
      </c>
      <c r="I4" s="117" t="s">
        <v>114</v>
      </c>
      <c r="J4" s="112" t="s">
        <v>34</v>
      </c>
      <c r="K4" s="124"/>
      <c r="L4" s="50" t="s">
        <v>27</v>
      </c>
      <c r="M4" s="84" t="s">
        <v>115</v>
      </c>
      <c r="N4" s="84" t="s">
        <v>101</v>
      </c>
      <c r="O4" s="84" t="s">
        <v>102</v>
      </c>
      <c r="P4" s="84" t="s">
        <v>116</v>
      </c>
      <c r="Q4" s="84" t="s">
        <v>117</v>
      </c>
      <c r="R4" s="84" t="s">
        <v>118</v>
      </c>
      <c r="S4" s="84" t="s">
        <v>119</v>
      </c>
      <c r="T4" s="84" t="s">
        <v>120</v>
      </c>
      <c r="U4" s="84" t="s">
        <v>121</v>
      </c>
      <c r="V4" s="84" t="s">
        <v>103</v>
      </c>
    </row>
    <row r="5" spans="1:22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3" t="s">
        <v>95</v>
      </c>
      <c r="N5" s="113" t="s">
        <v>95</v>
      </c>
      <c r="O5" s="118" t="s">
        <v>98</v>
      </c>
      <c r="P5" s="113" t="s">
        <v>95</v>
      </c>
      <c r="Q5" s="113" t="s">
        <v>95</v>
      </c>
      <c r="R5" s="118" t="s">
        <v>98</v>
      </c>
      <c r="S5" s="118" t="s">
        <v>98</v>
      </c>
      <c r="T5" s="113" t="s">
        <v>95</v>
      </c>
      <c r="U5" s="113" t="s">
        <v>95</v>
      </c>
      <c r="V5" s="113" t="s">
        <v>95</v>
      </c>
    </row>
    <row r="6" spans="1:22" ht="15.75">
      <c r="A6" s="127" t="s">
        <v>51</v>
      </c>
      <c r="L6" s="23"/>
    </row>
    <row r="7" spans="1:22" ht="15.75">
      <c r="A7" s="127" t="s">
        <v>66</v>
      </c>
      <c r="L7" s="23"/>
    </row>
    <row r="8" spans="1:22" ht="15.75">
      <c r="A8" s="127" t="s">
        <v>54</v>
      </c>
      <c r="L8" s="23"/>
    </row>
    <row r="9" spans="1:22" ht="15.75">
      <c r="A9" s="128" t="s">
        <v>55</v>
      </c>
      <c r="L9" s="23"/>
    </row>
    <row r="10" spans="1:22" ht="15.75">
      <c r="A10" s="127" t="s">
        <v>28</v>
      </c>
      <c r="L10" s="23"/>
    </row>
    <row r="11" spans="1:22" ht="15.75">
      <c r="A11" s="127" t="s">
        <v>56</v>
      </c>
      <c r="L11" s="23"/>
    </row>
    <row r="12" spans="1:22" ht="15.75">
      <c r="A12" s="127" t="s">
        <v>22</v>
      </c>
      <c r="L12" s="23"/>
    </row>
    <row r="13" spans="1:22" ht="15.75">
      <c r="A13" s="127" t="s">
        <v>23</v>
      </c>
      <c r="L13" s="23"/>
    </row>
    <row r="14" spans="1:22" ht="15.75">
      <c r="A14" s="127" t="s">
        <v>24</v>
      </c>
      <c r="L14" s="23"/>
    </row>
    <row r="15" spans="1:22" ht="15.75">
      <c r="A15" s="127" t="s">
        <v>57</v>
      </c>
      <c r="L15" s="23"/>
    </row>
    <row r="16" spans="1:22" ht="15.75">
      <c r="A16" s="127" t="s">
        <v>58</v>
      </c>
      <c r="L16" s="23"/>
    </row>
    <row r="17" spans="1:12" ht="15.75">
      <c r="A17" s="127" t="s">
        <v>59</v>
      </c>
      <c r="L17" s="23"/>
    </row>
    <row r="18" spans="1:12" ht="15.75">
      <c r="A18" s="127" t="s">
        <v>25</v>
      </c>
      <c r="L18" s="23"/>
    </row>
    <row r="19" spans="1:12" ht="15.75">
      <c r="A19" s="127" t="s">
        <v>60</v>
      </c>
      <c r="L19" s="23"/>
    </row>
    <row r="20" spans="1:12" ht="15.75">
      <c r="A20" s="127" t="s">
        <v>94</v>
      </c>
      <c r="L20" s="23"/>
    </row>
    <row r="21" spans="1:12" ht="15.75">
      <c r="A21" s="127" t="s">
        <v>26</v>
      </c>
      <c r="L21" s="23"/>
    </row>
    <row r="22" spans="1:12" ht="15.75">
      <c r="A22" s="127" t="s">
        <v>61</v>
      </c>
      <c r="L22" s="23"/>
    </row>
    <row r="23" spans="1:12" ht="15.75">
      <c r="A23" s="127" t="s">
        <v>67</v>
      </c>
      <c r="L23" s="23"/>
    </row>
    <row r="24" spans="1:12" ht="15.75">
      <c r="A24" s="127" t="s">
        <v>49</v>
      </c>
      <c r="L24" s="23"/>
    </row>
    <row r="25" spans="1:12" ht="15.75">
      <c r="A25" s="127" t="s">
        <v>88</v>
      </c>
      <c r="L25" s="23"/>
    </row>
    <row r="26" spans="1:12" ht="15.75">
      <c r="A26" s="127" t="s">
        <v>62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B1" activePane="topRight" state="frozen"/>
      <selection activeCell="A4" sqref="A4"/>
      <selection pane="topRight" activeCell="H4" sqref="H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106</v>
      </c>
      <c r="B2" s="49"/>
      <c r="C2" s="74"/>
    </row>
    <row r="3" spans="1:48" ht="17.25" customHeight="1">
      <c r="A3" s="76" t="s">
        <v>107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122</v>
      </c>
      <c r="F4" s="140" t="s">
        <v>123</v>
      </c>
      <c r="G4" s="140" t="s">
        <v>124</v>
      </c>
      <c r="H4" s="140" t="s">
        <v>125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37</v>
      </c>
      <c r="B5" s="78"/>
      <c r="C5" s="144"/>
      <c r="D5" s="79"/>
      <c r="E5" s="146" t="s">
        <v>96</v>
      </c>
      <c r="F5" s="146" t="s">
        <v>96</v>
      </c>
      <c r="G5" s="146" t="s">
        <v>96</v>
      </c>
      <c r="H5" s="113" t="s">
        <v>100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51</v>
      </c>
      <c r="C6" s="107"/>
      <c r="E6" s="107" t="s">
        <v>97</v>
      </c>
      <c r="F6" s="107" t="s">
        <v>97</v>
      </c>
      <c r="G6" s="107" t="s">
        <v>97</v>
      </c>
      <c r="H6" s="107"/>
      <c r="I6" s="143"/>
    </row>
    <row r="7" spans="1:48" ht="20.25">
      <c r="A7" s="46" t="s">
        <v>66</v>
      </c>
      <c r="C7" s="107"/>
      <c r="E7" s="114" t="s">
        <v>53</v>
      </c>
      <c r="F7" s="114" t="s">
        <v>53</v>
      </c>
      <c r="G7" s="114" t="s">
        <v>53</v>
      </c>
      <c r="H7" s="114"/>
    </row>
    <row r="8" spans="1:48" ht="20.25">
      <c r="A8" s="46" t="s">
        <v>54</v>
      </c>
      <c r="C8" s="107"/>
      <c r="E8" s="107" t="s">
        <v>97</v>
      </c>
      <c r="F8" s="107" t="s">
        <v>97</v>
      </c>
      <c r="G8" s="107" t="s">
        <v>97</v>
      </c>
      <c r="H8" s="107"/>
    </row>
    <row r="9" spans="1:48" ht="20.25">
      <c r="A9" s="82" t="s">
        <v>55</v>
      </c>
      <c r="C9" s="114"/>
      <c r="E9" s="114" t="s">
        <v>104</v>
      </c>
      <c r="F9" s="114" t="s">
        <v>104</v>
      </c>
      <c r="G9" s="114" t="s">
        <v>104</v>
      </c>
      <c r="H9" s="114"/>
    </row>
    <row r="10" spans="1:48" ht="20.25">
      <c r="A10" s="46" t="s">
        <v>28</v>
      </c>
      <c r="C10" s="114"/>
      <c r="E10" s="107" t="s">
        <v>97</v>
      </c>
      <c r="F10" s="107" t="s">
        <v>97</v>
      </c>
      <c r="G10" s="107" t="s">
        <v>97</v>
      </c>
      <c r="H10" s="107"/>
    </row>
    <row r="11" spans="1:48" ht="20.25">
      <c r="A11" s="46" t="s">
        <v>56</v>
      </c>
      <c r="C11" s="114"/>
      <c r="E11" s="107" t="s">
        <v>97</v>
      </c>
      <c r="F11" s="107" t="s">
        <v>97</v>
      </c>
      <c r="G11" s="107" t="s">
        <v>97</v>
      </c>
      <c r="H11" s="107"/>
    </row>
    <row r="12" spans="1:48" ht="20.25">
      <c r="A12" s="46" t="s">
        <v>22</v>
      </c>
      <c r="C12" s="107"/>
      <c r="E12" s="107" t="s">
        <v>97</v>
      </c>
      <c r="F12" s="107" t="s">
        <v>97</v>
      </c>
      <c r="G12" s="107" t="s">
        <v>97</v>
      </c>
      <c r="H12" s="107"/>
    </row>
    <row r="13" spans="1:48" ht="20.25">
      <c r="A13" s="46" t="s">
        <v>23</v>
      </c>
      <c r="C13" s="114"/>
      <c r="E13" s="114" t="s">
        <v>53</v>
      </c>
      <c r="F13" s="114" t="s">
        <v>53</v>
      </c>
      <c r="G13" s="114" t="s">
        <v>53</v>
      </c>
      <c r="H13" s="107"/>
    </row>
    <row r="14" spans="1:48" ht="20.25">
      <c r="A14" s="46" t="s">
        <v>24</v>
      </c>
      <c r="C14" s="107"/>
      <c r="E14" s="114" t="s">
        <v>53</v>
      </c>
      <c r="F14" s="114" t="s">
        <v>53</v>
      </c>
      <c r="G14" s="114" t="s">
        <v>53</v>
      </c>
      <c r="H14" s="107"/>
    </row>
    <row r="15" spans="1:48" ht="20.25">
      <c r="A15" s="46" t="s">
        <v>57</v>
      </c>
      <c r="C15" s="114"/>
      <c r="E15" s="107" t="s">
        <v>97</v>
      </c>
      <c r="F15" s="107" t="s">
        <v>97</v>
      </c>
      <c r="G15" s="107" t="s">
        <v>97</v>
      </c>
      <c r="H15" s="114"/>
    </row>
    <row r="16" spans="1:48" ht="20.25">
      <c r="A16" s="46" t="s">
        <v>58</v>
      </c>
      <c r="C16" s="107"/>
      <c r="E16" s="107" t="s">
        <v>97</v>
      </c>
      <c r="F16" s="107" t="s">
        <v>97</v>
      </c>
      <c r="G16" s="107" t="s">
        <v>97</v>
      </c>
      <c r="H16" s="107"/>
    </row>
    <row r="17" spans="1:133" ht="20.25">
      <c r="A17" s="46" t="s">
        <v>59</v>
      </c>
      <c r="C17" s="145"/>
      <c r="E17" s="145" t="s">
        <v>105</v>
      </c>
      <c r="F17" s="107" t="s">
        <v>97</v>
      </c>
      <c r="G17" s="107" t="s">
        <v>97</v>
      </c>
      <c r="H17" s="107"/>
    </row>
    <row r="18" spans="1:133" ht="20.25">
      <c r="A18" s="46" t="s">
        <v>25</v>
      </c>
      <c r="C18" s="107"/>
      <c r="E18" s="107" t="s">
        <v>97</v>
      </c>
      <c r="F18" s="107" t="s">
        <v>97</v>
      </c>
      <c r="G18" s="107" t="s">
        <v>97</v>
      </c>
      <c r="H18" s="107"/>
    </row>
    <row r="19" spans="1:133" ht="20.25">
      <c r="A19" s="46" t="s">
        <v>60</v>
      </c>
      <c r="C19" s="107"/>
      <c r="E19" s="107" t="s">
        <v>97</v>
      </c>
      <c r="F19" s="107" t="s">
        <v>97</v>
      </c>
      <c r="G19" s="107" t="s">
        <v>97</v>
      </c>
      <c r="H19" s="107"/>
    </row>
    <row r="20" spans="1:133" ht="20.25">
      <c r="A20" s="46" t="s">
        <v>94</v>
      </c>
      <c r="C20" s="107"/>
      <c r="E20" s="107" t="s">
        <v>97</v>
      </c>
      <c r="F20" s="107" t="s">
        <v>97</v>
      </c>
      <c r="G20" s="107" t="s">
        <v>97</v>
      </c>
      <c r="H20" s="107"/>
    </row>
    <row r="21" spans="1:133" ht="20.25">
      <c r="A21" s="46" t="s">
        <v>26</v>
      </c>
      <c r="C21" s="107"/>
      <c r="E21" s="114" t="s">
        <v>53</v>
      </c>
      <c r="F21" s="114" t="s">
        <v>53</v>
      </c>
      <c r="G21" s="114" t="s">
        <v>53</v>
      </c>
      <c r="H21" s="114"/>
    </row>
    <row r="22" spans="1:133" ht="20.25">
      <c r="A22" s="46" t="s">
        <v>61</v>
      </c>
      <c r="C22" s="107"/>
      <c r="E22" s="107" t="s">
        <v>97</v>
      </c>
      <c r="F22" s="107" t="s">
        <v>97</v>
      </c>
      <c r="G22" s="107" t="s">
        <v>97</v>
      </c>
      <c r="H22" s="107"/>
    </row>
    <row r="23" spans="1:133" ht="20.25">
      <c r="A23" s="46" t="s">
        <v>67</v>
      </c>
      <c r="C23" s="114"/>
      <c r="E23" s="114" t="s">
        <v>53</v>
      </c>
      <c r="F23" s="114" t="s">
        <v>53</v>
      </c>
      <c r="G23" s="114" t="s">
        <v>53</v>
      </c>
      <c r="H23" s="107"/>
    </row>
    <row r="24" spans="1:133" ht="20.25">
      <c r="A24" s="46" t="s">
        <v>49</v>
      </c>
      <c r="C24" s="107"/>
      <c r="E24" s="107" t="s">
        <v>97</v>
      </c>
      <c r="F24" s="107" t="s">
        <v>97</v>
      </c>
      <c r="G24" s="107" t="s">
        <v>97</v>
      </c>
      <c r="H24" s="107"/>
    </row>
    <row r="25" spans="1:133" ht="20.25">
      <c r="A25" s="46" t="s">
        <v>88</v>
      </c>
      <c r="C25" s="107"/>
      <c r="E25" s="107" t="s">
        <v>97</v>
      </c>
      <c r="F25" s="107" t="s">
        <v>97</v>
      </c>
      <c r="G25" s="107" t="s">
        <v>97</v>
      </c>
      <c r="H25" s="107"/>
    </row>
    <row r="26" spans="1:133" ht="20.25">
      <c r="A26" s="46" t="s">
        <v>62</v>
      </c>
      <c r="C26" s="107"/>
      <c r="E26" s="114" t="s">
        <v>53</v>
      </c>
      <c r="F26" s="114" t="s">
        <v>53</v>
      </c>
      <c r="G26" s="114" t="s">
        <v>53</v>
      </c>
      <c r="H26" s="107"/>
    </row>
    <row r="27" spans="1:133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13</v>
      </c>
      <c r="F27" s="103">
        <f t="shared" ref="F27:G27" si="2">COUNTIF(F6:F26,"sim")</f>
        <v>14</v>
      </c>
      <c r="G27" s="103">
        <f t="shared" si="2"/>
        <v>14</v>
      </c>
      <c r="H27" s="103">
        <f>COUNTIF(H6:H26,"sim")</f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 t="shared" ref="C28" si="3">COUNTIF(C6:C26,"não")</f>
        <v>0</v>
      </c>
      <c r="D28"/>
      <c r="E28" s="104">
        <f t="shared" ref="E28" si="4">COUNTIF(E6:E26,"não")</f>
        <v>1</v>
      </c>
      <c r="F28" s="104">
        <f t="shared" ref="F28:H28" si="5">COUNTIF(F6:F26,"não")</f>
        <v>0</v>
      </c>
      <c r="G28" s="104">
        <f t="shared" si="5"/>
        <v>0</v>
      </c>
      <c r="H28" s="104">
        <f t="shared" si="5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 t="shared" ref="C29" si="6">COUNTIF(C6:C26,"ausente")</f>
        <v>0</v>
      </c>
      <c r="E29" s="40">
        <f t="shared" ref="E29" si="7">COUNTIF(E6:E26,"ausente")</f>
        <v>6</v>
      </c>
      <c r="F29" s="40">
        <f t="shared" ref="F29:H29" si="8">COUNTIF(F6:F26,"ausente")</f>
        <v>6</v>
      </c>
      <c r="G29" s="40">
        <f t="shared" si="8"/>
        <v>6</v>
      </c>
      <c r="H29" s="40">
        <f t="shared" si="8"/>
        <v>0</v>
      </c>
    </row>
    <row r="30" spans="1:133" s="20" customFormat="1" ht="15.75">
      <c r="A30" s="19" t="s">
        <v>20</v>
      </c>
      <c r="B30"/>
      <c r="C30" s="105">
        <f t="shared" ref="C30" si="9">COUNTIF(C6:C26,"abstenção")</f>
        <v>0</v>
      </c>
      <c r="D30"/>
      <c r="E30" s="105">
        <f t="shared" ref="E30" si="10">COUNTIF(E6:E26,"abstenção")</f>
        <v>0</v>
      </c>
      <c r="F30" s="105">
        <f t="shared" ref="F30:H30" si="11">COUNTIF(F6:F26,"abstenção")</f>
        <v>0</v>
      </c>
      <c r="G30" s="105">
        <f t="shared" si="11"/>
        <v>0</v>
      </c>
      <c r="H30" s="105">
        <f t="shared" si="11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5" sqref="E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3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66</v>
      </c>
      <c r="C7" s="114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07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14"/>
      <c r="U15" s="7"/>
      <c r="V15" s="7"/>
    </row>
    <row r="16" spans="1:29" ht="18">
      <c r="A16" s="129" t="s">
        <v>58</v>
      </c>
      <c r="C16" s="107"/>
      <c r="U16" s="7"/>
      <c r="V16" s="7"/>
    </row>
    <row r="17" spans="1:123" ht="15" customHeight="1">
      <c r="A17" s="129" t="s">
        <v>59</v>
      </c>
      <c r="C17" s="107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26</v>
      </c>
      <c r="C21" s="114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67</v>
      </c>
      <c r="C23" s="107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88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3">
        <f t="shared" si="0"/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4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5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E1" sqref="E1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106</v>
      </c>
      <c r="B2" s="2"/>
    </row>
    <row r="3" spans="1:5" ht="15.75" thickBot="1">
      <c r="A3" s="121" t="s">
        <v>107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126</v>
      </c>
      <c r="D4" s="139" t="s">
        <v>127</v>
      </c>
      <c r="E4" s="139" t="s">
        <v>128</v>
      </c>
    </row>
    <row r="5" spans="1:5" s="6" customFormat="1" ht="60.75" customHeight="1">
      <c r="A5" s="122"/>
      <c r="B5" s="111"/>
      <c r="C5" s="113" t="s">
        <v>96</v>
      </c>
      <c r="D5" s="113" t="s">
        <v>96</v>
      </c>
      <c r="E5" s="113" t="s">
        <v>96</v>
      </c>
    </row>
    <row r="6" spans="1:5" ht="15.75">
      <c r="A6" s="127" t="s">
        <v>51</v>
      </c>
      <c r="C6" s="107" t="s">
        <v>97</v>
      </c>
      <c r="D6" s="107" t="s">
        <v>97</v>
      </c>
      <c r="E6" s="107" t="s">
        <v>97</v>
      </c>
    </row>
    <row r="7" spans="1:5" ht="15.75">
      <c r="A7" s="127" t="s">
        <v>66</v>
      </c>
      <c r="C7" s="114" t="s">
        <v>53</v>
      </c>
      <c r="D7" s="114" t="s">
        <v>53</v>
      </c>
      <c r="E7" s="114" t="s">
        <v>53</v>
      </c>
    </row>
    <row r="8" spans="1:5" ht="15.75">
      <c r="A8" s="127" t="s">
        <v>54</v>
      </c>
      <c r="C8" s="107" t="s">
        <v>97</v>
      </c>
      <c r="D8" s="107" t="s">
        <v>97</v>
      </c>
      <c r="E8" s="107" t="s">
        <v>97</v>
      </c>
    </row>
    <row r="9" spans="1:5" ht="15.75">
      <c r="A9" s="128" t="s">
        <v>55</v>
      </c>
      <c r="C9" s="114" t="s">
        <v>104</v>
      </c>
      <c r="D9" s="107" t="s">
        <v>97</v>
      </c>
      <c r="E9" s="107" t="s">
        <v>97</v>
      </c>
    </row>
    <row r="10" spans="1:5" ht="15.75">
      <c r="A10" s="127" t="s">
        <v>28</v>
      </c>
      <c r="C10" s="107" t="s">
        <v>97</v>
      </c>
      <c r="D10" s="107" t="s">
        <v>97</v>
      </c>
      <c r="E10" s="107" t="s">
        <v>97</v>
      </c>
    </row>
    <row r="11" spans="1:5" ht="15.75">
      <c r="A11" s="127" t="s">
        <v>56</v>
      </c>
      <c r="C11" s="107" t="s">
        <v>97</v>
      </c>
      <c r="D11" s="107" t="s">
        <v>97</v>
      </c>
      <c r="E11" s="107" t="s">
        <v>97</v>
      </c>
    </row>
    <row r="12" spans="1:5" ht="15.75">
      <c r="A12" s="127" t="s">
        <v>22</v>
      </c>
      <c r="C12" s="107" t="s">
        <v>97</v>
      </c>
      <c r="D12" s="107" t="s">
        <v>97</v>
      </c>
      <c r="E12" s="107" t="s">
        <v>97</v>
      </c>
    </row>
    <row r="13" spans="1:5" ht="15.75">
      <c r="A13" s="127" t="s">
        <v>23</v>
      </c>
      <c r="B13" s="138"/>
      <c r="C13" s="114" t="s">
        <v>53</v>
      </c>
      <c r="D13" s="114" t="s">
        <v>53</v>
      </c>
      <c r="E13" s="114" t="s">
        <v>53</v>
      </c>
    </row>
    <row r="14" spans="1:5" ht="15.75">
      <c r="A14" s="127" t="s">
        <v>24</v>
      </c>
      <c r="C14" s="114" t="s">
        <v>53</v>
      </c>
      <c r="D14" s="114" t="s">
        <v>53</v>
      </c>
      <c r="E14" s="114" t="s">
        <v>53</v>
      </c>
    </row>
    <row r="15" spans="1:5" ht="15.75">
      <c r="A15" s="127" t="s">
        <v>57</v>
      </c>
      <c r="C15" s="107" t="s">
        <v>97</v>
      </c>
      <c r="D15" s="107" t="s">
        <v>97</v>
      </c>
      <c r="E15" s="107" t="s">
        <v>97</v>
      </c>
    </row>
    <row r="16" spans="1:5" ht="15.75">
      <c r="A16" s="127" t="s">
        <v>58</v>
      </c>
      <c r="C16" s="107" t="s">
        <v>97</v>
      </c>
      <c r="D16" s="107" t="s">
        <v>97</v>
      </c>
      <c r="E16" s="107" t="s">
        <v>97</v>
      </c>
    </row>
    <row r="17" spans="1:5" ht="15.75">
      <c r="A17" s="127" t="s">
        <v>59</v>
      </c>
      <c r="C17" s="107" t="s">
        <v>97</v>
      </c>
      <c r="D17" s="107" t="s">
        <v>97</v>
      </c>
      <c r="E17" s="107" t="s">
        <v>97</v>
      </c>
    </row>
    <row r="18" spans="1:5" ht="15.75">
      <c r="A18" s="127" t="s">
        <v>25</v>
      </c>
      <c r="C18" s="107" t="s">
        <v>97</v>
      </c>
      <c r="D18" s="107" t="s">
        <v>97</v>
      </c>
      <c r="E18" s="107" t="s">
        <v>97</v>
      </c>
    </row>
    <row r="19" spans="1:5" ht="15.75">
      <c r="A19" s="127" t="s">
        <v>60</v>
      </c>
      <c r="C19" s="107" t="s">
        <v>97</v>
      </c>
      <c r="D19" s="107" t="s">
        <v>97</v>
      </c>
      <c r="E19" s="107" t="s">
        <v>97</v>
      </c>
    </row>
    <row r="20" spans="1:5" ht="15.75">
      <c r="A20" s="127" t="s">
        <v>94</v>
      </c>
      <c r="C20" s="107" t="s">
        <v>97</v>
      </c>
      <c r="D20" s="107" t="s">
        <v>97</v>
      </c>
      <c r="E20" s="107" t="s">
        <v>97</v>
      </c>
    </row>
    <row r="21" spans="1:5" ht="15.75">
      <c r="A21" s="127" t="s">
        <v>26</v>
      </c>
      <c r="C21" s="114" t="s">
        <v>53</v>
      </c>
      <c r="D21" s="114" t="s">
        <v>53</v>
      </c>
      <c r="E21" s="114" t="s">
        <v>53</v>
      </c>
    </row>
    <row r="22" spans="1:5" ht="15.75">
      <c r="A22" s="127" t="s">
        <v>61</v>
      </c>
      <c r="C22" s="107" t="s">
        <v>97</v>
      </c>
      <c r="D22" s="107" t="s">
        <v>97</v>
      </c>
      <c r="E22" s="107" t="s">
        <v>97</v>
      </c>
    </row>
    <row r="23" spans="1:5" ht="15.75">
      <c r="A23" s="127" t="s">
        <v>67</v>
      </c>
      <c r="C23" s="114" t="s">
        <v>53</v>
      </c>
      <c r="D23" s="114" t="s">
        <v>53</v>
      </c>
      <c r="E23" s="114" t="s">
        <v>53</v>
      </c>
    </row>
    <row r="24" spans="1:5" ht="15.75">
      <c r="A24" s="127" t="s">
        <v>49</v>
      </c>
      <c r="C24" s="107" t="s">
        <v>97</v>
      </c>
      <c r="D24" s="107" t="s">
        <v>97</v>
      </c>
      <c r="E24" s="107" t="s">
        <v>97</v>
      </c>
    </row>
    <row r="25" spans="1:5" ht="15.75">
      <c r="A25" s="127" t="s">
        <v>88</v>
      </c>
      <c r="C25" s="107" t="s">
        <v>97</v>
      </c>
      <c r="D25" s="107" t="s">
        <v>97</v>
      </c>
      <c r="E25" s="107" t="s">
        <v>97</v>
      </c>
    </row>
    <row r="26" spans="1:5" ht="15.75">
      <c r="A26" s="127" t="s">
        <v>62</v>
      </c>
      <c r="C26" s="114" t="s">
        <v>53</v>
      </c>
      <c r="D26" s="114" t="s">
        <v>53</v>
      </c>
      <c r="E26" s="114" t="s">
        <v>53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14</v>
      </c>
      <c r="D28" s="103">
        <f t="shared" si="0"/>
        <v>15</v>
      </c>
      <c r="E28" s="103">
        <f t="shared" si="0"/>
        <v>15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6</v>
      </c>
      <c r="D30" s="40">
        <f t="shared" si="2"/>
        <v>6</v>
      </c>
      <c r="E30" s="40">
        <f t="shared" si="2"/>
        <v>6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106</v>
      </c>
      <c r="B2" s="2"/>
      <c r="C2" s="54"/>
      <c r="D2" s="54"/>
      <c r="E2" s="54"/>
    </row>
    <row r="3" spans="1:10" ht="15.75" thickBot="1">
      <c r="A3" s="121" t="s">
        <v>107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2026-04-23T14:22:25Z</dcterms:modified>
</cp:coreProperties>
</file>