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3740EF1-8077-4866-97B1-59680F116EF3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E27" i="2"/>
  <c r="F27" i="2"/>
  <c r="E28" i="2"/>
  <c r="F28" i="2"/>
  <c r="E29" i="2"/>
  <c r="F29" i="2"/>
  <c r="E30" i="2"/>
  <c r="F30" i="2"/>
  <c r="C27" i="3"/>
  <c r="C28" i="3"/>
  <c r="C29" i="3"/>
  <c r="C30" i="3"/>
  <c r="F28" i="10"/>
  <c r="F29" i="10"/>
  <c r="F30" i="10"/>
  <c r="F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<sst xmlns="http://schemas.openxmlformats.org/spreadsheetml/2006/main" count="485" uniqueCount="122">
  <si>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</si>
  <si>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</si>
  <si>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</si>
  <si>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</si>
  <si>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</si>
  <si>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</si>
  <si>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</si>
  <si>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</si>
  <si>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</si>
  <si>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</si>
  <si>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</si>
  <si>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</si>
  <si>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</si>
  <si>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</si>
  <si>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</si>
  <si>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</si>
  <si>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</si>
  <si>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</si>
  <si>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</si>
  <si>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</si>
  <si>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</si>
  <si>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</si>
  <si>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</si>
  <si>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</si>
  <si>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</si>
  <si>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</si>
  <si>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</si>
  <si>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</si>
  <si>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</si>
  <si>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</si>
  <si>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</si>
  <si>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</si>
  <si>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</si>
  <si>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</si>
  <si>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</si>
  <si>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</si>
  <si>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</si>
  <si>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</si>
  <si>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</si>
  <si>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</si>
  <si>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</si>
  <si>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</si>
  <si>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</si>
  <si>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</si>
  <si>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</si>
  <si>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</si>
  <si>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</si>
  <si>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</si>
  <si>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</si>
  <si>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</si>
  <si>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</si>
  <si>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</si>
  <si>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</si>
  <si>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</si>
  <si>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</si>
  <si>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</si>
  <si>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</si>
  <si>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</si>
  <si>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</si>
  <si>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</si>
  <si>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</si>
  <si>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</si>
  <si>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</si>
  <si>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</si>
  <si>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</si>
  <si>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</si>
  <si>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</si>
  <si>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</si>
  <si>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</si>
  <si>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</si>
  <si>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</si>
  <si>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</si>
  <si>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</si>
  <si>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</si>
  <si>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</si>
  <si>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</si>
  <si>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</si>
  <si>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</si>
  <si>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</si>
  <si>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</si>
  <si>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</si>
  <si>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</si>
  <si>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</si>
  <si>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</si>
  <si>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</si>
  <si>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</si>
  <si>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</si>
  <si>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</si>
  <si>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</si>
  <si>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</si>
  <si>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</si>
  <si>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</si>
  <si>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</si>
  <si>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</si>
  <si>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</si>
  <si>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</si>
  <si>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</si>
  <si>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</si>
  <si>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na presidência</t>
  </si>
  <si>
    <t>pela ausência do autor, será pautada na próxima sessão.</t>
  </si>
  <si>
    <t>pela ausência da autora, será pautada na próxima sessão.</t>
  </si>
  <si>
    <r>
      <t>MOÇÃO DE APLAUSO N.º 232/2026 – ALEXANDRE CAPRIOTTI –</t>
    </r>
    <r>
      <rPr>
        <sz val="11"/>
        <color theme="1"/>
        <rFont val="Arial"/>
        <family val="2"/>
      </rPr>
      <t xml:space="preserve"> Ao Sr. Josean do Nascimento Medeiros, por sua trajetória de vida, dedicação ao trabalho e contribuição para a comunidade de Osasco.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</si>
  <si>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</si>
  <si>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45ª SESSÃO ORDINÁRIA</t>
  </si>
  <si>
    <t>DIA 27 DE AGOSTO DE 2026 - QUINTA-FEIRA</t>
  </si>
  <si>
    <t>Justificativa de ausência do Vereador Heber do Juntoz.</t>
  </si>
  <si>
    <t>Justificativa de ausência da Vereadora Lúcia da Saúde.</t>
  </si>
  <si>
    <r>
      <t xml:space="preserve">PROJETO DE LEI Nº 192/2026 – Cantor Goleiro - </t>
    </r>
    <r>
      <rPr>
        <sz val="12"/>
        <color rgb="FF000000"/>
        <rFont val="Calibri"/>
        <family val="2"/>
      </rPr>
      <t xml:space="preserve">Dispõe sobre a Política Municipal de Prevenção e Combate à Adultização Infantil no Município de Osasco. </t>
    </r>
  </si>
  <si>
    <r>
      <t xml:space="preserve">PROJETO DE LEI Nº 195/2026 – Cantor Goleiro - </t>
    </r>
    <r>
      <rPr>
        <sz val="12"/>
        <color rgb="FF000000"/>
        <rFont val="Calibri"/>
        <family val="2"/>
      </rPr>
      <t>Dispõe sobre o fornecimento de leite com fórmulas infantis especiais gratuita para crianças até dois anos, inscritas no CAD Único, com intolerância à lactose ou alergias à proteína do leite, ou nas condições especificas no âmbito do Município de Osasco.</t>
    </r>
  </si>
  <si>
    <r>
      <t xml:space="preserve">PROJETO DE LEI Nº 196/2026 – Ralfi Silva - </t>
    </r>
    <r>
      <rPr>
        <sz val="12"/>
        <color rgb="FF000000"/>
        <rFont val="Calibri"/>
        <family val="2"/>
      </rPr>
      <t>Institui as diretrizes para a Política Municipal de Ampliação e Descentralização da Assistência Médico-Veterinária para cães e gatos no Município de Osasco e dá outras providências.</t>
    </r>
  </si>
  <si>
    <r>
      <t xml:space="preserve">PROJETO DE DECRETO LEGISLATIVO Nº 40/2026 – Elsa Oliveira- </t>
    </r>
    <r>
      <rPr>
        <sz val="12"/>
        <color rgb="FF000000"/>
        <rFont val="Calibri"/>
        <family val="2"/>
      </rPr>
      <t>Dispõe sobre a concessão de Cartão de Prata à Associação Esportiva e Cultural CT Garagem (ACTG).</t>
    </r>
  </si>
  <si>
    <r>
      <t xml:space="preserve">MOÇÃO DE APOIO N.º 223/2026 – LÚCIA DA SAÚDE – </t>
    </r>
    <r>
      <rPr>
        <sz val="11"/>
        <color theme="1"/>
        <rFont val="Arial"/>
        <family val="2"/>
      </rPr>
      <t>À “Semana Nacional da Pessoa com Deficiência Intelectual e Múltipla” celebrada anualmente no período de 21 a 28 de agosto.</t>
    </r>
  </si>
  <si>
    <r>
      <t>MOÇÃO DE CONGRATULAÇÕES N.º 229/2026 – LÚCIA DA SAÚDE –</t>
    </r>
    <r>
      <rPr>
        <sz val="11"/>
        <color theme="1"/>
        <rFont val="Arial"/>
        <family val="2"/>
      </rPr>
      <t xml:space="preserve"> Pelo “Dia do Psicólogo”, celebrado anualmente em 27 de agosto.</t>
    </r>
  </si>
  <si>
    <r>
      <t xml:space="preserve">MOÇÃO DE RECONHECIMENTO N.º 234/2026 – GUILHERME PRADO – </t>
    </r>
    <r>
      <rPr>
        <sz val="11"/>
        <color theme="1"/>
        <rFont val="Arial"/>
        <family val="2"/>
      </rPr>
      <t>Ao Sr. Bruno Henrique Chicoria Pereira, em razão de sua trajetória de dedicação ao serviço público municipal, e de sua contribuição no acolhimento, análise e encaminhamento das demandas relacionadas ao comércio, empreendedorismo, feiras, eventos e demais atividades desenvolvidas no município de Osasco.</t>
    </r>
  </si>
  <si>
    <r>
      <t xml:space="preserve">MOÇÃO DE APLAUSO N.º 235/2026 – BATISTA COMUNIDADE – </t>
    </r>
    <r>
      <rPr>
        <sz val="11"/>
        <color theme="1"/>
        <rFont val="Arial"/>
        <family val="2"/>
      </rPr>
      <t>Ao empresário e empreendedor Antônio Marcos de Sousa Ferreira, por sua trajetória exemplar de superação, e pela contribuição ao desenvolvimento econômico e social do município de Osasco por meio da SP Farma.</t>
    </r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</si>
  <si>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</si>
  <si>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pela ausência da autora, será pautado na próxima sessão.</t>
  </si>
  <si>
    <r>
      <t xml:space="preserve">PROJETO DE LEI N.º 143/2026 – SERGIO FONTELLAS - </t>
    </r>
    <r>
      <rPr>
        <sz val="14"/>
        <color theme="1"/>
        <rFont val="Arial"/>
        <family val="2"/>
      </rPr>
      <t>Institui no Calendário Oficial o Dia do Jovem Cristão, a ser comemorado anualmente em 21 de outubro.</t>
    </r>
  </si>
  <si>
    <r>
      <t xml:space="preserve">PROJETO DE LEI Nº. 100/2026 – CARMÔNIO BASTOS - </t>
    </r>
    <r>
      <rPr>
        <sz val="11"/>
        <color theme="1"/>
        <rFont val="Arial"/>
        <family val="2"/>
      </rPr>
      <t xml:space="preserve">Dispõe sobre a denominação do novo prédio da Câmara Municipal de Osasco. </t>
    </r>
  </si>
  <si>
    <t>EMENDA N.º 1/2026, DA CCJ AO 1.	PROJETO DE LEI Nº. 100/2026.</t>
  </si>
  <si>
    <r>
      <t xml:space="preserve">PROJETO DE RESOLUÇÃO Nº.  4/2025 – JOSIAS DA JUCO – </t>
    </r>
    <r>
      <rPr>
        <sz val="11"/>
        <color theme="1"/>
        <rFont val="Arial"/>
        <family val="2"/>
      </rPr>
      <t>Dispõe sobre a denominação de Sala das Comissões Permanentes Doutora Régia Maria Gouveia Sarmento.</t>
    </r>
  </si>
  <si>
    <r>
      <t xml:space="preserve">PROJETO DE DECRETO LEGISLATIVO Nº. 66/2023 – JOSIAS DA JUCO – </t>
    </r>
    <r>
      <rPr>
        <sz val="11"/>
        <color theme="1"/>
        <rFont val="Arial"/>
        <family val="2"/>
      </rPr>
      <t>Dispõe sobre a Concessão de Cartão de Prata a Escola Estadual Programa Ensino Integral José Ribeiro de Souza.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</si>
</sst>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23" sqref="K2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103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104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2</v>
      </c>
      <c r="G9" s="102" t="s">
        <v>48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2</v>
      </c>
      <c r="G10" s="102" t="s">
        <v>48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2</v>
      </c>
      <c r="C13" s="102" t="s">
        <v>48</v>
      </c>
      <c r="D13" s="63"/>
      <c r="E13" s="62"/>
      <c r="F13" s="88">
        <v>2</v>
      </c>
      <c r="G13" s="102" t="s">
        <v>48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1</v>
      </c>
      <c r="C18" s="62" t="s">
        <v>47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2</v>
      </c>
      <c r="K21" s="102" t="s">
        <v>48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12</v>
      </c>
      <c r="C26" s="96" t="s">
        <v>43</v>
      </c>
      <c r="D26" s="98"/>
      <c r="E26" s="96" t="s">
        <v>43</v>
      </c>
      <c r="F26" s="98">
        <v>12</v>
      </c>
      <c r="G26" s="96" t="s">
        <v>43</v>
      </c>
      <c r="H26" s="100"/>
      <c r="I26" s="101"/>
      <c r="J26" s="98">
        <v>12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44</v>
      </c>
      <c r="D27" s="98"/>
      <c r="E27" s="96" t="s">
        <v>44</v>
      </c>
      <c r="F27" s="98">
        <v>9</v>
      </c>
      <c r="G27" s="96" t="s">
        <v>44</v>
      </c>
      <c r="H27" s="100"/>
      <c r="I27" s="96"/>
      <c r="J27" s="98">
        <v>9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/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26</v>
      </c>
      <c r="V44" s="12"/>
      <c r="W44" s="12"/>
    </row>
    <row r="45" spans="1:23" ht="18">
      <c r="A45" s="34" t="s">
        <v>51</v>
      </c>
      <c r="V45" s="12"/>
      <c r="W45" s="12"/>
    </row>
    <row r="46" spans="1:23" ht="18">
      <c r="A46" s="34" t="s">
        <v>23</v>
      </c>
      <c r="V46" s="12"/>
      <c r="W46" s="12"/>
    </row>
    <row r="47" spans="1:23" ht="18">
      <c r="A47" s="34" t="s">
        <v>52</v>
      </c>
      <c r="V47" s="12"/>
      <c r="W47" s="12"/>
    </row>
    <row r="48" spans="1:23" ht="18">
      <c r="A48" s="34" t="s">
        <v>53</v>
      </c>
      <c r="B48" s="7"/>
      <c r="V48" s="12"/>
      <c r="W48" s="32"/>
    </row>
    <row r="49" spans="1:23" ht="18">
      <c r="A49" s="34" t="s">
        <v>82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53</v>
      </c>
    </row>
    <row r="56" spans="1:23" ht="18">
      <c r="A56" s="34" t="s">
        <v>24</v>
      </c>
    </row>
    <row r="57" spans="1:23" ht="18">
      <c r="A57" s="34" t="s">
        <v>60</v>
      </c>
    </row>
    <row r="58" spans="1:23" ht="18">
      <c r="A58" s="34" t="s">
        <v>23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workbookViewId="0">
      <pane xSplit="1" topLeftCell="B1" activePane="topRight" state="frozen"/>
      <selection pane="topRight" activeCell="O5" sqref="O5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16" width="22.7109375" style="22" customWidth="1"/>
    <col min="17" max="16384" width="9.140625" style="22"/>
  </cols>
  <sheetData>
    <row r="1" spans="1:1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16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</row>
    <row r="3" spans="1:16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</row>
    <row r="4" spans="1:16" ht="63" customHeight="1">
      <c r="A4" s="51" t="str">
        <f>'[1]MOÇÃO E REQUERIMENTO'!B7</f>
        <v>EXPEDIENTE</v>
      </c>
      <c r="B4" s="50" t="s">
        <v>42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2" t="s">
        <v>32</v>
      </c>
      <c r="J4" s="123"/>
      <c r="K4" s="50" t="s">
        <v>25</v>
      </c>
      <c r="L4" s="84" t="s">
        <v>111</v>
      </c>
      <c r="M4" s="84" t="s">
        <v>112</v>
      </c>
      <c r="N4" s="84" t="s">
        <v>101</v>
      </c>
      <c r="O4" s="84" t="s">
        <v>113</v>
      </c>
      <c r="P4" s="84" t="s">
        <v>114</v>
      </c>
    </row>
    <row r="5" spans="1:16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113"/>
      <c r="L5" s="149" t="s">
        <v>100</v>
      </c>
      <c r="M5" s="149" t="s">
        <v>100</v>
      </c>
      <c r="N5" s="149" t="s">
        <v>99</v>
      </c>
      <c r="O5" s="113" t="s">
        <v>84</v>
      </c>
      <c r="P5" s="113" t="s">
        <v>84</v>
      </c>
    </row>
    <row r="6" spans="1:16" ht="15.75">
      <c r="A6" s="126" t="s">
        <v>96</v>
      </c>
      <c r="K6" s="23"/>
    </row>
    <row r="7" spans="1:16" ht="15.75">
      <c r="A7" s="126" t="s">
        <v>60</v>
      </c>
      <c r="K7" s="23"/>
    </row>
    <row r="8" spans="1:16" ht="15.75">
      <c r="A8" s="126" t="s">
        <v>49</v>
      </c>
      <c r="K8" s="23"/>
    </row>
    <row r="9" spans="1:16" ht="15.75">
      <c r="A9" s="127" t="s">
        <v>50</v>
      </c>
      <c r="K9" s="23"/>
    </row>
    <row r="10" spans="1:16" ht="15.75">
      <c r="A10" s="126" t="s">
        <v>26</v>
      </c>
      <c r="K10" s="23"/>
    </row>
    <row r="11" spans="1:16" ht="15.75">
      <c r="A11" s="126" t="s">
        <v>51</v>
      </c>
      <c r="K11" s="23"/>
    </row>
    <row r="12" spans="1:16" ht="15.75">
      <c r="A12" s="126" t="s">
        <v>22</v>
      </c>
      <c r="K12" s="23"/>
    </row>
    <row r="13" spans="1:16" ht="15.75">
      <c r="A13" s="126" t="s">
        <v>23</v>
      </c>
      <c r="K13" s="23"/>
    </row>
    <row r="14" spans="1:16" ht="15.75">
      <c r="A14" s="126" t="s">
        <v>52</v>
      </c>
      <c r="K14" s="23"/>
    </row>
    <row r="15" spans="1:16" ht="15.75">
      <c r="A15" s="126" t="s">
        <v>53</v>
      </c>
      <c r="K15" s="23"/>
    </row>
    <row r="16" spans="1:16" ht="15.75">
      <c r="A16" s="126" t="s">
        <v>54</v>
      </c>
      <c r="K16" s="23"/>
    </row>
    <row r="17" spans="1:11" ht="15.75">
      <c r="A17" s="126" t="s">
        <v>89</v>
      </c>
      <c r="K17" s="23"/>
    </row>
    <row r="18" spans="1:11" ht="15.75">
      <c r="A18" s="126" t="s">
        <v>24</v>
      </c>
      <c r="K18" s="23"/>
    </row>
    <row r="19" spans="1:11" ht="15.75">
      <c r="A19" s="126" t="s">
        <v>55</v>
      </c>
      <c r="K19" s="23"/>
    </row>
    <row r="20" spans="1:11" ht="15.75">
      <c r="A20" s="126" t="s">
        <v>90</v>
      </c>
      <c r="K20" s="23"/>
    </row>
    <row r="21" spans="1:11" ht="15.75">
      <c r="A21" s="126" t="s">
        <v>83</v>
      </c>
      <c r="K21" s="23"/>
    </row>
    <row r="22" spans="1:11" ht="15.75">
      <c r="A22" s="126" t="s">
        <v>95</v>
      </c>
      <c r="K22" s="23"/>
    </row>
    <row r="23" spans="1:11" ht="15.75">
      <c r="A23" s="126" t="s">
        <v>97</v>
      </c>
      <c r="K23" s="23"/>
    </row>
    <row r="24" spans="1:11" ht="15.75">
      <c r="A24" s="126" t="s">
        <v>61</v>
      </c>
      <c r="K24" s="23"/>
    </row>
    <row r="25" spans="1:11" ht="15.75">
      <c r="A25" s="126" t="s">
        <v>82</v>
      </c>
      <c r="K25" s="23"/>
    </row>
    <row r="26" spans="1:11" ht="15.75">
      <c r="A26" s="126" t="s">
        <v>56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H5" sqref="H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103</v>
      </c>
      <c r="B2" s="49"/>
      <c r="C2" s="74"/>
    </row>
    <row r="3" spans="1:46" ht="17.25" customHeight="1">
      <c r="A3" s="76" t="s">
        <v>104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115</v>
      </c>
      <c r="F4" s="139" t="s">
        <v>117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35</v>
      </c>
      <c r="B5" s="78"/>
      <c r="C5" s="144"/>
      <c r="D5" s="79"/>
      <c r="E5" s="149" t="s">
        <v>116</v>
      </c>
      <c r="F5" s="144" t="s">
        <v>102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96</v>
      </c>
      <c r="C6" s="107"/>
      <c r="E6" s="107"/>
      <c r="F6" s="107"/>
      <c r="G6" s="142"/>
    </row>
    <row r="7" spans="1:46" ht="20.25">
      <c r="A7" s="46" t="s">
        <v>60</v>
      </c>
      <c r="C7" s="107"/>
      <c r="E7" s="107"/>
      <c r="F7" s="107"/>
    </row>
    <row r="8" spans="1:46" ht="20.25">
      <c r="A8" s="46" t="s">
        <v>49</v>
      </c>
      <c r="C8" s="107"/>
      <c r="E8" s="107"/>
      <c r="F8" s="107"/>
    </row>
    <row r="9" spans="1:46" ht="20.25">
      <c r="A9" s="82" t="s">
        <v>50</v>
      </c>
      <c r="C9" s="114"/>
      <c r="E9" s="114"/>
      <c r="F9" s="114"/>
    </row>
    <row r="10" spans="1:46" ht="20.25">
      <c r="A10" s="46" t="s">
        <v>26</v>
      </c>
      <c r="C10" s="107"/>
      <c r="E10" s="107"/>
      <c r="F10" s="107"/>
    </row>
    <row r="11" spans="1:46" ht="20.25">
      <c r="A11" s="46" t="s">
        <v>51</v>
      </c>
      <c r="C11" s="107"/>
      <c r="E11" s="107"/>
      <c r="F11" s="107"/>
    </row>
    <row r="12" spans="1:46" ht="20.25">
      <c r="A12" s="46" t="s">
        <v>22</v>
      </c>
      <c r="C12" s="114"/>
      <c r="E12" s="107"/>
      <c r="F12" s="107"/>
    </row>
    <row r="13" spans="1:46" ht="20.25">
      <c r="A13" s="46" t="s">
        <v>23</v>
      </c>
      <c r="C13" s="107"/>
      <c r="E13" s="114"/>
      <c r="F13" s="114"/>
    </row>
    <row r="14" spans="1:46" ht="20.25">
      <c r="A14" s="46" t="s">
        <v>52</v>
      </c>
      <c r="C14" s="107"/>
      <c r="E14" s="107"/>
      <c r="F14" s="107"/>
    </row>
    <row r="15" spans="1:46" ht="20.25">
      <c r="A15" s="46" t="s">
        <v>53</v>
      </c>
      <c r="C15" s="107"/>
      <c r="E15" s="114"/>
      <c r="F15" s="114"/>
    </row>
    <row r="16" spans="1:46" ht="20.25">
      <c r="A16" s="46" t="s">
        <v>54</v>
      </c>
      <c r="C16" s="143"/>
      <c r="E16" s="114"/>
      <c r="F16" s="114"/>
    </row>
    <row r="17" spans="1:131" ht="20.25">
      <c r="A17" s="46" t="s">
        <v>89</v>
      </c>
      <c r="C17" s="114"/>
      <c r="E17" s="107"/>
      <c r="F17" s="107"/>
    </row>
    <row r="18" spans="1:131" ht="20.25">
      <c r="A18" s="46" t="s">
        <v>24</v>
      </c>
      <c r="C18" s="107"/>
      <c r="E18" s="107"/>
      <c r="F18" s="107"/>
    </row>
    <row r="19" spans="1:131" ht="20.25">
      <c r="A19" s="46" t="s">
        <v>55</v>
      </c>
      <c r="C19" s="107"/>
      <c r="E19" s="107"/>
      <c r="F19" s="107"/>
    </row>
    <row r="20" spans="1:131" ht="20.25">
      <c r="A20" s="46" t="s">
        <v>90</v>
      </c>
      <c r="C20" s="114"/>
      <c r="E20" s="107"/>
      <c r="F20" s="107"/>
    </row>
    <row r="21" spans="1:131" ht="20.25">
      <c r="A21" s="46" t="s">
        <v>83</v>
      </c>
      <c r="C21" s="114"/>
      <c r="E21" s="107"/>
      <c r="F21" s="107"/>
    </row>
    <row r="22" spans="1:131" ht="20.25">
      <c r="A22" s="46" t="s">
        <v>95</v>
      </c>
      <c r="C22" s="107"/>
      <c r="E22" s="107"/>
      <c r="F22" s="107"/>
    </row>
    <row r="23" spans="1:131" ht="20.25">
      <c r="A23" s="46" t="s">
        <v>97</v>
      </c>
      <c r="C23" s="114"/>
      <c r="E23" s="107"/>
      <c r="F23" s="107"/>
    </row>
    <row r="24" spans="1:131" ht="20.25">
      <c r="A24" s="46" t="s">
        <v>61</v>
      </c>
      <c r="C24" s="107"/>
      <c r="E24" s="114"/>
      <c r="F24" s="114"/>
    </row>
    <row r="25" spans="1:131" ht="20.25">
      <c r="A25" s="46" t="s">
        <v>82</v>
      </c>
      <c r="C25" s="107"/>
      <c r="E25" s="107"/>
      <c r="F25" s="107"/>
    </row>
    <row r="26" spans="1:131" ht="20.25">
      <c r="A26" s="46" t="s">
        <v>56</v>
      </c>
      <c r="C26" s="107"/>
      <c r="E26" s="107"/>
      <c r="F26" s="107"/>
    </row>
    <row r="27" spans="1:131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F27" si="0">COUNTIF(E6:E26,"sim")</f>
        <v>0</v>
      </c>
      <c r="F27" s="103">
        <f t="shared" si="0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F28" si="1">COUNTIF(E6:E26,"não")</f>
        <v>0</v>
      </c>
      <c r="F28" s="104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 t="shared" ref="E29:F29" si="2">COUNTIF(E6:E26,"ausente")</f>
        <v>0</v>
      </c>
      <c r="F29" s="40">
        <f t="shared" si="2"/>
        <v>0</v>
      </c>
    </row>
    <row r="30" spans="1:131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F30" si="3">COUNTIF(E6:E26,"abstenção")</f>
        <v>0</v>
      </c>
      <c r="F30" s="105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4" sqref="C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96</v>
      </c>
      <c r="C6" s="107"/>
      <c r="U6" s="7"/>
      <c r="V6" s="7"/>
    </row>
    <row r="7" spans="1:29" ht="18">
      <c r="A7" s="128" t="s">
        <v>60</v>
      </c>
      <c r="C7" s="114"/>
      <c r="U7" s="7"/>
      <c r="V7" s="7"/>
    </row>
    <row r="8" spans="1:29" ht="18">
      <c r="A8" s="128" t="s">
        <v>49</v>
      </c>
      <c r="C8" s="107"/>
      <c r="U8" s="7"/>
      <c r="V8" s="7"/>
    </row>
    <row r="9" spans="1:29" ht="18">
      <c r="A9" s="129" t="s">
        <v>50</v>
      </c>
      <c r="C9" s="114"/>
      <c r="U9" s="7"/>
      <c r="V9" s="7"/>
    </row>
    <row r="10" spans="1:29" ht="18">
      <c r="A10" s="128" t="s">
        <v>26</v>
      </c>
      <c r="C10" s="107"/>
      <c r="U10" s="7"/>
      <c r="V10" s="7"/>
    </row>
    <row r="11" spans="1:29" ht="18">
      <c r="A11" s="128" t="s">
        <v>51</v>
      </c>
      <c r="C11" s="107"/>
      <c r="U11" s="7"/>
      <c r="V11" s="7"/>
    </row>
    <row r="12" spans="1:29" ht="18">
      <c r="A12" s="128" t="s">
        <v>22</v>
      </c>
      <c r="C12" s="114"/>
      <c r="U12" s="7"/>
      <c r="V12" s="7"/>
    </row>
    <row r="13" spans="1:29" ht="18">
      <c r="A13" s="128" t="s">
        <v>23</v>
      </c>
      <c r="C13" s="114"/>
      <c r="U13" s="7"/>
      <c r="V13" s="7"/>
    </row>
    <row r="14" spans="1:29" ht="18">
      <c r="A14" s="128" t="s">
        <v>52</v>
      </c>
      <c r="C14" s="107"/>
      <c r="U14" s="7"/>
      <c r="V14" s="7"/>
    </row>
    <row r="15" spans="1:29" ht="18">
      <c r="A15" s="128" t="s">
        <v>53</v>
      </c>
      <c r="C15" s="107"/>
      <c r="U15" s="7"/>
      <c r="V15" s="7"/>
    </row>
    <row r="16" spans="1:29" ht="18">
      <c r="A16" s="128" t="s">
        <v>54</v>
      </c>
      <c r="C16" s="114"/>
      <c r="U16" s="7"/>
      <c r="V16" s="7"/>
    </row>
    <row r="17" spans="1:123" ht="18">
      <c r="A17" s="128" t="s">
        <v>89</v>
      </c>
      <c r="C17" s="107"/>
      <c r="U17" s="7"/>
      <c r="V17" s="7"/>
    </row>
    <row r="18" spans="1:123" ht="15" customHeight="1">
      <c r="A18" s="128" t="s">
        <v>24</v>
      </c>
      <c r="C18" s="107"/>
      <c r="T18" s="8"/>
      <c r="U18" s="7"/>
      <c r="V18" s="7"/>
    </row>
    <row r="19" spans="1:123" ht="18">
      <c r="A19" s="128" t="s">
        <v>55</v>
      </c>
      <c r="C19" s="107"/>
      <c r="U19" s="7"/>
      <c r="V19" s="7"/>
    </row>
    <row r="20" spans="1:123" ht="18">
      <c r="A20" s="128" t="s">
        <v>90</v>
      </c>
      <c r="C20" s="107"/>
      <c r="U20" s="7"/>
      <c r="V20" s="7"/>
    </row>
    <row r="21" spans="1:123" ht="18">
      <c r="A21" s="128" t="s">
        <v>83</v>
      </c>
      <c r="C21" s="107"/>
      <c r="U21" s="7"/>
      <c r="V21" s="7"/>
    </row>
    <row r="22" spans="1:123" ht="18">
      <c r="A22" s="128" t="s">
        <v>95</v>
      </c>
      <c r="C22" s="107"/>
      <c r="U22" s="7"/>
      <c r="V22" s="7"/>
    </row>
    <row r="23" spans="1:123" ht="18">
      <c r="A23" s="128" t="s">
        <v>97</v>
      </c>
      <c r="C23" s="107"/>
      <c r="U23" s="7"/>
      <c r="V23" s="7"/>
    </row>
    <row r="24" spans="1:123" ht="18">
      <c r="A24" s="128" t="s">
        <v>61</v>
      </c>
      <c r="C24" s="107"/>
      <c r="U24" s="7"/>
      <c r="V24" s="7"/>
    </row>
    <row r="25" spans="1:123" ht="18">
      <c r="A25" s="128" t="s">
        <v>82</v>
      </c>
      <c r="C25" s="107"/>
      <c r="U25" s="7"/>
      <c r="V25" s="7"/>
    </row>
    <row r="26" spans="1:123" ht="18">
      <c r="A26" s="128" t="s">
        <v>56</v>
      </c>
      <c r="C26" s="107"/>
      <c r="U26" s="7"/>
      <c r="V26" s="7"/>
    </row>
    <row r="27" spans="1:123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6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7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8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H10" sqref="H10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103</v>
      </c>
      <c r="B2" s="2"/>
    </row>
    <row r="3" spans="1:6" ht="15.75" thickBot="1">
      <c r="A3" s="120" t="s">
        <v>104</v>
      </c>
      <c r="B3" s="2"/>
    </row>
    <row r="4" spans="1:6" ht="78.75" customHeight="1" thickBot="1">
      <c r="A4" s="119" t="s">
        <v>5</v>
      </c>
      <c r="B4" s="111" t="s">
        <v>21</v>
      </c>
      <c r="C4" s="138" t="s">
        <v>118</v>
      </c>
      <c r="D4" s="138" t="s">
        <v>119</v>
      </c>
      <c r="E4" s="138" t="s">
        <v>120</v>
      </c>
      <c r="F4" s="138" t="s">
        <v>121</v>
      </c>
    </row>
    <row r="5" spans="1:6" s="6" customFormat="1" ht="60.75" customHeight="1">
      <c r="A5" s="121"/>
      <c r="B5" s="111"/>
      <c r="C5" s="113" t="s">
        <v>87</v>
      </c>
      <c r="D5" s="113" t="s">
        <v>84</v>
      </c>
      <c r="E5" s="113" t="s">
        <v>87</v>
      </c>
      <c r="F5" s="113" t="s">
        <v>87</v>
      </c>
    </row>
    <row r="6" spans="1:6" ht="15.75">
      <c r="A6" s="126" t="s">
        <v>96</v>
      </c>
      <c r="C6" s="107" t="s">
        <v>88</v>
      </c>
      <c r="D6" s="107" t="s">
        <v>88</v>
      </c>
      <c r="E6" s="107" t="s">
        <v>88</v>
      </c>
      <c r="F6" s="107" t="s">
        <v>88</v>
      </c>
    </row>
    <row r="7" spans="1:6" ht="15.75">
      <c r="A7" s="126" t="s">
        <v>60</v>
      </c>
      <c r="C7" s="114" t="s">
        <v>48</v>
      </c>
      <c r="D7" s="114" t="s">
        <v>48</v>
      </c>
      <c r="E7" s="107" t="s">
        <v>88</v>
      </c>
      <c r="F7" s="107" t="s">
        <v>88</v>
      </c>
    </row>
    <row r="8" spans="1:6" ht="15.75">
      <c r="A8" s="126" t="s">
        <v>49</v>
      </c>
      <c r="C8" s="107" t="s">
        <v>88</v>
      </c>
      <c r="D8" s="107" t="s">
        <v>88</v>
      </c>
      <c r="E8" s="107" t="s">
        <v>88</v>
      </c>
      <c r="F8" s="107" t="s">
        <v>88</v>
      </c>
    </row>
    <row r="9" spans="1:6" ht="15.75">
      <c r="A9" s="127" t="s">
        <v>50</v>
      </c>
      <c r="C9" s="114" t="s">
        <v>98</v>
      </c>
      <c r="D9" s="114" t="s">
        <v>98</v>
      </c>
      <c r="E9" s="114" t="s">
        <v>98</v>
      </c>
      <c r="F9" s="107" t="s">
        <v>88</v>
      </c>
    </row>
    <row r="10" spans="1:6" ht="15.75">
      <c r="A10" s="126" t="s">
        <v>26</v>
      </c>
      <c r="C10" s="107" t="s">
        <v>88</v>
      </c>
      <c r="D10" s="107" t="s">
        <v>88</v>
      </c>
      <c r="E10" s="114" t="s">
        <v>48</v>
      </c>
      <c r="F10" s="107" t="s">
        <v>88</v>
      </c>
    </row>
    <row r="11" spans="1:6" ht="15.75">
      <c r="A11" s="126" t="s">
        <v>51</v>
      </c>
      <c r="C11" s="107" t="s">
        <v>88</v>
      </c>
      <c r="D11" s="107" t="s">
        <v>88</v>
      </c>
      <c r="E11" s="107" t="s">
        <v>88</v>
      </c>
      <c r="F11" s="107" t="s">
        <v>88</v>
      </c>
    </row>
    <row r="12" spans="1:6" ht="15.75">
      <c r="A12" s="126" t="s">
        <v>22</v>
      </c>
      <c r="C12" s="107" t="s">
        <v>88</v>
      </c>
      <c r="D12" s="107" t="s">
        <v>88</v>
      </c>
      <c r="E12" s="107" t="s">
        <v>88</v>
      </c>
      <c r="F12" s="107" t="s">
        <v>88</v>
      </c>
    </row>
    <row r="13" spans="1:6" ht="15.75">
      <c r="A13" s="126" t="s">
        <v>23</v>
      </c>
      <c r="C13" s="114" t="s">
        <v>48</v>
      </c>
      <c r="D13" s="114" t="s">
        <v>48</v>
      </c>
      <c r="E13" s="114" t="s">
        <v>48</v>
      </c>
      <c r="F13" s="107" t="s">
        <v>88</v>
      </c>
    </row>
    <row r="14" spans="1:6" ht="15.75">
      <c r="A14" s="126" t="s">
        <v>52</v>
      </c>
      <c r="C14" s="114" t="s">
        <v>48</v>
      </c>
      <c r="D14" s="114" t="s">
        <v>48</v>
      </c>
      <c r="E14" s="114" t="s">
        <v>48</v>
      </c>
      <c r="F14" s="114" t="s">
        <v>48</v>
      </c>
    </row>
    <row r="15" spans="1:6" ht="15.75">
      <c r="A15" s="126" t="s">
        <v>53</v>
      </c>
      <c r="B15" s="137"/>
      <c r="C15" s="114" t="s">
        <v>48</v>
      </c>
      <c r="D15" s="107" t="s">
        <v>88</v>
      </c>
      <c r="E15" s="107" t="s">
        <v>88</v>
      </c>
      <c r="F15" s="107" t="s">
        <v>88</v>
      </c>
    </row>
    <row r="16" spans="1:6" ht="15.75">
      <c r="A16" s="126" t="s">
        <v>54</v>
      </c>
      <c r="C16" s="114" t="s">
        <v>48</v>
      </c>
      <c r="D16" s="114" t="s">
        <v>48</v>
      </c>
      <c r="E16" s="114" t="s">
        <v>48</v>
      </c>
      <c r="F16" s="114" t="s">
        <v>48</v>
      </c>
    </row>
    <row r="17" spans="1:6" ht="15.75">
      <c r="A17" s="126" t="s">
        <v>89</v>
      </c>
      <c r="C17" s="107" t="s">
        <v>88</v>
      </c>
      <c r="D17" s="107" t="s">
        <v>88</v>
      </c>
      <c r="E17" s="107" t="s">
        <v>88</v>
      </c>
      <c r="F17" s="107" t="s">
        <v>88</v>
      </c>
    </row>
    <row r="18" spans="1:6" ht="15.75">
      <c r="A18" s="126" t="s">
        <v>24</v>
      </c>
      <c r="C18" s="107" t="s">
        <v>88</v>
      </c>
      <c r="D18" s="107" t="s">
        <v>88</v>
      </c>
      <c r="E18" s="107" t="s">
        <v>88</v>
      </c>
      <c r="F18" s="107" t="s">
        <v>88</v>
      </c>
    </row>
    <row r="19" spans="1:6" ht="15.75">
      <c r="A19" s="126" t="s">
        <v>55</v>
      </c>
      <c r="C19" s="107" t="s">
        <v>88</v>
      </c>
      <c r="D19" s="107" t="s">
        <v>88</v>
      </c>
      <c r="E19" s="107" t="s">
        <v>88</v>
      </c>
      <c r="F19" s="107" t="s">
        <v>88</v>
      </c>
    </row>
    <row r="20" spans="1:6" ht="15.75">
      <c r="A20" s="126" t="s">
        <v>90</v>
      </c>
      <c r="C20" s="107" t="s">
        <v>88</v>
      </c>
      <c r="D20" s="107" t="s">
        <v>88</v>
      </c>
      <c r="E20" s="107" t="s">
        <v>88</v>
      </c>
      <c r="F20" s="107" t="s">
        <v>88</v>
      </c>
    </row>
    <row r="21" spans="1:6" ht="15.75">
      <c r="A21" s="126" t="s">
        <v>83</v>
      </c>
      <c r="C21" s="114" t="s">
        <v>48</v>
      </c>
      <c r="D21" s="114" t="s">
        <v>48</v>
      </c>
      <c r="E21" s="114" t="s">
        <v>48</v>
      </c>
      <c r="F21" s="114" t="s">
        <v>48</v>
      </c>
    </row>
    <row r="22" spans="1:6" ht="15.75">
      <c r="A22" s="126" t="s">
        <v>95</v>
      </c>
      <c r="C22" s="114" t="s">
        <v>48</v>
      </c>
      <c r="D22" s="114" t="s">
        <v>48</v>
      </c>
      <c r="E22" s="114" t="s">
        <v>48</v>
      </c>
      <c r="F22" s="114" t="s">
        <v>48</v>
      </c>
    </row>
    <row r="23" spans="1:6" ht="15.75">
      <c r="A23" s="126" t="s">
        <v>97</v>
      </c>
      <c r="C23" s="107" t="s">
        <v>88</v>
      </c>
      <c r="D23" s="107" t="s">
        <v>88</v>
      </c>
      <c r="E23" s="107" t="s">
        <v>88</v>
      </c>
      <c r="F23" s="107" t="s">
        <v>88</v>
      </c>
    </row>
    <row r="24" spans="1:6" ht="15.75">
      <c r="A24" s="126" t="s">
        <v>61</v>
      </c>
      <c r="C24" s="114" t="s">
        <v>48</v>
      </c>
      <c r="D24" s="114" t="s">
        <v>48</v>
      </c>
      <c r="E24" s="114" t="s">
        <v>48</v>
      </c>
      <c r="F24" s="114" t="s">
        <v>48</v>
      </c>
    </row>
    <row r="25" spans="1:6" ht="15.75">
      <c r="A25" s="126" t="s">
        <v>82</v>
      </c>
      <c r="C25" s="107" t="s">
        <v>88</v>
      </c>
      <c r="D25" s="107" t="s">
        <v>88</v>
      </c>
      <c r="E25" s="107" t="s">
        <v>88</v>
      </c>
      <c r="F25" s="107" t="s">
        <v>88</v>
      </c>
    </row>
    <row r="26" spans="1:6" ht="15.75">
      <c r="A26" s="126" t="s">
        <v>56</v>
      </c>
      <c r="C26" s="107" t="s">
        <v>88</v>
      </c>
      <c r="D26" s="107" t="s">
        <v>88</v>
      </c>
      <c r="E26" s="107" t="s">
        <v>88</v>
      </c>
      <c r="F26" s="107" t="s">
        <v>88</v>
      </c>
    </row>
    <row r="27" spans="1:6">
      <c r="C27" s="107"/>
      <c r="D27" s="114"/>
      <c r="E27" s="114"/>
      <c r="F27" s="114"/>
    </row>
    <row r="28" spans="1:6" ht="15.75">
      <c r="A28" s="15" t="s">
        <v>18</v>
      </c>
      <c r="B28" s="16">
        <f>COUNTIF(B6:B26,"sim")</f>
        <v>0</v>
      </c>
      <c r="C28" s="103">
        <f t="shared" ref="C28:E28" si="0">COUNTIF(C6:C26,"sim")</f>
        <v>12</v>
      </c>
      <c r="D28" s="103">
        <f t="shared" si="0"/>
        <v>13</v>
      </c>
      <c r="E28" s="103">
        <f t="shared" si="0"/>
        <v>13</v>
      </c>
      <c r="F28" s="103">
        <f t="shared" ref="F28" si="1">COUNTIF(F6:F26,"sim")</f>
        <v>16</v>
      </c>
    </row>
    <row r="29" spans="1:6" ht="15.75">
      <c r="A29" s="17" t="s">
        <v>19</v>
      </c>
      <c r="B29" s="18">
        <f>COUNTIF(B6:B26,"não")</f>
        <v>0</v>
      </c>
      <c r="C29" s="104">
        <f t="shared" ref="C29:E29" si="2">COUNTIF(C6:C26,"não")</f>
        <v>0</v>
      </c>
      <c r="D29" s="104">
        <f t="shared" si="2"/>
        <v>0</v>
      </c>
      <c r="E29" s="104">
        <f t="shared" si="2"/>
        <v>0</v>
      </c>
      <c r="F29" s="104">
        <f t="shared" ref="F29" si="3">COUNTIF(F6:F26,"não")</f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E30" si="4">COUNTIF(C6:C26,"ausente")</f>
        <v>8</v>
      </c>
      <c r="D30" s="40">
        <f t="shared" si="4"/>
        <v>7</v>
      </c>
      <c r="E30" s="40">
        <f t="shared" si="4"/>
        <v>7</v>
      </c>
      <c r="F30" s="40">
        <f t="shared" ref="F30" si="5">COUNTIF(F6:F26,"ausente")</f>
        <v>5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:E31" si="6">COUNTIF(C6:C26,"abstenção")</f>
        <v>0</v>
      </c>
      <c r="D31" s="105">
        <f t="shared" si="6"/>
        <v>0</v>
      </c>
      <c r="E31" s="105">
        <f t="shared" si="6"/>
        <v>0</v>
      </c>
      <c r="F31" s="105">
        <f t="shared" ref="F31" si="7">COUNTIF(F6:F26,"abstenção")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103</v>
      </c>
      <c r="B2" s="2"/>
      <c r="C2" s="54"/>
      <c r="D2" s="54"/>
      <c r="E2" s="54"/>
    </row>
    <row r="3" spans="1:9" ht="15.75" thickBot="1">
      <c r="A3" s="120" t="s">
        <v>104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G21" sqref="G21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2026-09-01T15:28:31Z</dcterms:modified>
</cp:coreProperties>
</file>