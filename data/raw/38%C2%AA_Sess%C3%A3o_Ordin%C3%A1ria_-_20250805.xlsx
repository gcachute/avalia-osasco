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InkAnnotation="0" codeName="EstaPastaDeTrabalho" defaultThemeVersion="166925"/>
  <mc:AlternateContent xmlns:mc="http://schemas.openxmlformats.org/markup-compatibility/2006">
    <mc:Choice Requires="x15">
      <x15ac:absPath xmlns:x15ac="http://schemas.microsoft.com/office/spreadsheetml/2010/11/ac" url="C:\Users\60086\Desktop\"/>
    </mc:Choice>
  </mc:AlternateContent>
  <xr:revisionPtr revIDLastSave="0" documentId="13_ncr:1_{676CAEB3-3E0D-4433-A316-C430304CF804}" xr6:coauthVersionLast="47" xr6:coauthVersionMax="47" xr10:uidLastSave="{00000000-0000-0000-0000-000000000000}"/>
  <bookViews>
    <workbookView xWindow="-120" yWindow="-120" windowWidth="29040" windowHeight="15720" tabRatio="849" activeTab="5" xr2:uid="{00000000-000D-0000-FFFF-FFFF00000000}"/>
  </bookViews>
  <sheets>
    <sheet name="PRESENÇA" sheetId="7" r:id="rId1"/>
    <sheet name="MOÇÃO E REQUERIMENTO" sheetId="14" r:id="rId2"/>
    <sheet name="VETO E SEGUNDA DISCUSSÃO" sheetId="2" r:id="rId3"/>
    <sheet name="PRIMEIRA DISCUSSÃO" sheetId="3" r:id="rId4"/>
    <sheet name="DISCUSSÃO ÚNICA" sheetId="10" r:id="rId5"/>
    <sheet name="RECURSOS- DISCUSSÃO ÚNICA" sheetId="11" r:id="rId6"/>
    <sheet name="DISCUSSÃO ÚNICA – REQUERIMENTOS" sheetId="15" r:id="rId7"/>
  </sheets>
  <externalReferences>
    <externalReference r:id="rId8"/>
  </externalReferences>
  <definedNames>
    <definedName name="_Hlk145497387" localSheetId="1">'MOÇÃO E REQUERIMENTO'!#REF!</definedName>
    <definedName name="_Hlk145938527" localSheetId="1">'MOÇÃO E REQUERIMENTO'!#REF!</definedName>
    <definedName name="_Hlk145938710" localSheetId="1">'MOÇÃO E REQUERIMENTO'!#REF!</definedName>
    <definedName name="_Hlk146533283" localSheetId="3">'VETO E SEGUNDA DISCUSSÃO'!#REF!</definedName>
    <definedName name="_Hlk146700160" localSheetId="1">'MOÇÃO E REQUERIMENTO'!#REF!</definedName>
    <definedName name="_Hlk147314520" localSheetId="1">'MOÇÃO E REQUERIMENTO'!#REF!</definedName>
    <definedName name="_Hlk149048439" localSheetId="1">'MOÇÃO E REQUERIMENTO'!#REF!</definedName>
    <definedName name="_Hlk149048792" localSheetId="1">'MOÇÃO E REQUERIMENTO'!#REF!</definedName>
    <definedName name="_Hlk151544474" localSheetId="3">'VETO E SEGUNDA DISCUSSÃO'!#REF!</definedName>
    <definedName name="_Hlk151978252" localSheetId="1">'MOÇÃO E REQUERIMENTO'!#REF!</definedName>
    <definedName name="_Hlk152581014" localSheetId="1">'MOÇÃO E REQUERIMENTO'!#REF!</definedName>
    <definedName name="_Hlk153803306" localSheetId="1">'MOÇÃO E REQUERIMENTO'!#REF!</definedName>
    <definedName name="_Hlk153969257" localSheetId="2">'VETO E SEGUNDA DISCUSSÃO'!#REF!</definedName>
    <definedName name="_Hlk157507015" localSheetId="1">'MOÇÃO E REQUERIMENTO'!#REF!</definedName>
    <definedName name="_Hlk157507236" localSheetId="1">'MOÇÃO E REQUERIMENTO'!#REF!</definedName>
    <definedName name="_Hlk157520661" localSheetId="1">'MOÇÃO E REQUERIMENTO'!#REF!</definedName>
    <definedName name="_Hlk173748309" localSheetId="1">'MOÇÃO E REQUERIMENTO'!#REF!</definedName>
    <definedName name="_Hlk173849094" localSheetId="1">'MOÇÃO E REQUERIMENTO'!#REF!</definedName>
    <definedName name="_Hlk173849243" localSheetId="1">'MOÇÃO E REQUERIMENTO'!#REF!</definedName>
    <definedName name="_Hlk177548789" localSheetId="1">'MOÇÃO E REQUERIMENTO'!#REF!</definedName>
    <definedName name="_Hlk83042194" localSheetId="3">'VETO E SEGUNDA DISCUSSÃO'!#REF!</definedName>
    <definedName name="VEREADORES">PRESENÇA!$A$6:$A$25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27" i="2" l="1"/>
  <c r="E28" i="2"/>
  <c r="E29" i="2"/>
  <c r="E30" i="2"/>
  <c r="C27" i="3"/>
  <c r="C28" i="3"/>
  <c r="C29" i="3"/>
  <c r="C30" i="3"/>
  <c r="F27" i="2"/>
  <c r="F28" i="2"/>
  <c r="F29" i="2"/>
  <c r="F30" i="2"/>
  <c r="C28" i="10"/>
  <c r="C29" i="10"/>
  <c r="C30" i="10"/>
  <c r="C31" i="10"/>
  <c r="J27" i="15" l="1"/>
  <c r="K27" i="15"/>
  <c r="L27" i="15"/>
  <c r="M27" i="15"/>
  <c r="N27" i="15"/>
  <c r="O27" i="15"/>
  <c r="P27" i="15"/>
  <c r="Q27" i="15"/>
  <c r="R27" i="15"/>
  <c r="S27" i="15"/>
  <c r="T27" i="15"/>
  <c r="U27" i="15"/>
  <c r="V27" i="15"/>
  <c r="W27" i="15"/>
  <c r="X27" i="15"/>
  <c r="Y27" i="15"/>
  <c r="J28" i="15"/>
  <c r="K28" i="15"/>
  <c r="L28" i="15"/>
  <c r="M28" i="15"/>
  <c r="N28" i="15"/>
  <c r="O28" i="15"/>
  <c r="P28" i="15"/>
  <c r="Q28" i="15"/>
  <c r="R28" i="15"/>
  <c r="S28" i="15"/>
  <c r="T28" i="15"/>
  <c r="U28" i="15"/>
  <c r="V28" i="15"/>
  <c r="W28" i="15"/>
  <c r="X28" i="15"/>
  <c r="Y28" i="15"/>
  <c r="J29" i="15"/>
  <c r="K29" i="15"/>
  <c r="L29" i="15"/>
  <c r="M29" i="15"/>
  <c r="N29" i="15"/>
  <c r="O29" i="15"/>
  <c r="P29" i="15"/>
  <c r="Q29" i="15"/>
  <c r="R29" i="15"/>
  <c r="S29" i="15"/>
  <c r="T29" i="15"/>
  <c r="U29" i="15"/>
  <c r="V29" i="15"/>
  <c r="W29" i="15"/>
  <c r="X29" i="15"/>
  <c r="Y29" i="15"/>
  <c r="J30" i="15"/>
  <c r="K30" i="15"/>
  <c r="L30" i="15"/>
  <c r="M30" i="15"/>
  <c r="N30" i="15"/>
  <c r="O30" i="15"/>
  <c r="P30" i="15"/>
  <c r="Q30" i="15"/>
  <c r="R30" i="15"/>
  <c r="S30" i="15"/>
  <c r="T30" i="15"/>
  <c r="U30" i="15"/>
  <c r="V30" i="15"/>
  <c r="W30" i="15"/>
  <c r="X30" i="15"/>
  <c r="Y30" i="15"/>
  <c r="C27" i="2"/>
  <c r="C28" i="2"/>
  <c r="C29" i="2"/>
  <c r="C30" i="2"/>
  <c r="H30" i="15"/>
  <c r="I30" i="15"/>
  <c r="H29" i="15"/>
  <c r="I29" i="15"/>
  <c r="H28" i="15"/>
  <c r="I28" i="15"/>
  <c r="H27" i="15"/>
  <c r="I27" i="15"/>
  <c r="G27" i="15" l="1"/>
  <c r="G28" i="15"/>
  <c r="G29" i="15"/>
  <c r="G30" i="15"/>
  <c r="B28" i="10" l="1"/>
  <c r="B29" i="10"/>
  <c r="B30" i="10"/>
  <c r="B31" i="10"/>
  <c r="I28" i="11" l="1"/>
  <c r="I29" i="11"/>
  <c r="I30" i="11"/>
  <c r="I31" i="11"/>
  <c r="B27" i="3" l="1"/>
  <c r="B28" i="3"/>
  <c r="B29" i="3"/>
  <c r="B30" i="3"/>
  <c r="F27" i="15" l="1"/>
  <c r="F28" i="15"/>
  <c r="F29" i="15"/>
  <c r="F30" i="15"/>
  <c r="D27" i="15" l="1"/>
  <c r="E27" i="15"/>
  <c r="D28" i="15"/>
  <c r="E28" i="15"/>
  <c r="D29" i="15"/>
  <c r="E29" i="15"/>
  <c r="D30" i="15"/>
  <c r="E30" i="15"/>
  <c r="C27" i="15"/>
  <c r="C28" i="15"/>
  <c r="C29" i="15"/>
  <c r="C30" i="15"/>
  <c r="B30" i="15"/>
  <c r="B29" i="15"/>
  <c r="B28" i="15"/>
  <c r="B27" i="15"/>
  <c r="D28" i="11"/>
  <c r="E28" i="11"/>
  <c r="F28" i="11"/>
  <c r="G28" i="11"/>
  <c r="H28" i="11"/>
  <c r="D29" i="11"/>
  <c r="E29" i="11"/>
  <c r="F29" i="11"/>
  <c r="G29" i="11"/>
  <c r="H29" i="11"/>
  <c r="D30" i="11"/>
  <c r="E30" i="11"/>
  <c r="F30" i="11"/>
  <c r="G30" i="11"/>
  <c r="H30" i="11"/>
  <c r="D31" i="11"/>
  <c r="E31" i="11"/>
  <c r="F31" i="11"/>
  <c r="G31" i="11"/>
  <c r="H31" i="11"/>
  <c r="C31" i="11"/>
  <c r="C30" i="11"/>
  <c r="C29" i="11"/>
  <c r="C28" i="11"/>
  <c r="A4" i="14" l="1"/>
  <c r="DS27" i="3"/>
  <c r="DS28" i="3" s="1"/>
  <c r="DS29" i="3" s="1"/>
  <c r="DS30" i="3" s="1"/>
  <c r="DR27" i="3"/>
  <c r="DR28" i="3" s="1"/>
  <c r="DR29" i="3" s="1"/>
  <c r="DR30" i="3" s="1"/>
  <c r="DQ27" i="3"/>
  <c r="DQ28" i="3" s="1"/>
  <c r="DP27" i="3"/>
  <c r="DO27" i="3"/>
  <c r="DO28" i="3" s="1"/>
  <c r="DO29" i="3" s="1"/>
  <c r="DO30" i="3" s="1"/>
  <c r="DN27" i="3"/>
  <c r="DN28" i="3" s="1"/>
  <c r="DN29" i="3" s="1"/>
  <c r="DN30" i="3" s="1"/>
  <c r="DM27" i="3"/>
  <c r="DM28" i="3" s="1"/>
  <c r="DM29" i="3" s="1"/>
  <c r="DM30" i="3" s="1"/>
  <c r="DL27" i="3"/>
  <c r="DK27" i="3"/>
  <c r="DK28" i="3" s="1"/>
  <c r="DJ27" i="3"/>
  <c r="DJ28" i="3" s="1"/>
  <c r="DI27" i="3"/>
  <c r="DI28" i="3" s="1"/>
  <c r="DH27" i="3"/>
  <c r="DH28" i="3" s="1"/>
  <c r="DG27" i="3"/>
  <c r="DG28" i="3" s="1"/>
  <c r="DG29" i="3" s="1"/>
  <c r="DF27" i="3"/>
  <c r="DF28" i="3" s="1"/>
  <c r="DF29" i="3" s="1"/>
  <c r="DF30" i="3" s="1"/>
  <c r="DE27" i="3"/>
  <c r="DE28" i="3" s="1"/>
  <c r="DD27" i="3"/>
  <c r="DD28" i="3" s="1"/>
  <c r="DC27" i="3"/>
  <c r="DC28" i="3" s="1"/>
  <c r="DC29" i="3" s="1"/>
  <c r="DB27" i="3"/>
  <c r="DB28" i="3" s="1"/>
  <c r="DA27" i="3"/>
  <c r="DA28" i="3" s="1"/>
  <c r="DA29" i="3" s="1"/>
  <c r="CZ27" i="3"/>
  <c r="CZ28" i="3" s="1"/>
  <c r="CZ29" i="3" s="1"/>
  <c r="CZ30" i="3" s="1"/>
  <c r="CY27" i="3"/>
  <c r="CY28" i="3" s="1"/>
  <c r="CX27" i="3"/>
  <c r="CX28" i="3" s="1"/>
  <c r="CX29" i="3" s="1"/>
  <c r="CX30" i="3" s="1"/>
  <c r="CW27" i="3"/>
  <c r="CW28" i="3" s="1"/>
  <c r="CV27" i="3"/>
  <c r="CU27" i="3"/>
  <c r="CU28" i="3" s="1"/>
  <c r="CU29" i="3" s="1"/>
  <c r="CT27" i="3"/>
  <c r="CT28" i="3" s="1"/>
  <c r="CS27" i="3"/>
  <c r="CS28" i="3" s="1"/>
  <c r="CS29" i="3" s="1"/>
  <c r="CS30" i="3" s="1"/>
  <c r="CR27" i="3"/>
  <c r="CR28" i="3" s="1"/>
  <c r="CR29" i="3" s="1"/>
  <c r="CR30" i="3" s="1"/>
  <c r="CQ27" i="3"/>
  <c r="CQ28" i="3" s="1"/>
  <c r="CP27" i="3"/>
  <c r="CP28" i="3" s="1"/>
  <c r="CP29" i="3" s="1"/>
  <c r="CP30" i="3" s="1"/>
  <c r="CO27" i="3"/>
  <c r="CO28" i="3" s="1"/>
  <c r="CN27" i="3"/>
  <c r="CN28" i="3" s="1"/>
  <c r="CM27" i="3"/>
  <c r="CM28" i="3" s="1"/>
  <c r="CM29" i="3" s="1"/>
  <c r="CM30" i="3" s="1"/>
  <c r="CL27" i="3"/>
  <c r="CL28" i="3" s="1"/>
  <c r="CK27" i="3"/>
  <c r="CK28" i="3" s="1"/>
  <c r="CK29" i="3" s="1"/>
  <c r="CJ27" i="3"/>
  <c r="CJ28" i="3" s="1"/>
  <c r="CI27" i="3"/>
  <c r="CI28" i="3" s="1"/>
  <c r="CH27" i="3"/>
  <c r="CH28" i="3" s="1"/>
  <c r="CH29" i="3" s="1"/>
  <c r="CH30" i="3" s="1"/>
  <c r="CG27" i="3"/>
  <c r="CG28" i="3" s="1"/>
  <c r="CF27" i="3"/>
  <c r="CF28" i="3" s="1"/>
  <c r="CE27" i="3"/>
  <c r="CD27" i="3"/>
  <c r="CD28" i="3" s="1"/>
  <c r="CC27" i="3"/>
  <c r="CC28" i="3" s="1"/>
  <c r="CC29" i="3" s="1"/>
  <c r="CC30" i="3" s="1"/>
  <c r="CB27" i="3"/>
  <c r="CA27" i="3"/>
  <c r="CA28" i="3" s="1"/>
  <c r="BZ27" i="3"/>
  <c r="BZ28" i="3" s="1"/>
  <c r="BZ29" i="3" s="1"/>
  <c r="BZ30" i="3" s="1"/>
  <c r="BY27" i="3"/>
  <c r="BY28" i="3" s="1"/>
  <c r="BX27" i="3"/>
  <c r="BX28" i="3" s="1"/>
  <c r="BX29" i="3" s="1"/>
  <c r="BW27" i="3"/>
  <c r="BW28" i="3" s="1"/>
  <c r="BW29" i="3" s="1"/>
  <c r="BV27" i="3"/>
  <c r="BV28" i="3" s="1"/>
  <c r="BU27" i="3"/>
  <c r="BU28" i="3" s="1"/>
  <c r="BT27" i="3"/>
  <c r="BT28" i="3" s="1"/>
  <c r="BS27" i="3"/>
  <c r="BS28" i="3" s="1"/>
  <c r="BR27" i="3"/>
  <c r="BR28" i="3" s="1"/>
  <c r="BR29" i="3" s="1"/>
  <c r="BR30" i="3" s="1"/>
  <c r="BQ27" i="3"/>
  <c r="BQ28" i="3" s="1"/>
  <c r="BP27" i="3"/>
  <c r="BP28" i="3" s="1"/>
  <c r="BO27" i="3"/>
  <c r="BO28" i="3" s="1"/>
  <c r="BN27" i="3"/>
  <c r="BN28" i="3" s="1"/>
  <c r="BM27" i="3"/>
  <c r="BM28" i="3" s="1"/>
  <c r="BM29" i="3" s="1"/>
  <c r="BL27" i="3"/>
  <c r="BK27" i="3"/>
  <c r="BK28" i="3" s="1"/>
  <c r="BK29" i="3" s="1"/>
  <c r="BJ27" i="3"/>
  <c r="BJ28" i="3" s="1"/>
  <c r="BJ29" i="3" s="1"/>
  <c r="BJ30" i="3" s="1"/>
  <c r="BI27" i="3"/>
  <c r="BI28" i="3" s="1"/>
  <c r="BH27" i="3"/>
  <c r="BH28" i="3" s="1"/>
  <c r="BG27" i="3"/>
  <c r="BG28" i="3" s="1"/>
  <c r="BG29" i="3" s="1"/>
  <c r="BG30" i="3" s="1"/>
  <c r="BF27" i="3"/>
  <c r="BF28" i="3" s="1"/>
  <c r="BE27" i="3"/>
  <c r="BE28" i="3" s="1"/>
  <c r="BE29" i="3" s="1"/>
  <c r="BE30" i="3" s="1"/>
  <c r="BD27" i="3"/>
  <c r="BD28" i="3" s="1"/>
  <c r="BD29" i="3" s="1"/>
  <c r="BD30" i="3" s="1"/>
  <c r="BC27" i="3"/>
  <c r="BC28" i="3" s="1"/>
  <c r="BC29" i="3" s="1"/>
  <c r="BC30" i="3" s="1"/>
  <c r="BB27" i="3"/>
  <c r="BB28" i="3" s="1"/>
  <c r="BA27" i="3"/>
  <c r="BA28" i="3" s="1"/>
  <c r="AZ27" i="3"/>
  <c r="AZ28" i="3" s="1"/>
  <c r="AZ29" i="3" s="1"/>
  <c r="AY27" i="3"/>
  <c r="AY28" i="3" s="1"/>
  <c r="AY29" i="3" s="1"/>
  <c r="AX27" i="3"/>
  <c r="AX28" i="3" s="1"/>
  <c r="AX29" i="3" s="1"/>
  <c r="AX30" i="3" s="1"/>
  <c r="AW27" i="3"/>
  <c r="AW28" i="3" s="1"/>
  <c r="AV27" i="3"/>
  <c r="AV28" i="3" s="1"/>
  <c r="AV29" i="3" s="1"/>
  <c r="AV30" i="3" s="1"/>
  <c r="AU27" i="3"/>
  <c r="AU28" i="3" s="1"/>
  <c r="AT27" i="3"/>
  <c r="AT28" i="3" s="1"/>
  <c r="AT29" i="3" s="1"/>
  <c r="AT30" i="3" s="1"/>
  <c r="AS27" i="3"/>
  <c r="AS28" i="3" s="1"/>
  <c r="AR27" i="3"/>
  <c r="AR28" i="3" s="1"/>
  <c r="AQ27" i="3"/>
  <c r="AQ28" i="3" s="1"/>
  <c r="AP27" i="3"/>
  <c r="AP28" i="3" s="1"/>
  <c r="AO27" i="3"/>
  <c r="AO28" i="3" s="1"/>
  <c r="AO29" i="3" s="1"/>
  <c r="AO30" i="3" s="1"/>
  <c r="AN27" i="3"/>
  <c r="AN28" i="3" s="1"/>
  <c r="AN29" i="3" s="1"/>
  <c r="AM27" i="3"/>
  <c r="AM28" i="3" s="1"/>
  <c r="AM29" i="3" s="1"/>
  <c r="AM30" i="3" s="1"/>
  <c r="AL27" i="3"/>
  <c r="AL28" i="3" s="1"/>
  <c r="AK27" i="3"/>
  <c r="AK28" i="3" s="1"/>
  <c r="AJ27" i="3"/>
  <c r="AJ28" i="3" s="1"/>
  <c r="AI27" i="3"/>
  <c r="AI28" i="3" s="1"/>
  <c r="AI29" i="3" s="1"/>
  <c r="AH27" i="3"/>
  <c r="AH28" i="3" s="1"/>
  <c r="AH29" i="3" s="1"/>
  <c r="AG27" i="3"/>
  <c r="AG28" i="3" s="1"/>
  <c r="AG29" i="3" s="1"/>
  <c r="AF27" i="3"/>
  <c r="AE27" i="3"/>
  <c r="AE28" i="3" s="1"/>
  <c r="AE29" i="3" s="1"/>
  <c r="AE30" i="3" s="1"/>
  <c r="AD27" i="3"/>
  <c r="AD28" i="3" s="1"/>
  <c r="AC27" i="3"/>
  <c r="AC28" i="3" s="1"/>
  <c r="AC29" i="3" s="1"/>
  <c r="AC30" i="3" s="1"/>
  <c r="AB27" i="3"/>
  <c r="AB28" i="3" s="1"/>
  <c r="AB29" i="3" s="1"/>
  <c r="AA27" i="3"/>
  <c r="AA28" i="3" s="1"/>
  <c r="Z27" i="3"/>
  <c r="Z28" i="3" s="1"/>
  <c r="Y27" i="3"/>
  <c r="Y28" i="3" s="1"/>
  <c r="X27" i="3"/>
  <c r="X28" i="3" s="1"/>
  <c r="X29" i="3" s="1"/>
  <c r="X30" i="3" s="1"/>
  <c r="W27" i="3"/>
  <c r="W28" i="3" s="1"/>
  <c r="W29" i="3" s="1"/>
  <c r="W30" i="3" s="1"/>
  <c r="V27" i="3"/>
  <c r="V28" i="3" s="1"/>
  <c r="U27" i="3"/>
  <c r="T27" i="3"/>
  <c r="S27" i="3"/>
  <c r="S28" i="3" s="1"/>
  <c r="S29" i="3" s="1"/>
  <c r="R27" i="3"/>
  <c r="R28" i="3" s="1"/>
  <c r="Q27" i="3"/>
  <c r="Q28" i="3" s="1"/>
  <c r="Q29" i="3" s="1"/>
  <c r="Q30" i="3" s="1"/>
  <c r="P27" i="3"/>
  <c r="P28" i="3" s="1"/>
  <c r="O27" i="3"/>
  <c r="O28" i="3" s="1"/>
  <c r="O29" i="3" s="1"/>
  <c r="O30" i="3" s="1"/>
  <c r="N27" i="3"/>
  <c r="N28" i="3" s="1"/>
  <c r="M27" i="3"/>
  <c r="M28" i="3" s="1"/>
  <c r="M29" i="3" s="1"/>
  <c r="M30" i="3" s="1"/>
  <c r="L27" i="3"/>
  <c r="L28" i="3" s="1"/>
  <c r="K27" i="3"/>
  <c r="K28" i="3" s="1"/>
  <c r="K29" i="3" s="1"/>
  <c r="K30" i="3" s="1"/>
  <c r="J27" i="3"/>
  <c r="J28" i="3" s="1"/>
  <c r="DB29" i="3" l="1"/>
  <c r="DB30" i="3" s="1"/>
  <c r="BV29" i="3"/>
  <c r="BV30" i="3" s="1"/>
  <c r="CL29" i="3"/>
  <c r="CL30" i="3" s="1"/>
  <c r="AP29" i="3"/>
  <c r="AP30" i="3" s="1"/>
  <c r="CW29" i="3"/>
  <c r="CW30" i="3" s="1"/>
  <c r="BN29" i="3"/>
  <c r="BN30" i="3" s="1"/>
  <c r="BQ29" i="3"/>
  <c r="BQ30" i="3" s="1"/>
  <c r="BF29" i="3"/>
  <c r="BF30" i="3" s="1"/>
  <c r="BY29" i="3"/>
  <c r="BY30" i="3" s="1"/>
  <c r="R29" i="3"/>
  <c r="R30" i="3" s="1"/>
  <c r="AA29" i="3"/>
  <c r="AA30" i="3" s="1"/>
  <c r="BS29" i="3"/>
  <c r="BS30" i="3" s="1"/>
  <c r="AQ29" i="3"/>
  <c r="AQ30" i="3" s="1"/>
  <c r="CO29" i="3"/>
  <c r="CO30" i="3" s="1"/>
  <c r="CV28" i="3"/>
  <c r="CV29" i="3" s="1"/>
  <c r="CV30" i="3" s="1"/>
  <c r="DP28" i="3"/>
  <c r="DP29" i="3" s="1"/>
  <c r="DP30" i="3" s="1"/>
  <c r="CG29" i="3"/>
  <c r="CG30" i="3" s="1"/>
  <c r="AF28" i="3"/>
  <c r="AF29" i="3" s="1"/>
  <c r="AF30" i="3" s="1"/>
  <c r="CB28" i="3"/>
  <c r="CB29" i="3" s="1"/>
  <c r="CB30" i="3" s="1"/>
  <c r="CF29" i="3"/>
  <c r="CF30" i="3" s="1"/>
  <c r="Y29" i="3"/>
  <c r="Y30" i="3" s="1"/>
  <c r="AJ29" i="3"/>
  <c r="AJ30" i="3" s="1"/>
  <c r="BL28" i="3"/>
  <c r="BL29" i="3" s="1"/>
  <c r="BL30" i="3" s="1"/>
  <c r="DL28" i="3"/>
  <c r="DL29" i="3" s="1"/>
  <c r="DL30" i="3" s="1"/>
  <c r="BH29" i="3"/>
  <c r="BH30" i="3" s="1"/>
  <c r="BO29" i="3"/>
  <c r="BO30" i="3" s="1"/>
  <c r="AG30" i="3"/>
  <c r="CU30" i="3"/>
  <c r="DE29" i="3"/>
  <c r="DE30" i="3" s="1"/>
  <c r="U28" i="3"/>
  <c r="U29" i="3" s="1"/>
  <c r="U30" i="3" s="1"/>
  <c r="AR29" i="3"/>
  <c r="AR30" i="3" s="1"/>
  <c r="CE28" i="3"/>
  <c r="CE29" i="3" s="1"/>
  <c r="CE30" i="3" s="1"/>
  <c r="L29" i="3"/>
  <c r="L30" i="3" s="1"/>
  <c r="P29" i="3"/>
  <c r="P30" i="3" s="1"/>
  <c r="DD29" i="3"/>
  <c r="DD30" i="3" s="1"/>
  <c r="DH29" i="3"/>
  <c r="DH30" i="3" s="1"/>
  <c r="J29" i="3"/>
  <c r="J30" i="3" s="1"/>
  <c r="CY29" i="3"/>
  <c r="CY30" i="3" s="1"/>
  <c r="DJ29" i="3"/>
  <c r="DJ30" i="3" s="1"/>
  <c r="BU29" i="3"/>
  <c r="BU30" i="3" s="1"/>
  <c r="CI29" i="3"/>
  <c r="CI30" i="3" s="1"/>
  <c r="CA29" i="3"/>
  <c r="CA30" i="3" s="1"/>
  <c r="S30" i="3"/>
  <c r="DK29" i="3"/>
  <c r="DK30" i="3" s="1"/>
  <c r="AN30" i="3"/>
  <c r="DA30" i="3"/>
  <c r="CT29" i="3"/>
  <c r="CT30" i="3" s="1"/>
  <c r="CD29" i="3"/>
  <c r="CD30" i="3" s="1"/>
  <c r="Z29" i="3"/>
  <c r="Z30" i="3" s="1"/>
  <c r="CQ29" i="3"/>
  <c r="CQ30" i="3" s="1"/>
  <c r="T28" i="3"/>
  <c r="T29" i="3" s="1"/>
  <c r="T30" i="3" s="1"/>
  <c r="DC30" i="3"/>
  <c r="AK29" i="3"/>
  <c r="AK30" i="3" s="1"/>
  <c r="AB30" i="3"/>
  <c r="AH30" i="3"/>
  <c r="BI29" i="3"/>
  <c r="BI30" i="3" s="1"/>
  <c r="AI30" i="3"/>
  <c r="BT29" i="3"/>
  <c r="BT30" i="3" s="1"/>
  <c r="CN29" i="3"/>
  <c r="CN30" i="3" s="1"/>
  <c r="AZ30" i="3"/>
  <c r="AY30" i="3"/>
  <c r="BM30" i="3"/>
  <c r="CK30" i="3"/>
  <c r="V29" i="3"/>
  <c r="V30" i="3" s="1"/>
  <c r="BP29" i="3"/>
  <c r="BP30" i="3" s="1"/>
  <c r="AS29" i="3"/>
  <c r="AS30" i="3" s="1"/>
  <c r="CJ29" i="3"/>
  <c r="CJ30" i="3" s="1"/>
  <c r="BK30" i="3"/>
  <c r="AD29" i="3"/>
  <c r="AD30" i="3" s="1"/>
  <c r="BA29" i="3"/>
  <c r="BA30" i="3" s="1"/>
  <c r="DQ29" i="3"/>
  <c r="DQ30" i="3" s="1"/>
  <c r="DI29" i="3"/>
  <c r="DI30" i="3" s="1"/>
  <c r="DG30" i="3"/>
  <c r="N29" i="3"/>
  <c r="N30" i="3" s="1"/>
  <c r="AU29" i="3"/>
  <c r="AU30" i="3" s="1"/>
  <c r="BX30" i="3"/>
  <c r="BW30" i="3"/>
  <c r="AL29" i="3"/>
  <c r="AL30" i="3" s="1"/>
  <c r="AW29" i="3"/>
  <c r="AW30" i="3" s="1"/>
  <c r="BB29" i="3"/>
  <c r="BB30" i="3" s="1"/>
</calcChain>
</file>

<file path=xl/sharedStrings.xml><?xml version="1.0" encoding="utf-8"?>
<sst xmlns="http://schemas.openxmlformats.org/spreadsheetml/2006/main" count="498" uniqueCount="168">
  <si>
    <t>As informações registradas são aquelas disponíveis até o final das Sessões.</t>
  </si>
  <si>
    <t>Votação é o ato complementar da discussão, por meio do qual o Plenário manifesta sua vontade deliberativa. Considera-se qualquer matéria em fase de votação a partir do momento em que o Presidente declara encerrada a discussão. São dois os processos de votação: simbólica e nominal.</t>
  </si>
  <si>
    <t>1 – Simbólica: Quando não há registro individual de votos. O Presidente da sessão pede aos parlamentares favoráveis à matéria que permaneçam como se encontram, cabendo aos contrários manifestarem-se.</t>
  </si>
  <si>
    <t>2 – Nominal: Quando há consignação expressa do nome e voto de cada Vereador, por meio de chamada ou por processo eletrônico.</t>
  </si>
  <si>
    <t>O Vereador presente poderá votar a favor, contra ou abster-se. O registro de voto é de responsabilidade do Vereador, ao qual se reconhece a utilização dos meios democráticos de manifestação, oposição e obstrução, segundo suas convicções pessoais e posições político-partidárias, especialmente quando integrante das minorias.</t>
  </si>
  <si>
    <t>ORDEM DO DIA</t>
  </si>
  <si>
    <t xml:space="preserve"> SEGUNDA  DISCUSSÃO</t>
  </si>
  <si>
    <t>PRIMEIRA  DISCUSSÃO</t>
  </si>
  <si>
    <t>CÂMARA MUNICIPAL DE OSASCO</t>
  </si>
  <si>
    <t>verificação de quorum</t>
  </si>
  <si>
    <t>PRESENTE</t>
  </si>
  <si>
    <t>AUSENTE</t>
  </si>
  <si>
    <t>NA_PRESIDÊNCIA</t>
  </si>
  <si>
    <t>TOTAL DE PRESENTES</t>
  </si>
  <si>
    <t>TOTAL DE AUSENTES</t>
  </si>
  <si>
    <t>Presidência registra presença após a primeira chamada dos seguintes vereadores:</t>
  </si>
  <si>
    <t>maioria qualificada 2/3 - são 14 votos, o Presidente vota</t>
  </si>
  <si>
    <t>maioria simples  11 votos, vota no caso de empate</t>
  </si>
  <si>
    <t>SIM</t>
  </si>
  <si>
    <t>NÃO</t>
  </si>
  <si>
    <t>ABSTENÇÃO</t>
  </si>
  <si>
    <t xml:space="preserve"> DISCUSSÃO ÚNICA</t>
  </si>
  <si>
    <t>Elsa Oliveira</t>
  </si>
  <si>
    <t>Emerson Osasco</t>
  </si>
  <si>
    <t>Fábio Chirinhan</t>
  </si>
  <si>
    <t>Josias da Juco</t>
  </si>
  <si>
    <t>Paulo Junior</t>
  </si>
  <si>
    <t>MOÇÕES</t>
  </si>
  <si>
    <t xml:space="preserve">Délbio Teruel </t>
  </si>
  <si>
    <t>PRESENÇA DOS VEREADORES</t>
  </si>
  <si>
    <t xml:space="preserve"> chamada - abertura da ORDEM DO DIA</t>
  </si>
  <si>
    <t xml:space="preserve"> VETOS                (DISCUSSÃO ÚNICA)</t>
  </si>
  <si>
    <t>DISCUSSÃO ÚNICA  (RECURSOS)</t>
  </si>
  <si>
    <t xml:space="preserve"> DISCUSSÃO ÚNICA (REQUERIMENTOS)</t>
  </si>
  <si>
    <t>REQUERIMENTOS</t>
  </si>
  <si>
    <t xml:space="preserve"> Vereadores presentes após a chamada da ordem do dia da sessão</t>
  </si>
  <si>
    <t xml:space="preserve"> Vereadores presentes após a chamada abertura da sessão</t>
  </si>
  <si>
    <t>EXEMPLO: Com 14 votos favoráveis. &gt;&gt; sim, não, ausente, na presidência.</t>
  </si>
  <si>
    <t>1. REQUERIMENTO Nº 87/2017 – FRANCISCA JENILÚCIA RIBEIRO DE ANDRADE – Solicita informações se há algum projeto de plano de carreira para os auxiliares e técnicos de enfermagem no Município.</t>
  </si>
  <si>
    <r>
      <rPr>
        <b/>
        <sz val="10"/>
        <color theme="1"/>
        <rFont val="Arial"/>
        <family val="2"/>
      </rPr>
      <t>2. RECURSO DE AUTORIA DO VEREADOR RALFI SILVA N.º 121/2018 AO PL N.º 241/2017</t>
    </r>
    <r>
      <rPr>
        <sz val="10"/>
        <color theme="1"/>
        <rFont val="Arial"/>
        <family val="2"/>
      </rPr>
      <t>, que dispõe sobre divulgação da demanda atendida e lista de espera por vagas nos Centros de Educação Infantil (CEI) e creches municipais da Cidade de Osasco, em face do parecer contrário da Comissão de Constituição e Justiça - CCJ n.º 151/2018.</t>
    </r>
  </si>
  <si>
    <r>
      <rPr>
        <b/>
        <sz val="10"/>
        <color theme="1"/>
        <rFont val="Arial"/>
        <family val="2"/>
      </rPr>
      <t>1.      RECURSO DE AUTORIA DA VEREADORA LÚCIA DA SAÚDE N.º 119/2018 AO PL N.º 238/2017</t>
    </r>
    <r>
      <rPr>
        <sz val="10"/>
        <color theme="1"/>
        <rFont val="Arial"/>
        <family val="2"/>
      </rPr>
      <t xml:space="preserve">, que dispõe sobre a publicação eletrônica da lista de espera para vagas nas Creches e Escolas da Educação Infantil do Município de Osasco, </t>
    </r>
    <r>
      <rPr>
        <b/>
        <sz val="10"/>
        <color theme="1"/>
        <rFont val="Arial"/>
        <family val="2"/>
      </rPr>
      <t>em</t>
    </r>
    <r>
      <rPr>
        <sz val="10"/>
        <color theme="1"/>
        <rFont val="Arial"/>
        <family val="2"/>
      </rPr>
      <t xml:space="preserve"> </t>
    </r>
    <r>
      <rPr>
        <b/>
        <sz val="10"/>
        <color theme="1"/>
        <rFont val="Arial"/>
        <family val="2"/>
      </rPr>
      <t>face do parecer contrário da Comissão de Constituição e Justiça - CCJ de n.º</t>
    </r>
    <r>
      <rPr>
        <sz val="10"/>
        <color theme="1"/>
        <rFont val="Arial"/>
        <family val="2"/>
      </rPr>
      <t xml:space="preserve"> </t>
    </r>
    <r>
      <rPr>
        <b/>
        <sz val="10"/>
        <color theme="1"/>
        <rFont val="Arial"/>
        <family val="2"/>
      </rPr>
      <t>150/2018.</t>
    </r>
  </si>
  <si>
    <r>
      <rPr>
        <b/>
        <sz val="10"/>
        <color theme="1"/>
        <rFont val="Arial"/>
        <family val="2"/>
      </rPr>
      <t>3. RECURSO DE AUTORIA DO VEREADOR RALFI SILVA AO PL N.º 34/2019</t>
    </r>
    <r>
      <rPr>
        <sz val="10"/>
        <color theme="1"/>
        <rFont val="Arial"/>
        <family val="2"/>
      </rPr>
      <t>, que autoriza o Poder Executivo Municipal, a implantar o Programa Corujão da Saúde no âmbito do Município de Osasco em face do parecer contrário da Comissão de Constituição e Justiça - CCJ de n.º 280/2019.</t>
    </r>
  </si>
  <si>
    <r>
      <rPr>
        <b/>
        <sz val="10"/>
        <color theme="1"/>
        <rFont val="Arial"/>
        <family val="2"/>
      </rPr>
      <t>4. RECURSO DE AUTORIA DO VEREADOR RALFI SILVA AO PL N.º 34/2020</t>
    </r>
    <r>
      <rPr>
        <sz val="10"/>
        <color theme="1"/>
        <rFont val="Arial"/>
        <family val="2"/>
      </rPr>
      <t>, que autoriza a contratação de Hospitais e Clínicas Particulares visando o tratamento da Corona Vírus (Covid 19) em face do parecer contrário da Comissão de Constituição e Justiça - CCJ de n.º 38/2021.</t>
    </r>
  </si>
  <si>
    <r>
      <rPr>
        <b/>
        <sz val="10"/>
        <color theme="1"/>
        <rFont val="Arial"/>
        <family val="2"/>
      </rPr>
      <t>5. RECURSO DE AUTORIA DO VEREADOR RALFI SILVA AO PL N.º 18/2020</t>
    </r>
    <r>
      <rPr>
        <sz val="10"/>
        <color theme="1"/>
        <rFont val="Arial"/>
        <family val="2"/>
      </rPr>
      <t>, que cria a Câmara de Conciliação para reposição de bens móveis e serviços de manutenção nas propriedades sofridas por enchentes, no âmbito do município de Osasco, em face do parecer contrário da Comissão de Constituição e Justiça - CCJ de n.º 39/2021.</t>
    </r>
  </si>
  <si>
    <r>
      <rPr>
        <b/>
        <sz val="10"/>
        <color theme="1"/>
        <rFont val="Arial"/>
        <family val="2"/>
      </rPr>
      <t>6. RECURSO DE AUTORIA DO VEREADOR RALFI SILVA AO PL N.º 77/2020</t>
    </r>
    <r>
      <rPr>
        <sz val="10"/>
        <color theme="1"/>
        <rFont val="Arial"/>
        <family val="2"/>
      </rPr>
      <t>, que dispõe sobre a concessão de auxílio emergencial aos prestadores de serviço de transporte escolar, público e privado, em virtude dos impactos sociais e econômicos da pandemia de COVID19, em face do parecer contrário da Comissão de Constituição e Justiça - CCJ de n.º 44/2021.</t>
    </r>
  </si>
  <si>
    <t xml:space="preserve">EXEMPLOS: vereador ausente pautado na próxima sessão; aprovado; rejeitado; </t>
  </si>
  <si>
    <t>Vereador Ausente. Pautar na próxima sessão</t>
  </si>
  <si>
    <t xml:space="preserve"> chamada - REABERTURA DA ORDEM DO DIA</t>
  </si>
  <si>
    <t>PROPOSITURAS LIDAS</t>
  </si>
  <si>
    <t>Presentes</t>
  </si>
  <si>
    <t>Ausentes</t>
  </si>
  <si>
    <t>Intervalo</t>
  </si>
  <si>
    <t>Rodrigo Gansinho</t>
  </si>
  <si>
    <t xml:space="preserve"> chamada - ABERTURA DO EXPEDIENTE</t>
  </si>
  <si>
    <t>Alexandre Capriotti</t>
  </si>
  <si>
    <t>presente</t>
  </si>
  <si>
    <t>ausente</t>
  </si>
  <si>
    <t>Cantor Goleiro</t>
  </si>
  <si>
    <t xml:space="preserve">Carmônio Bastos - Presidente </t>
  </si>
  <si>
    <t>Elania Silva</t>
  </si>
  <si>
    <t>Gabriel Saúde</t>
  </si>
  <si>
    <t>Guilherme Prado</t>
  </si>
  <si>
    <t>Heber do JuntOZ</t>
  </si>
  <si>
    <t>Laércio Mendonça</t>
  </si>
  <si>
    <t>Pedrinho Cantagessi</t>
  </si>
  <si>
    <t>Sérgio Fontellas</t>
  </si>
  <si>
    <t>Stephane Rossi</t>
  </si>
  <si>
    <r>
      <rPr>
        <b/>
        <sz val="10"/>
        <color theme="1"/>
        <rFont val="Arial"/>
        <family val="2"/>
      </rPr>
      <t>7. RECURSO DE AUTORIA DA VEREADOR DELBIO TERUEL AO PL N.º 44/2022</t>
    </r>
    <r>
      <rPr>
        <b/>
        <sz val="11"/>
        <color theme="1"/>
        <rFont val="Arial"/>
        <family val="2"/>
      </rPr>
      <t>,</t>
    </r>
    <r>
      <rPr>
        <sz val="11"/>
        <color theme="1"/>
        <rFont val="Arial"/>
        <family val="2"/>
      </rPr>
      <t xml:space="preserve">, que dispõe sobre a proibição de transformação de banheiros feminino e masculino em unissex e de edificação de banheiros exclusivamente unissex em estabelecimentos públicos e privados no município de Osasco, </t>
    </r>
    <r>
      <rPr>
        <b/>
        <sz val="11"/>
        <color theme="1"/>
        <rFont val="Arial"/>
        <family val="2"/>
      </rPr>
      <t>em</t>
    </r>
    <r>
      <rPr>
        <sz val="11"/>
        <color theme="1"/>
        <rFont val="Arial"/>
        <family val="2"/>
      </rPr>
      <t xml:space="preserve"> </t>
    </r>
    <r>
      <rPr>
        <b/>
        <sz val="11"/>
        <color theme="1"/>
        <rFont val="Arial"/>
        <family val="2"/>
      </rPr>
      <t>face do parecer contrário da Comissão de Constituição e Justiça – CCJ, de n.º 164/2022.</t>
    </r>
  </si>
  <si>
    <t>2. REQUERIMENTO N.º 11/2022 – RALFI – Requer o envio de ofício ao Poder Executivo solicitando informações relacionadas a todos os contratos vinculados à Secretaria de Saúde que estejam vigorando de forma emergencial.</t>
  </si>
  <si>
    <t xml:space="preserve">3. REQUERIMENTO N.º 12/2022 – RALFI – Requer o envio de ofício ao Poder Executivo solicitando informações relacionadas a todos os contratos vinculados à </t>
  </si>
  <si>
    <r>
      <t>4.</t>
    </r>
    <r>
      <rPr>
        <sz val="7"/>
        <color theme="1"/>
        <rFont val="Times New Roman"/>
        <family val="1"/>
      </rPr>
      <t xml:space="preserve">    </t>
    </r>
    <r>
      <rPr>
        <b/>
        <sz val="11"/>
        <color theme="1"/>
        <rFont val="Arial"/>
        <family val="2"/>
      </rPr>
      <t xml:space="preserve">REQUERIMENTO n.º 14/2022 – Emerson Osasco – </t>
    </r>
    <r>
      <rPr>
        <sz val="11"/>
        <color theme="1"/>
        <rFont val="Arial"/>
        <family val="2"/>
      </rPr>
      <t>Requer o envio de ofício ao Poder Executivo solicitando informações relacionadas ao plano de trabalho e contrato vigente do CEU das Artes – Yolanda Aparecida Avelino Ribeiro com o Instituto Morgan.</t>
    </r>
  </si>
  <si>
    <r>
      <t xml:space="preserve">5. REQUERIMENTO n.º 06/2023 – Emerson Osasco – </t>
    </r>
    <r>
      <rPr>
        <sz val="11"/>
        <color theme="1"/>
        <rFont val="Arial"/>
        <family val="2"/>
      </rPr>
      <t>Requer o envio de ofício ao Poder Executivo solicitando informações relacionadas ao contrato e relação de pagamentos das empresas Medical Corp, Dermarcor e Assim Clínica Ltda, na integra e com anexos.</t>
    </r>
  </si>
  <si>
    <r>
      <t xml:space="preserve">6. REQUERIMENTO n.º 07/2023 – Emerson Osasco – </t>
    </r>
    <r>
      <rPr>
        <sz val="11"/>
        <color theme="1"/>
        <rFont val="Arial"/>
        <family val="2"/>
      </rPr>
      <t>Requer o envio de ofício ao Poder Executivo solicitando informações relacionadas à Maternidade Amador Aguiar, sobre os contratos das empresas Medical Corp e Dermarcor.</t>
    </r>
  </si>
  <si>
    <r>
      <t xml:space="preserve">7. REQUERIMENTO n.º 08/2023 – Emerson Osasco – </t>
    </r>
    <r>
      <rPr>
        <sz val="11"/>
        <color theme="1"/>
        <rFont val="Arial"/>
        <family val="2"/>
      </rPr>
      <t>Requer o envio de ofício ao Poder Executivo solicitando informações relacionadas à Maternidade Amador Aguiar, no que diz respeito ao número de óbitos mensais, no período entre 2017 e 2023, bem como o contato dos familiares e comparativos entre as médias municipal, estadual e federal.</t>
    </r>
  </si>
  <si>
    <r>
      <t xml:space="preserve">8.REQUERIMENTO n.º 09/2023 – Emerson Osasco – </t>
    </r>
    <r>
      <rPr>
        <sz val="11"/>
        <color theme="1"/>
        <rFont val="Arial"/>
        <family val="2"/>
      </rPr>
      <t>Requer o envio de ofício ao Poder Executivo solicitando informações relacionadas à verba mensal destinada para manutenção das ambulâncias do SAMU.</t>
    </r>
  </si>
  <si>
    <r>
      <t xml:space="preserve">9.REQUERIMENTO N.º 11/2023 – EMERSON OSASCO – </t>
    </r>
    <r>
      <rPr>
        <sz val="11"/>
        <color theme="1"/>
        <rFont val="Arial"/>
        <family val="2"/>
      </rPr>
      <t>Requer o envio de ofício ao Poder Executivo solicitando informações relacionadas às desapropriações no bairro Bonança e Morro do Socó.</t>
    </r>
  </si>
  <si>
    <r>
      <t xml:space="preserve">10.REQUERIMENTO N.º 03/2024 – EMERSON OSASCO – </t>
    </r>
    <r>
      <rPr>
        <sz val="11"/>
        <color theme="1"/>
        <rFont val="Arial"/>
        <family val="2"/>
      </rPr>
      <t>Requer o envio de ofício ao Poder Executivo solicitando informações relacionadas ao contrato celebrado com a organização civil Instituto Solução Social - CNPJ: 13.779.122/0001-70.</t>
    </r>
  </si>
  <si>
    <r>
      <t xml:space="preserve">11.REQUERIMENTO N.º 04/2024 – EMERSON OSASCO – </t>
    </r>
    <r>
      <rPr>
        <sz val="11"/>
        <color theme="1"/>
        <rFont val="Arial"/>
        <family val="2"/>
      </rPr>
      <t>Requer o envio de ofício ao Poder Executivo solicitando informações relacionadas ao contrato celebrado com a organização civil Associação das Mães Unidas do Novo Osasco - AMUNO - CNPJ: 51.240.240/0001-02.</t>
    </r>
  </si>
  <si>
    <r>
      <t>12.REQUERIMENTO N.º 05/2024 – EMERSON OSASCO –</t>
    </r>
    <r>
      <rPr>
        <sz val="11"/>
        <color theme="1"/>
        <rFont val="Arial"/>
        <family val="2"/>
      </rPr>
      <t xml:space="preserve"> Requer o envio de ofício ao Poder Executivo solicitando informações relacionadas ao contrato celebrado com a organização civil Associação de Proteção à Maternidade a Infância e a Adolescência - ASPROMATINA - CNPJ: 73.062.325/0005-04.</t>
    </r>
  </si>
  <si>
    <r>
      <t xml:space="preserve">13.REQUERIMENTO N.º 06/2024 – EMERSON OSASCO – </t>
    </r>
    <r>
      <rPr>
        <sz val="11"/>
        <color theme="1"/>
        <rFont val="Arial"/>
        <family val="2"/>
      </rPr>
      <t>Requer o envio de ofício ao Poder Executivo solicitando informações relacionadas ao contrato celebrado com a organização civil Instituto Inovação Social - CNPJ: 23.794.590/0001-77.</t>
    </r>
  </si>
  <si>
    <r>
      <t xml:space="preserve">14.REQUERIMENTO N.º 07/2024 – EMERSON OSASCO – </t>
    </r>
    <r>
      <rPr>
        <sz val="11"/>
        <color theme="1"/>
        <rFont val="Arial"/>
        <family val="2"/>
      </rPr>
      <t>Requer o envio de ofício ao Poder Executivo solicitando informações relacionadas ao contrato celebrado com a organização civil Associação das Mães do Jardim Veloso - CNPJ: 53.414.702/88.</t>
    </r>
  </si>
  <si>
    <r>
      <t xml:space="preserve">15.REQUERIMENTO N.º 08/2024 – EMERSON OSASCO – </t>
    </r>
    <r>
      <rPr>
        <sz val="11"/>
        <color theme="1"/>
        <rFont val="Arial"/>
        <family val="2"/>
      </rPr>
      <t>Requer o envio de ofício ao Poder Executivo solicitando informações relacionadas ao contrato celebrado com a organização Associação Quintal Mágico - CNPJ: 03.301.548/0001-60.</t>
    </r>
  </si>
  <si>
    <r>
      <t xml:space="preserve">16.REQUERIMENTO N.º 09/2024 – EMERSON OSASCO – </t>
    </r>
    <r>
      <rPr>
        <sz val="11"/>
        <color theme="1"/>
        <rFont val="Arial"/>
        <family val="2"/>
      </rPr>
      <t>Requer o envio de ofício ao Poder Executivo solicitando informações relacionadas ao contrato celebrado com a organização civil Associação Educacional Maria do Carmo Ferreira Paula - CNPJ: 22.533.209/0001-53.</t>
    </r>
  </si>
  <si>
    <r>
      <t xml:space="preserve">17.REQUERIMENTO N.º 10/2024 – EMERSON OSASCO – </t>
    </r>
    <r>
      <rPr>
        <sz val="11"/>
        <color theme="1"/>
        <rFont val="Arial"/>
        <family val="2"/>
      </rPr>
      <t>Requer o envio de ofício ao Poder Executivo solicitando informações relacionadas ao contrato celebrado com a organização civil Centro de Participação Popular do Jardim Veloso - CNPJ: 51.448.496/0001-00.</t>
    </r>
  </si>
  <si>
    <r>
      <t>18.REQUERIMENTO N.º 11/2024 – EMERSON OSASCO –</t>
    </r>
    <r>
      <rPr>
        <sz val="11"/>
        <color theme="1"/>
        <rFont val="Arial"/>
        <family val="2"/>
      </rPr>
      <t xml:space="preserve"> Requer o envio de ofício ao Poder Executivo solicitando informações relacionadas ao contrato celebrado com a organização civil Associação das Mulheres em Defesa à Criança- AMDC - CNPJ: 57.386.609/0001-68.</t>
    </r>
  </si>
  <si>
    <r>
      <t>19.REQUERIMENTO N.º 12/2024 – EMERSON OSASCO –</t>
    </r>
    <r>
      <rPr>
        <sz val="11"/>
        <color theme="1"/>
        <rFont val="Arial"/>
        <family val="2"/>
      </rPr>
      <t xml:space="preserve"> Requer o envio de ofício ao Poder Executivo solicitando informações relacionadas ao contrato celebrado com a organização civil Associação Solidária Crescendo Cidadã - CNPJ: 07.375.464/0001-21.</t>
    </r>
  </si>
  <si>
    <r>
      <t xml:space="preserve">20.REQUERIMENTO N.º 13/2024 – EMERSON OSASCO – </t>
    </r>
    <r>
      <rPr>
        <sz val="11"/>
        <color theme="1"/>
        <rFont val="Arial"/>
        <family val="2"/>
      </rPr>
      <t>Requer o envio de ofício ao Poder Executivo solicitando informações relacionadas ao contrato celebrado com a organização civil Instituto Veracidade - CNPJ: 13.256.793/0001-56.</t>
    </r>
  </si>
  <si>
    <t>21.REQUERIMENTO N.º 14/2024 – EMERSON OSASCO – Requer o envio de ofício ao Poder Executivo solicitando informações relacionadas ao contrato celebrado com a organização civil Associação para Gestão de Unidades Administrativas Sociais - ÁGUAS - CNPJ: 12.661.184/0001-10.</t>
  </si>
  <si>
    <t>22 - REQUERIMENTO N.º 15/2024 – EMERSON OSASCO – Requer o envio de ofício ao Poder Executivo solicitando informações relacionadas à reabertura da Casa de Angola de Osasco.</t>
  </si>
  <si>
    <t>23 - REQUERIMENTO N.º 16/2024 – EMERSON OSASCO – Requer o envio de ofício ao Poder Executivo solicitando informações relacionadas ao projeto de implementação de Centro de Referência de Cultura Afro-brasileira e de Religiões de Matriz Africana, previsto para o parque Glauco Vilas Boas.</t>
  </si>
  <si>
    <t xml:space="preserve"> Vereadores presentes após a chamada do expedinte</t>
  </si>
  <si>
    <t xml:space="preserve"> 1ª chamada abertura da sessão </t>
  </si>
  <si>
    <t>APROVADA</t>
  </si>
  <si>
    <t>pela ausência do autor, será pautada na próxima sessão.</t>
  </si>
  <si>
    <t>APROVADO</t>
  </si>
  <si>
    <t>sim</t>
  </si>
  <si>
    <t xml:space="preserve"> </t>
  </si>
  <si>
    <t>Batista Comunidade</t>
  </si>
  <si>
    <t>Lúcia da Saúde</t>
  </si>
  <si>
    <t>na presidência</t>
  </si>
  <si>
    <r>
      <t xml:space="preserve">MOÇÃO DE APLAUSOS Nº 321/2025 – BATISTA COMUNIDADE - </t>
    </r>
    <r>
      <rPr>
        <sz val="11"/>
        <color theme="1"/>
        <rFont val="Arial"/>
        <family val="2"/>
      </rPr>
      <t>À Senhora Michele Cassemiro Aroni, em reconhecimento à sua trajetória de vida, dedicação e compromisso com o serviço público e exemplo de superação e fé.</t>
    </r>
  </si>
  <si>
    <r>
      <t xml:space="preserve">MOÇÃO DE RECONHECIMENTO Nº 335/2025 – DÉLBIO TERUEL - </t>
    </r>
    <r>
      <rPr>
        <sz val="11"/>
        <color theme="1"/>
        <rFont val="Arial"/>
        <family val="2"/>
      </rPr>
      <t>À Dra. Letícia de Cássia Costa Lima, médica da Estratégia Saúde da Família (ESF), lotada na Unidade Básica de Saúde Lia Buarque Macedo Gasparini, pela sua destacada atuação profissional, humana e técnica na atenção primária à saúde do município de Osasco.</t>
    </r>
  </si>
  <si>
    <r>
      <t>MOÇÃO DE RECONHECIMENTO Nº 336/2025 – SÉRGIO FONTELLAS -</t>
    </r>
    <r>
      <rPr>
        <sz val="11"/>
        <color theme="1"/>
        <rFont val="Arial"/>
        <family val="2"/>
      </rPr>
      <t xml:space="preserve"> Ao Diretor Leonardo Abrantes e a toda equipe que compõe o trabalho desenvolvido pela TV Câmara: Gurupi Martins, Herodes Bezerra, Robson Cotait, Cristina Vieira, Rafael Mendes, Bruno Aguilar, Leonardo Novachi, Alexsandro Sakatauskas, Ricardo Gama e Claudiene de Lima, pelo excelente trabalho desempenhado na cobertura das atividades legislativas, na produção de reportagens e matérias de interesse público.</t>
    </r>
  </si>
  <si>
    <t>38ª SESSÃO ORDINÁRIA</t>
  </si>
  <si>
    <t>DIA 5 DE AGOSTO DE 2025 - TERÇA-FEIRA</t>
  </si>
  <si>
    <t>Ralfi Silva</t>
  </si>
  <si>
    <t>Ofício nº 189/2025 – Câmara dos Deputados – Ribamar Silva - Justificativa de Ausência.</t>
  </si>
  <si>
    <t xml:space="preserve">	Ofício nº 42/2025 – Pedrinho Cantagessi – Comunica que a partir de 25 de julho deixa de ser membro da Comissão da Criança, adolescente, da juventude e da mulher.</t>
  </si>
  <si>
    <t>Mensagem de Veto Prolegis Nº 06/2025 - Prefeito do Município de Osasco – Informa o veto total referente ao Projeto de Lei nº 20/2025, de autoria do vereador Guilherme Prado, que institui a semana municipal da mãe atípica.</t>
  </si>
  <si>
    <t>Mensagem de Veto Prolegis Nº 07/2025 - Prefeito do Município de Osasco – Informa o veto total referente ao Projeto de Lei nº 38/2024, de autoria do vereador Batista Comunidade, que institui o dia municipal do opala.</t>
  </si>
  <si>
    <t>Mensagem de Veto Prolegis Nº 08/2025 - Prefeito do Município de Osasco – Informa o veto total referente ao Projeto de Lei nº 53/2025, de autoria da vereadora Stephane Rossi, que institui a semana municipal de incentivo à adoção de crianças e adolescentes.</t>
  </si>
  <si>
    <t>Mensagem de Veto Prolegis Nº 10/2025 - Prefeito do Município de Osasco – Informa o veto total referente ao Projeto de Lei nº 100/2025, de autoria do vereador Andrezinho, institui a certificação municipal Selo Empresa Amiga do Motoboy.</t>
  </si>
  <si>
    <t>Processo eletrônico eTC - 4620.989.23-6 – Tribunal de Contas do Estado de São Paulo - Referente à prestação de contas da Prefeitura Municipal de Osasco, exercício de 2023, para os fins previstos no artigo 31, § 2º, da Constituição Federal, combinado com o artigo 150 da Constituição do Estado de São Paulo.</t>
  </si>
  <si>
    <t>Projeto de Lei nº 120/2025 – Prefeito do Município de Osasco – Dispõe sobre a abertura de crédito adicional especial ao orçamento vigente e dá outras providências.</t>
  </si>
  <si>
    <t>Projeto de Lei nº 123/2025 – Prefeito do Município de Osasco – Dispõe sobre as diretrizes orçamentárias do Município de Osasco para o exercício de 2026, no âmbito da Administração Direta e Indireta do Município, e dá outras providências.</t>
  </si>
  <si>
    <t>Projeto de Lei nº 124/2025 – Prefeito do Município de Osasco – Dispõe sobre o Plano Plurianual do Município de Osasco para o quadriênio compreendido entre 2026 e 2029.</t>
  </si>
  <si>
    <t>Projeto de Lei nº 19/2024 – Laércio Mendonça – Institui o dia municipal do porteiro.</t>
  </si>
  <si>
    <t>Projeto de Lei nº 72/2024 – Alexandre Capriotti – Institui no calendário oficial do Município o Dia Offline.</t>
  </si>
  <si>
    <t>Projeto de Lei nº 54/2025 – Alexandre Capriotti – Dispõe sobre a proibição do plantio de espécies vegetais tóxicas ou que tenham espinhos nas áreas públicas no âmbito do Município de Osasco.</t>
  </si>
  <si>
    <t>Projeto de Lei nº 74/2025 – Délbio Teruel – Altera a denominação de praça XI de junho para praça São Mateus, localizada no Jardim Cipava.</t>
  </si>
  <si>
    <t>Projeto de Lei nº 78/2025 – Heber Juntoz – Institui diretrizes para a implementação e incentivo de Soluções Baseadas na Natureza (SBN) e infraestruturas verdes-azuis no Município de Osasco.</t>
  </si>
  <si>
    <t>Projeto de Lei nº 86/2025 – Alexandre Capriotti – Institui o mês Outubro Caramelo, dedicado à conscientização sobre a segurança dos animais no trânsito.</t>
  </si>
  <si>
    <t>Projeto de Lei nº 87/2025 – Alexandre Capriotti – Dispõe sobre proteção ao direito de fornecer alimento e água a animais de rua em espaços públicos no município de Osasco.</t>
  </si>
  <si>
    <t>Projeto de Lei nº 89/2025 – Laércio Mendonça – Institui o dia do Psicopedagogo no calendário oficial do Município de Osasco.</t>
  </si>
  <si>
    <t>Projeto de Lei nº 90/2025 – Lúcia da Saúde – Dispõe sobre procedimentos de limpeza e esterilização de instrumentos utilizados por manicures, pedicures, barbeiros e cabeleireiros em estabelecimentos de embelezamento.</t>
  </si>
  <si>
    <t>Projeto de Lei nº 92/2025 – Lúcia da Saúde – Institui o dia municipal das doenças raras no Município de Osasco.</t>
  </si>
  <si>
    <t>Projeto de Lei nº 93/2025 – Lúcia da Saúde – Institui a Semana de Prevenção e Apoio à Ansiedade no Município de Osasco.</t>
  </si>
  <si>
    <t>Projeto de Lei nº 96/2025 – Alexandre Capriotti – Dispõe sobre a proibição da realização de tatuagens permanentes ou temporárias, bem como a colocação de piercing em animais, para fins estéticos, no Município de Osasco.</t>
  </si>
  <si>
    <t>Projeto de Lei nº 97/2025 – Alexandre Capriotti – Dispõe sobre a proibição da permanência de animais desacompanhados no interior de veículos automotores no Município de Osasco.</t>
  </si>
  <si>
    <t>Projeto de Lei nº 113/2025 – Lúcia da Saúde – Altera a lei nº 4.829, de 14 de setembro de 2017, que dispõe sobre a divulgação do "Disque 100" nos livros, cadernos, impressos informativos da Secretaria de Educação do Município de Osasco.</t>
  </si>
  <si>
    <t>Projeto de Lei nº 113/2025 – Lúcia da Saúde - Dispõe sobre a implantação de código tipo QR Code nas placas de denominação de ruas, praças, logradouros e equipamentos públicos do Município de Osasco.</t>
  </si>
  <si>
    <t>Projeto de Lei nº 114/2025 – Cârmonio Bastos – Dispõe sobre denominação da UBS Adalgiza Correia Soares.</t>
  </si>
  <si>
    <t>Projeto de Lei nº 115/2025 – Lúcia da Saúde – Dispõe sobre o uso do cordão de fita de identificação para pessoas diagnosticadas com algum tipo de doença rara.</t>
  </si>
  <si>
    <t>Projeto de Lei nº 117/2025 – Lúcia da Saúde – Dispõe sobre a obrigatoriedade de profissional habilitado com curso de primeiros socorros suporte básico à vida nas academias de ginástica do Município de Osasco.</t>
  </si>
  <si>
    <t>Projeto de Lei nº 118/2025 – Lúcia da Saúde – Institui o Mês de Conscientização sobre as Doenças Cardiovasculares.</t>
  </si>
  <si>
    <t>Projeto de Lei nº 119/2025 – Josias da Juco - Dispõe sobre a implantação de código tipo QR Code nas placas de denominação de ruas, praças, logradouros e equipamentos públicos do Município de Osasco.</t>
  </si>
  <si>
    <t>Projeto de Lei nº 121/2025 – Alexandre Capriotti – Dispõe sobre a obrigatoriedade de prestação de socorro aos animais atropelados no Município de Osasco.</t>
  </si>
  <si>
    <t>Projeto de Decreto Legislativo nº 63/2024 – Paulo Júnior – Dispõe sobre a concessão de placa comemorativa à igreja Nova Jerusalém Osasco.</t>
  </si>
  <si>
    <t>Projeto de Decreto Legislativo nº 03/2025 – Ralfi Silva – Dispõe sobre a concessão de Placa Comemorativa à Drogaria Econômica.</t>
  </si>
  <si>
    <t>Projeto de Decreto Legislativo nº 26/2025 – Heber do Juntoz – Dispõe sobre a concessão de Cartão de Prata ao Prof. Dr. Ricardo dos Santos Coelho.</t>
  </si>
  <si>
    <t>Projeto de Resolução nº 4/2025 – Josias da Juco - Dispõe sobre a denominação de Sala das Comissões Permanentes Doutora Régia Maria Gouveia Sarmento.</t>
  </si>
  <si>
    <t>Projeto de Resolução nº 8/2025 – Lúcia da Saúde - Institui a Galeria Lilás nas dependências da Câmara Municipal de Osasco.</t>
  </si>
  <si>
    <t>Projeto de Lei Complementar 7/2025 – Prefeito do Município de Osasco - Altera a Lei Complementar n° 389, de 30 de Dezembro de 2020, que disciplina e estabelece a arquitetura organizacional e administrativa da estrutura de pessoal da hierarquia superior da Administração Direta do Executivo Municipal de Osasco e constitui diretrizes gerais obrigatórias para as demais leis que tratem do tema.</t>
  </si>
  <si>
    <r>
      <t xml:space="preserve">MOÇÃO DE APLAUSOS Nº 327/2025 – SÉRGIO FONTELLAS - </t>
    </r>
    <r>
      <rPr>
        <sz val="11"/>
        <color theme="1"/>
        <rFont val="Arial"/>
        <family val="2"/>
      </rPr>
      <t>Ao Grupo Saúde Universal (GSU), pela mobilização voluntária em prol da conscientização da doação de sangue, realizada em todo o território nacional, especialmente a atuação do grupo, na Unidade da Fundação Pró-Sangue, localizada no Hospital Regional da Cidade de Osasco, incentivando a população à prática da doação de sangue, promovendo a solidariedade e estimulando os voluntários a salvarem vidas através da doação de sangue.</t>
    </r>
  </si>
  <si>
    <r>
      <t>MOÇÃO DE APLAUSOS Nº 337/2025 – SÉRGIO FONTELLAS -</t>
    </r>
    <r>
      <rPr>
        <sz val="11"/>
        <color theme="1"/>
        <rFont val="Arial"/>
        <family val="2"/>
      </rPr>
      <t xml:space="preserve"> À Sandra de Andrade, que desde muito jovem, enfrentou os desafios trazidos pela paralisia infantil, mas nunca permitiu que isso limitasse sua vontade de viver com dignidade e propósito. Sandra encontrou na venda de doces, uma forma de sustento e superação, pois com seu carinho e dedicação, percorre repartições públicas levando não apenas seus doces, mas também um sorriso e uma história de força que inspira a todos ao seu redor.</t>
    </r>
  </si>
  <si>
    <r>
      <t>MOÇÃO DE RECONHECIMENTO Nº 339/2025 – LAÉRCIO MENDONÇA -</t>
    </r>
    <r>
      <rPr>
        <sz val="11"/>
        <color theme="1"/>
        <rFont val="Arial"/>
        <family val="2"/>
      </rPr>
      <t xml:space="preserve"> À enfermeira Marilene de Fátima Pereira, conhecida carinhosamente como Mari Pereira, pelos relevantes serviços prestados à população osasquense na área da saúde, com destaque para sua competência, dedicação e liderança no exercício da enfermagem.</t>
    </r>
  </si>
  <si>
    <r>
      <t>MOÇÃO DE APLAUSO Nº 349/2025 – JOSIAS DA JUCO -</t>
    </r>
    <r>
      <rPr>
        <sz val="11"/>
        <color theme="1"/>
        <rFont val="Arial"/>
        <family val="2"/>
      </rPr>
      <t xml:space="preserve"> Ao Excelentíssimo Senhor Prefeito de Osasco, Sr. Gerson Pessoa, à Primeira-Dama, Sra. Gabriela Pessoa, ao Presidente desta Casa Legislativa, Vereador Carmônio Bastos, ao Secretário de Planejamento, Sr. Eder Máximo e à toda comitiva que participou da importante iniciativa de visita oficial à cidade de Osasco, na Itália, cidade-irmã, onde nasceu nosso fundador Antônio Agu e que deu origem ao nome da Osasco brasileira.</t>
    </r>
  </si>
  <si>
    <r>
      <t>MOÇÃO DE RECONHECIMENTO Nº 350/2025 – LÚCIA DA SAÚDE -</t>
    </r>
    <r>
      <rPr>
        <sz val="11"/>
        <color theme="1"/>
        <rFont val="Arial"/>
        <family val="2"/>
      </rPr>
      <t xml:space="preserve"> Ao Dr. Marcelo Correa Affonso, médico ginecologista, pelos relevantes serviços prestados à saúde e bem-estar da população de nossa cidade, com um trabalho exemplar e de extrema dedicação.</t>
    </r>
  </si>
  <si>
    <r>
      <t xml:space="preserve">MOÇÃO DE RECONHECIMENTO Nº 351/2025 – LÚCIA DA SAÚDE - </t>
    </r>
    <r>
      <rPr>
        <sz val="11"/>
        <color theme="1"/>
        <rFont val="Arial"/>
        <family val="2"/>
      </rPr>
      <t>À Dra. Sanelly Mendes Pereira, por sua trajetória brilhante e comprometimento que tem sido um exemplo de excelência na medicina para muitas famílias de nossa cidade.</t>
    </r>
  </si>
  <si>
    <t>pela ausência da autora, será pautada na próxima sessão.</t>
  </si>
  <si>
    <r>
      <t xml:space="preserve">MOÇÃO DE RECONHECIMENTO Nº 352/2025 – LÚCIA DA SAÚDE - </t>
    </r>
    <r>
      <rPr>
        <sz val="11"/>
        <color theme="1"/>
        <rFont val="Arial"/>
        <family val="2"/>
      </rPr>
      <t>Ao Dr. Ricardo Cassio Mendes Júnior, médico generalista da nossa cidade, pelos relevantes serviços prestados à comunidade de Osasco, ao longo de sua carreira dedicada ao cuidado e bem-estar de nossos munícipes.</t>
    </r>
  </si>
  <si>
    <r>
      <t xml:space="preserve">MOÇÃO DE RECONHECIMENTO Nº 353/20525 – LÚCIA DA SAÚDE - </t>
    </r>
    <r>
      <rPr>
        <sz val="11"/>
        <color theme="1"/>
        <rFont val="Arial"/>
        <family val="2"/>
      </rPr>
      <t>Ao Dr. Pablo Henrique de Lima, médico da família e comunidade, pelos serviços de excelência e dedicação à saúde pública de Osasco.</t>
    </r>
  </si>
  <si>
    <r>
      <t xml:space="preserve">MOÇÃO DE RECONHECIMENTO Nº 354/2025 – LÚCIA DA SAÚDE - </t>
    </r>
    <r>
      <rPr>
        <sz val="11"/>
        <color theme="1"/>
        <rFont val="Arial"/>
        <family val="2"/>
      </rPr>
      <t>À Dra. Maura Herédia Estrada pelos relevantes serviços prestados à população de Osasco, especialmente no âmbito da saúde pública.</t>
    </r>
  </si>
  <si>
    <r>
      <t xml:space="preserve">MOÇÃO DE APLAUSOS Nº 355/2025 – BATISTA COMUNIDADE - </t>
    </r>
    <r>
      <rPr>
        <sz val="11"/>
        <color theme="1"/>
        <rFont val="Arial"/>
        <family val="2"/>
      </rPr>
      <t>À Técnica de Enfermagem Flan Souza, em reconhecimento ao seu comprometimento, dedicação e relevante atuação profissional na área da saúde, especialmente na Unidade Básica de Saúde Vila Menck.</t>
    </r>
  </si>
  <si>
    <r>
      <t>MOÇÃO DE RECONHECIMENTO Nº 356/2025 - GUILHERME PRADO -</t>
    </r>
    <r>
      <rPr>
        <sz val="11"/>
        <color theme="1"/>
        <rFont val="Arial"/>
        <family val="2"/>
      </rPr>
      <t xml:space="preserve"> À Associação Nacional dos Policiais Penais - ANPPEN, pelo trabalho realizado em prol da valorização da Polícia Penal e pela relevante contribuição à defesa dos direitos e da dignidade dos profissionais da área.</t>
    </r>
  </si>
  <si>
    <r>
      <t xml:space="preserve">MOÇÃO DE APLAUSOS Nº 357/2025 – ELSA OLIVEIRA - </t>
    </r>
    <r>
      <rPr>
        <sz val="11"/>
        <color theme="1"/>
        <rFont val="Arial"/>
        <family val="2"/>
      </rPr>
      <t>à Sra. Amarilda Gonçalves Gandra, técnica de enfermagem atuante na Unidade de Terapia Intensiva (UTI) do Hospital Antônio Giglio em reconhecimento à sua dedicação profissional, à superação pessoal e ao compromisso com a dignidade humana por meio do trabalho voluntário e da assistência à população vulnerável.</t>
    </r>
  </si>
  <si>
    <r>
      <t xml:space="preserve">MOÇÃO DE APLAUSOS Nº 358/2025 – ELSA OLIVEIRA - </t>
    </r>
    <r>
      <rPr>
        <sz val="11"/>
        <color theme="1"/>
        <rFont val="Arial"/>
        <family val="2"/>
      </rPr>
      <t>Ao Sistema Único de Saúde (SUS), pela conquista histórica do Brasil na eliminação da transmissão vertical do HIV, de mãe para filho, fato reconhecido oficialmente pela Organização Mundial da Saúde (OMS) em julho de 2025.</t>
    </r>
  </si>
  <si>
    <r>
      <t>MOÇÃO DE APELO Nº 359/2025 – ELSA OLIVEIRA -</t>
    </r>
    <r>
      <rPr>
        <sz val="11"/>
        <color theme="1"/>
        <rFont val="Arial"/>
        <family val="2"/>
      </rPr>
      <t xml:space="preserve"> Aos partidos políticos, ao Congresso Nacional, ao Tribunal Superior Eleitoral (TSE) e às instituições democráticas, para que adotem medidas concretas e urgentes para ampliar a participação de mulheres nos espaços de decisão política, diante da alarmante posição ocupada pelo Brasil no cenário internacional.</t>
    </r>
  </si>
  <si>
    <r>
      <t>MOÇÃO DE CONGRATULAÇÕES Nº 360/2025 – GABRIEL SAÚDE -</t>
    </r>
    <r>
      <rPr>
        <sz val="11"/>
        <color theme="1"/>
        <rFont val="Arial"/>
        <family val="2"/>
      </rPr>
      <t xml:space="preserve"> À Igreja Apostólica Fonte de Vida em Cristo - FVC Church, pelos seus 18 anos de fundação, celebrados no dia 12 de julho de 2025.</t>
    </r>
  </si>
  <si>
    <r>
      <t xml:space="preserve">MOÇÃO DE CONGRATULAÇÕES Nº 361/2025 – JOSIAS DA JUCO - </t>
    </r>
    <r>
      <rPr>
        <sz val="11"/>
        <color theme="1"/>
        <rFont val="Arial"/>
        <family val="2"/>
      </rPr>
      <t>À Família do Sr. Guido Collino, na celebração de seu centenário de nascimento.</t>
    </r>
  </si>
  <si>
    <r>
      <t>MOÇÃO DE APLAUSOS Nº 362/2025 – BATISTA COMUNIDADE -</t>
    </r>
    <r>
      <rPr>
        <sz val="11"/>
        <color theme="1"/>
        <rFont val="Arial"/>
        <family val="2"/>
      </rPr>
      <t xml:space="preserve"> Ao servidor público Claudio Lúcio de Souza Moraes, pelos relevantes serviços prestados à educação e à comunidade do município de Osasco.</t>
    </r>
  </si>
  <si>
    <r>
      <t xml:space="preserve">MOÇÃO DE REPÚDIO Nº 363/2025 – LÚCIA DA SAÚDE - </t>
    </r>
    <r>
      <rPr>
        <sz val="11"/>
        <color theme="1"/>
        <rFont val="Arial"/>
        <family val="2"/>
      </rPr>
      <t>À violência física e psicológica contra Juliana dos Santos, vítima de tentativa feminicídio em Natal-RN.</t>
    </r>
  </si>
  <si>
    <r>
      <t xml:space="preserve">MOÇÃO DE APOIO Nº 364/2025 – ELSA OLIVEIRA - </t>
    </r>
    <r>
      <rPr>
        <sz val="11"/>
        <color theme="1"/>
        <rFont val="Arial"/>
        <family val="2"/>
      </rPr>
      <t>À Campanha Agosto Lilás, mês de conscientização pelo fim da violência contra a mulher, instituído nacionalmente pela Lei Federal nº 14.448/2022.</t>
    </r>
  </si>
  <si>
    <r>
      <t>MOÇÃO DE RECONHECIMENTO Nº 365/2025 – BATISTA COMUNIDADE -</t>
    </r>
    <r>
      <rPr>
        <sz val="11"/>
        <color theme="1"/>
        <rFont val="Arial"/>
        <family val="2"/>
      </rPr>
      <t xml:space="preserve"> Ao Time Intermenck pela conquista do título de Campeão da Primeira Divisão de Osasco. Temporada 2024/2025, um feito histórico que orgulha toda a cidade, especialmente os moradores da Vila Menck.</t>
    </r>
  </si>
  <si>
    <r>
      <t>MOÇÃO DE RECONHECIMENTO Nº 366/2025 – GABRIEL SAÚDE -</t>
    </r>
    <r>
      <rPr>
        <sz val="11"/>
        <color theme="1"/>
        <rFont val="Arial"/>
        <family val="2"/>
      </rPr>
      <t xml:space="preserve"> À Jackeline Correa Martins, instrutora de trânsito e organizadora de feiras que fortalecem o pequeno empreendedor local.</t>
    </r>
  </si>
  <si>
    <r>
      <t xml:space="preserve">MOÇÃO DE CONGRATULAÇÕES 367/2025 – GABRIEL SAÚDE - </t>
    </r>
    <r>
      <rPr>
        <sz val="11"/>
        <color theme="1"/>
        <rFont val="Arial"/>
        <family val="2"/>
      </rPr>
      <t>Ao Congresso Nacional e ao executivo Nacional pela aprovação e sanção da Lei nº 15.176/2025, que reconhece a fibromialgia como deficiência para fins legais em todo o território nacional.</t>
    </r>
  </si>
  <si>
    <r>
      <t xml:space="preserve">PROJETO DE LEI Nº 25/2025 – SÉRGIO FONTELLAS – </t>
    </r>
    <r>
      <rPr>
        <sz val="14"/>
        <color theme="1"/>
        <rFont val="Arial"/>
        <family val="2"/>
      </rPr>
      <t>Dispõe sobre a criação da carteira de identificação de pessoas acometidas por Alzheimer.</t>
    </r>
  </si>
  <si>
    <r>
      <t>PROJETO DE LEI Nº 26/2025 – SÉRGIO FONTELLAS –</t>
    </r>
    <r>
      <rPr>
        <sz val="14"/>
        <color theme="1"/>
        <rFont val="Arial"/>
        <family val="2"/>
      </rPr>
      <t xml:space="preserve"> Institui a certificação municipal Selo Empresa Amiga dos Autistas.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</si>
</sst>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b/>
      <sz val="11"/>
      <color theme="1"/>
      <name val="Calibri"/>
      <family val="2"/>
      <scheme val="minor"/>
    </font>
    <font>
      <sz val="9"/>
      <color rgb="FF333333"/>
      <name val="Myriad-Pro"/>
      <charset val="1"/>
    </font>
    <font>
      <sz val="11"/>
      <color theme="1"/>
      <name val="Arial"/>
      <family val="2"/>
    </font>
    <font>
      <b/>
      <sz val="11"/>
      <color theme="1"/>
      <name val="Arial"/>
      <family val="2"/>
    </font>
    <font>
      <sz val="12"/>
      <color theme="1"/>
      <name val="Arial"/>
      <family val="2"/>
    </font>
    <font>
      <b/>
      <sz val="12"/>
      <color theme="1"/>
      <name val="Arial"/>
      <family val="2"/>
    </font>
    <font>
      <sz val="11"/>
      <color theme="1"/>
      <name val="Calibri"/>
      <family val="2"/>
      <scheme val="minor"/>
    </font>
    <font>
      <sz val="14"/>
      <color theme="1"/>
      <name val="Arial"/>
      <family val="2"/>
    </font>
    <font>
      <b/>
      <sz val="14"/>
      <color theme="1"/>
      <name val="Arial"/>
      <family val="2"/>
    </font>
    <font>
      <sz val="14"/>
      <color rgb="FFFF0000"/>
      <name val="Calibri"/>
      <family val="2"/>
      <scheme val="minor"/>
    </font>
    <font>
      <b/>
      <u/>
      <sz val="14"/>
      <color rgb="FFFF0000"/>
      <name val="Arial"/>
      <family val="2"/>
    </font>
    <font>
      <b/>
      <u/>
      <sz val="11"/>
      <color theme="1"/>
      <name val="Arial"/>
      <family val="2"/>
    </font>
    <font>
      <b/>
      <u/>
      <sz val="11"/>
      <name val="Arial"/>
      <family val="2"/>
    </font>
    <font>
      <b/>
      <sz val="16"/>
      <color theme="1"/>
      <name val="Arial"/>
      <family val="2"/>
    </font>
    <font>
      <b/>
      <sz val="10"/>
      <color theme="1"/>
      <name val="Arial"/>
      <family val="2"/>
    </font>
    <font>
      <b/>
      <sz val="10"/>
      <color theme="1"/>
      <name val="Calibri"/>
      <family val="2"/>
      <scheme val="minor"/>
    </font>
    <font>
      <sz val="10"/>
      <color theme="1"/>
      <name val="Calibri"/>
      <family val="2"/>
      <scheme val="minor"/>
    </font>
    <font>
      <b/>
      <u/>
      <sz val="10"/>
      <color rgb="FFFF0000"/>
      <name val="Arial"/>
      <family val="2"/>
    </font>
    <font>
      <sz val="10"/>
      <color theme="1"/>
      <name val="Arial"/>
      <family val="2"/>
    </font>
    <font>
      <sz val="10"/>
      <color rgb="FF333333"/>
      <name val="Myriad-Pro"/>
      <charset val="1"/>
    </font>
    <font>
      <b/>
      <i/>
      <u/>
      <sz val="16"/>
      <color theme="1"/>
      <name val="Arial"/>
      <family val="2"/>
    </font>
    <font>
      <b/>
      <i/>
      <u/>
      <sz val="12"/>
      <color theme="1"/>
      <name val="Arial"/>
      <family val="2"/>
    </font>
    <font>
      <b/>
      <sz val="12"/>
      <name val="Arial"/>
      <family val="2"/>
    </font>
    <font>
      <b/>
      <sz val="14"/>
      <color rgb="FFFF0000"/>
      <name val="Arial"/>
      <family val="2"/>
    </font>
    <font>
      <b/>
      <u/>
      <sz val="11"/>
      <color rgb="FFFF0000"/>
      <name val="Arial"/>
      <family val="2"/>
    </font>
    <font>
      <b/>
      <sz val="14"/>
      <color theme="1"/>
      <name val="Calibri"/>
      <family val="2"/>
      <scheme val="minor"/>
    </font>
    <font>
      <sz val="8"/>
      <name val="Calibri"/>
      <family val="2"/>
      <scheme val="minor"/>
    </font>
    <font>
      <b/>
      <u/>
      <sz val="10"/>
      <name val="Arial"/>
      <family val="2"/>
    </font>
    <font>
      <sz val="11"/>
      <name val="Calibri"/>
      <family val="2"/>
      <scheme val="minor"/>
    </font>
    <font>
      <sz val="7"/>
      <color theme="1"/>
      <name val="Times New Roman"/>
      <family val="1"/>
    </font>
    <font>
      <b/>
      <sz val="12"/>
      <color rgb="FF00B050"/>
      <name val="Arial"/>
      <family val="2"/>
    </font>
    <font>
      <b/>
      <sz val="11"/>
      <color rgb="FF00B050"/>
      <name val="Calibri"/>
      <family val="2"/>
      <scheme val="minor"/>
    </font>
    <font>
      <sz val="12"/>
      <name val="Arial"/>
      <family val="2"/>
    </font>
    <font>
      <b/>
      <sz val="14"/>
      <name val="Calibri"/>
      <family val="2"/>
      <scheme val="minor"/>
    </font>
    <font>
      <sz val="14"/>
      <name val="Calibri"/>
      <family val="2"/>
      <scheme val="minor"/>
    </font>
    <font>
      <b/>
      <sz val="10"/>
      <color rgb="FF0070C0"/>
      <name val="Arial"/>
      <family val="2"/>
    </font>
    <font>
      <b/>
      <u/>
      <sz val="14"/>
      <color theme="1"/>
      <name val="Calibri"/>
      <family val="2"/>
      <scheme val="minor"/>
    </font>
    <font>
      <b/>
      <i/>
      <u/>
      <sz val="12"/>
      <color theme="1"/>
      <name val="Calibri"/>
      <family val="2"/>
      <scheme val="minor"/>
    </font>
    <font>
      <b/>
      <sz val="16"/>
      <color rgb="FFFF0000"/>
      <name val="Arial"/>
      <family val="2"/>
    </font>
    <font>
      <b/>
      <sz val="11"/>
      <color theme="1"/>
      <name val="Arial"/>
      <family val="1"/>
    </font>
    <font>
      <b/>
      <sz val="12"/>
      <color rgb="FFFF0000"/>
      <name val="Arial"/>
      <family val="2"/>
    </font>
    <font>
      <b/>
      <sz val="14"/>
      <color rgb="FF00B050"/>
      <name val="Arial"/>
      <family val="2"/>
    </font>
    <font>
      <b/>
      <sz val="11"/>
      <name val="Calibri"/>
      <family val="2"/>
      <scheme val="minor"/>
    </font>
    <font>
      <b/>
      <sz val="12"/>
      <color rgb="FF000000"/>
      <name val="Calibri"/>
      <family val="2"/>
    </font>
    <font>
      <b/>
      <sz val="10"/>
      <name val="Arial"/>
      <family val="2"/>
    </font>
  </fonts>
  <fills count="10">
    <fill>
      <patternFill patternType="none"/>
    </fill>
    <fill>
      <patternFill patternType="gray125"/>
    </fill>
    <fill>
      <patternFill patternType="solid">
        <fgColor rgb="FFFFFFFF"/>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49">
    <xf numFmtId="0" fontId="0" fillId="0" borderId="0" xfId="0"/>
    <xf numFmtId="0" fontId="2" fillId="2" borderId="0" xfId="0" applyFont="1" applyFill="1" applyAlignment="1">
      <alignment wrapText="1"/>
    </xf>
    <xf numFmtId="0" fontId="1" fillId="0" borderId="0" xfId="0" applyFont="1" applyAlignment="1">
      <alignment horizontal="center"/>
    </xf>
    <xf numFmtId="0" fontId="3" fillId="0" borderId="0" xfId="0" applyFont="1" applyAlignment="1">
      <alignment horizontal="justify" vertical="center"/>
    </xf>
    <xf numFmtId="0" fontId="4" fillId="0" borderId="0" xfId="0" applyFont="1" applyAlignment="1">
      <alignment horizontal="justify" vertical="center"/>
    </xf>
    <xf numFmtId="0" fontId="7" fillId="0" borderId="0" xfId="0" applyFont="1"/>
    <xf numFmtId="0" fontId="0" fillId="0" borderId="0" xfId="0" applyAlignment="1">
      <alignment horizontal="center" wrapText="1"/>
    </xf>
    <xf numFmtId="0" fontId="5" fillId="0" borderId="0" xfId="0" applyFont="1"/>
    <xf numFmtId="0" fontId="3" fillId="0" borderId="0" xfId="0" applyFont="1" applyAlignment="1">
      <alignment horizontal="justify" vertical="top"/>
    </xf>
    <xf numFmtId="0" fontId="5" fillId="0" borderId="0" xfId="0" applyFont="1" applyAlignment="1">
      <alignment horizontal="justify" vertical="top"/>
    </xf>
    <xf numFmtId="0" fontId="12"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wrapText="1"/>
    </xf>
    <xf numFmtId="0" fontId="6" fillId="0" borderId="0" xfId="0" applyFont="1" applyAlignment="1">
      <alignment horizontal="justify" vertical="top"/>
    </xf>
    <xf numFmtId="0" fontId="6" fillId="0" borderId="0" xfId="0" applyFont="1" applyAlignment="1">
      <alignment horizontal="right" vertical="center"/>
    </xf>
    <xf numFmtId="0" fontId="6" fillId="5" borderId="0" xfId="0" applyFont="1" applyFill="1" applyAlignment="1">
      <alignment horizontal="right" vertical="center"/>
    </xf>
    <xf numFmtId="0" fontId="0" fillId="5" borderId="0" xfId="0" applyFill="1"/>
    <xf numFmtId="0" fontId="6" fillId="6" borderId="0" xfId="0" applyFont="1" applyFill="1" applyAlignment="1">
      <alignment horizontal="right" vertical="center"/>
    </xf>
    <xf numFmtId="0" fontId="0" fillId="6" borderId="0" xfId="0" applyFill="1"/>
    <xf numFmtId="0" fontId="6" fillId="7" borderId="0" xfId="0" applyFont="1" applyFill="1" applyAlignment="1">
      <alignment horizontal="right" vertical="center"/>
    </xf>
    <xf numFmtId="0" fontId="0" fillId="7" borderId="0" xfId="0" applyFill="1"/>
    <xf numFmtId="0" fontId="16" fillId="0" borderId="0" xfId="0" applyFont="1" applyAlignment="1">
      <alignment horizontal="center"/>
    </xf>
    <xf numFmtId="0" fontId="17" fillId="0" borderId="0" xfId="0" applyFont="1"/>
    <xf numFmtId="0" fontId="19" fillId="0" borderId="0" xfId="0" applyFont="1"/>
    <xf numFmtId="0" fontId="15" fillId="5" borderId="0" xfId="0" applyFont="1" applyFill="1" applyAlignment="1">
      <alignment horizontal="right" vertical="center"/>
    </xf>
    <xf numFmtId="0" fontId="17" fillId="5" borderId="0" xfId="0" applyFont="1" applyFill="1"/>
    <xf numFmtId="0" fontId="15" fillId="6" borderId="0" xfId="0" applyFont="1" applyFill="1" applyAlignment="1">
      <alignment horizontal="right" vertical="center"/>
    </xf>
    <xf numFmtId="0" fontId="17" fillId="6" borderId="0" xfId="0" applyFont="1" applyFill="1"/>
    <xf numFmtId="0" fontId="15" fillId="0" borderId="0" xfId="0" applyFont="1" applyAlignment="1">
      <alignment horizontal="right" vertical="center"/>
    </xf>
    <xf numFmtId="0" fontId="15" fillId="7" borderId="0" xfId="0" applyFont="1" applyFill="1" applyAlignment="1">
      <alignment horizontal="right" vertical="center"/>
    </xf>
    <xf numFmtId="0" fontId="17" fillId="7" borderId="0" xfId="0" applyFont="1" applyFill="1"/>
    <xf numFmtId="0" fontId="20" fillId="2" borderId="0" xfId="0" applyFont="1" applyFill="1" applyAlignment="1">
      <alignment wrapText="1"/>
    </xf>
    <xf numFmtId="0" fontId="5" fillId="0" borderId="0" xfId="0" applyFont="1" applyAlignment="1">
      <alignment horizontal="center"/>
    </xf>
    <xf numFmtId="0" fontId="10" fillId="0" borderId="0" xfId="0" applyFont="1"/>
    <xf numFmtId="0" fontId="8" fillId="4" borderId="0" xfId="0" applyFont="1" applyFill="1"/>
    <xf numFmtId="0" fontId="7" fillId="0" borderId="1" xfId="0" applyFont="1" applyBorder="1"/>
    <xf numFmtId="0" fontId="5" fillId="0" borderId="1" xfId="0" applyFont="1" applyBorder="1" applyAlignment="1">
      <alignment horizontal="center" wrapText="1"/>
    </xf>
    <xf numFmtId="0" fontId="5" fillId="0" borderId="11" xfId="0" applyFont="1" applyBorder="1" applyAlignment="1">
      <alignment horizontal="center" wrapText="1"/>
    </xf>
    <xf numFmtId="0" fontId="5" fillId="7" borderId="3" xfId="0" applyFont="1" applyFill="1" applyBorder="1"/>
    <xf numFmtId="0" fontId="5" fillId="7" borderId="6" xfId="0" applyFont="1" applyFill="1" applyBorder="1"/>
    <xf numFmtId="0" fontId="0" fillId="0" borderId="1" xfId="0" applyBorder="1"/>
    <xf numFmtId="0" fontId="7" fillId="0" borderId="11" xfId="0" applyFont="1" applyBorder="1"/>
    <xf numFmtId="0" fontId="7" fillId="0" borderId="12" xfId="0" applyFont="1" applyBorder="1"/>
    <xf numFmtId="0" fontId="5" fillId="0" borderId="12" xfId="0" applyFont="1" applyBorder="1" applyAlignment="1">
      <alignment horizontal="center" wrapText="1"/>
    </xf>
    <xf numFmtId="0" fontId="7" fillId="0" borderId="12" xfId="0" applyFont="1" applyBorder="1" applyAlignment="1">
      <alignment horizontal="center" wrapText="1"/>
    </xf>
    <xf numFmtId="0" fontId="7" fillId="0" borderId="12" xfId="0" applyFont="1" applyBorder="1" applyAlignment="1">
      <alignment wrapText="1"/>
    </xf>
    <xf numFmtId="0" fontId="14" fillId="9" borderId="5" xfId="0" applyFont="1" applyFill="1" applyBorder="1"/>
    <xf numFmtId="0" fontId="7" fillId="0" borderId="6" xfId="0" applyFont="1" applyBorder="1" applyAlignment="1">
      <alignment horizontal="center"/>
    </xf>
    <xf numFmtId="0" fontId="21" fillId="0" borderId="0" xfId="0" applyFont="1" applyAlignment="1">
      <alignment horizontal="center" vertical="center"/>
    </xf>
    <xf numFmtId="0" fontId="1" fillId="0" borderId="9" xfId="0" applyFont="1" applyBorder="1"/>
    <xf numFmtId="0" fontId="18" fillId="0" borderId="1" xfId="0" applyFont="1" applyBorder="1" applyAlignment="1">
      <alignment horizontal="center" vertical="center"/>
    </xf>
    <xf numFmtId="0" fontId="22" fillId="7" borderId="1" xfId="0" applyFont="1" applyFill="1" applyBorder="1" applyAlignment="1">
      <alignment horizontal="center" vertical="center"/>
    </xf>
    <xf numFmtId="0" fontId="21" fillId="8" borderId="6" xfId="0" applyFont="1" applyFill="1" applyBorder="1" applyAlignment="1">
      <alignment horizontal="center" vertical="center"/>
    </xf>
    <xf numFmtId="0" fontId="26" fillId="0" borderId="0" xfId="0" applyFont="1" applyAlignment="1">
      <alignment horizontal="center" wrapText="1"/>
    </xf>
    <xf numFmtId="0" fontId="15" fillId="0" borderId="0" xfId="0" applyFont="1" applyAlignment="1">
      <alignment horizontal="center"/>
    </xf>
    <xf numFmtId="0" fontId="4" fillId="0" borderId="0" xfId="0" applyFont="1" applyAlignment="1">
      <alignment horizontal="center" vertical="center" wrapText="1"/>
    </xf>
    <xf numFmtId="0" fontId="29" fillId="0" borderId="0" xfId="0" applyFont="1"/>
    <xf numFmtId="0" fontId="1"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Alignment="1">
      <alignment horizontal="left" vertical="top" wrapText="1"/>
    </xf>
    <xf numFmtId="0" fontId="5" fillId="0" borderId="13" xfId="0" applyFont="1" applyBorder="1" applyAlignment="1">
      <alignment horizontal="center" wrapText="1"/>
    </xf>
    <xf numFmtId="0" fontId="31" fillId="0" borderId="10" xfId="0" applyFont="1" applyBorder="1" applyAlignment="1">
      <alignment horizontal="center"/>
    </xf>
    <xf numFmtId="0" fontId="1" fillId="3" borderId="10" xfId="0" applyFont="1" applyFill="1" applyBorder="1"/>
    <xf numFmtId="0" fontId="6" fillId="0" borderId="1" xfId="0" applyFont="1" applyBorder="1" applyAlignment="1">
      <alignment horizontal="center" wrapText="1"/>
    </xf>
    <xf numFmtId="0" fontId="1" fillId="0" borderId="1" xfId="0" applyFont="1" applyBorder="1" applyAlignment="1">
      <alignment horizontal="center"/>
    </xf>
    <xf numFmtId="0" fontId="1" fillId="3" borderId="1" xfId="0" applyFont="1" applyFill="1" applyBorder="1"/>
    <xf numFmtId="0" fontId="1" fillId="3" borderId="1" xfId="0" applyFont="1" applyFill="1" applyBorder="1" applyAlignment="1">
      <alignment horizontal="center" wrapText="1"/>
    </xf>
    <xf numFmtId="0" fontId="23" fillId="0" borderId="10" xfId="0" applyFont="1" applyBorder="1" applyAlignment="1">
      <alignment horizontal="center"/>
    </xf>
    <xf numFmtId="0" fontId="4" fillId="0" borderId="1" xfId="0" applyFont="1" applyBorder="1" applyAlignment="1">
      <alignment horizontal="left" vertical="top" wrapText="1"/>
    </xf>
    <xf numFmtId="0" fontId="5" fillId="0" borderId="12" xfId="0" applyFont="1" applyBorder="1" applyAlignment="1">
      <alignment horizontal="center" vertical="center" wrapText="1"/>
    </xf>
    <xf numFmtId="0" fontId="9" fillId="0" borderId="0" xfId="0" applyFont="1" applyAlignment="1">
      <alignment horizontal="center" vertical="center"/>
    </xf>
    <xf numFmtId="0" fontId="34" fillId="0" borderId="0" xfId="0" applyFont="1" applyAlignment="1">
      <alignment horizontal="center" wrapText="1"/>
    </xf>
    <xf numFmtId="0" fontId="29" fillId="0" borderId="0" xfId="0" applyFont="1" applyAlignment="1">
      <alignment horizontal="center" wrapText="1"/>
    </xf>
    <xf numFmtId="0" fontId="35" fillId="0" borderId="0" xfId="0" applyFont="1"/>
    <xf numFmtId="0" fontId="1" fillId="0" borderId="0" xfId="0" applyFont="1"/>
    <xf numFmtId="0" fontId="36" fillId="0" borderId="0" xfId="0" applyFont="1" applyAlignment="1">
      <alignment horizontal="center" vertical="center" wrapText="1"/>
    </xf>
    <xf numFmtId="0" fontId="1" fillId="0" borderId="1" xfId="0" applyFont="1" applyBorder="1"/>
    <xf numFmtId="0" fontId="36" fillId="0" borderId="0" xfId="0" applyFont="1" applyAlignment="1">
      <alignment horizontal="center" wrapText="1"/>
    </xf>
    <xf numFmtId="0" fontId="37" fillId="0" borderId="0" xfId="0"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justify" vertical="center"/>
    </xf>
    <xf numFmtId="0" fontId="26" fillId="0" borderId="0" xfId="0" applyFont="1"/>
    <xf numFmtId="0" fontId="39" fillId="9" borderId="5" xfId="0" applyFont="1" applyFill="1" applyBorder="1"/>
    <xf numFmtId="0" fontId="6" fillId="0" borderId="1" xfId="0" applyFont="1" applyBorder="1"/>
    <xf numFmtId="0" fontId="40" fillId="0" borderId="1" xfId="0" applyFont="1" applyBorder="1" applyAlignment="1">
      <alignment horizontal="left" vertical="top" wrapText="1"/>
    </xf>
    <xf numFmtId="0" fontId="0" fillId="7" borderId="12" xfId="0" applyFill="1" applyBorder="1"/>
    <xf numFmtId="0" fontId="6" fillId="7" borderId="15" xfId="0" applyFont="1" applyFill="1" applyBorder="1" applyAlignment="1">
      <alignment horizontal="center" wrapText="1"/>
    </xf>
    <xf numFmtId="0" fontId="7" fillId="0" borderId="14" xfId="0" applyFont="1" applyBorder="1"/>
    <xf numFmtId="0" fontId="1" fillId="3" borderId="16" xfId="0" applyFont="1" applyFill="1" applyBorder="1"/>
    <xf numFmtId="0" fontId="1" fillId="0" borderId="17" xfId="0" applyFont="1" applyBorder="1" applyAlignment="1">
      <alignment horizontal="center"/>
    </xf>
    <xf numFmtId="0" fontId="6" fillId="0" borderId="17" xfId="0" applyFont="1" applyBorder="1" applyAlignment="1">
      <alignment horizontal="center"/>
    </xf>
    <xf numFmtId="0" fontId="6" fillId="0" borderId="17" xfId="0" applyFont="1" applyBorder="1" applyAlignment="1">
      <alignment horizontal="center" wrapText="1"/>
    </xf>
    <xf numFmtId="0" fontId="33" fillId="0" borderId="12" xfId="0" applyFont="1" applyBorder="1" applyAlignment="1">
      <alignment horizontal="center" wrapText="1"/>
    </xf>
    <xf numFmtId="0" fontId="1" fillId="0" borderId="15" xfId="0" applyFont="1" applyBorder="1" applyAlignment="1">
      <alignment horizontal="center"/>
    </xf>
    <xf numFmtId="0" fontId="5" fillId="7" borderId="13" xfId="0" applyFont="1" applyFill="1" applyBorder="1" applyAlignment="1">
      <alignment horizontal="center" wrapText="1"/>
    </xf>
    <xf numFmtId="0" fontId="23" fillId="7" borderId="18" xfId="0" applyFont="1" applyFill="1" applyBorder="1" applyAlignment="1">
      <alignment horizontal="center" wrapText="1"/>
    </xf>
    <xf numFmtId="0" fontId="23" fillId="7" borderId="19" xfId="0" applyFont="1" applyFill="1" applyBorder="1" applyAlignment="1">
      <alignment horizontal="center" wrapText="1"/>
    </xf>
    <xf numFmtId="0" fontId="6" fillId="7" borderId="18" xfId="0" applyFont="1" applyFill="1" applyBorder="1" applyAlignment="1">
      <alignment horizontal="center" wrapText="1"/>
    </xf>
    <xf numFmtId="0" fontId="1" fillId="7" borderId="2" xfId="0" applyFont="1" applyFill="1" applyBorder="1"/>
    <xf numFmtId="0" fontId="26" fillId="0" borderId="7" xfId="0" applyFont="1" applyBorder="1" applyAlignment="1">
      <alignment vertical="top" wrapText="1"/>
    </xf>
    <xf numFmtId="0" fontId="23" fillId="7" borderId="2" xfId="0" applyFont="1" applyFill="1" applyBorder="1" applyAlignment="1">
      <alignment horizontal="center" wrapText="1"/>
    </xf>
    <xf numFmtId="0" fontId="23" fillId="7" borderId="19" xfId="0" applyFont="1" applyFill="1" applyBorder="1" applyAlignment="1">
      <alignment horizontal="center"/>
    </xf>
    <xf numFmtId="0" fontId="41" fillId="0" borderId="10" xfId="0" applyFont="1" applyBorder="1" applyAlignment="1">
      <alignment horizontal="center"/>
    </xf>
    <xf numFmtId="0" fontId="0" fillId="5" borderId="1" xfId="0" applyFill="1" applyBorder="1"/>
    <xf numFmtId="0" fontId="0" fillId="6" borderId="1" xfId="0" applyFill="1" applyBorder="1"/>
    <xf numFmtId="0" fontId="0" fillId="7" borderId="1" xfId="0" applyFill="1" applyBorder="1"/>
    <xf numFmtId="0" fontId="4" fillId="0" borderId="1" xfId="0" applyFont="1" applyBorder="1" applyAlignment="1">
      <alignment horizontal="justify" vertical="top"/>
    </xf>
    <xf numFmtId="0" fontId="32" fillId="0" borderId="1" xfId="0" applyFont="1" applyBorder="1" applyAlignment="1">
      <alignment horizontal="center"/>
    </xf>
    <xf numFmtId="0" fontId="24"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1" xfId="0" applyFont="1" applyBorder="1" applyAlignment="1">
      <alignment horizontal="center" vertical="center"/>
    </xf>
    <xf numFmtId="0" fontId="18" fillId="0" borderId="21" xfId="0" applyFont="1" applyBorder="1" applyAlignment="1">
      <alignment horizontal="center" vertical="center"/>
    </xf>
    <xf numFmtId="0" fontId="42" fillId="0" borderId="1" xfId="0" applyFont="1" applyBorder="1" applyAlignment="1">
      <alignment horizontal="center" vertical="center" wrapText="1"/>
    </xf>
    <xf numFmtId="0" fontId="43" fillId="0" borderId="1" xfId="0" applyFont="1" applyBorder="1" applyAlignment="1">
      <alignment horizontal="center"/>
    </xf>
    <xf numFmtId="0" fontId="1" fillId="0" borderId="23" xfId="0" applyFont="1" applyBorder="1" applyAlignment="1">
      <alignment horizontal="center"/>
    </xf>
    <xf numFmtId="0" fontId="0" fillId="0" borderId="0" xfId="0" applyAlignment="1">
      <alignment horizontal="center"/>
    </xf>
    <xf numFmtId="0" fontId="44" fillId="0" borderId="1" xfId="0" applyFont="1" applyBorder="1" applyAlignment="1">
      <alignment horizontal="left" vertical="top" wrapText="1"/>
    </xf>
    <xf numFmtId="0" fontId="45" fillId="0" borderId="1" xfId="0" applyFont="1" applyBorder="1" applyAlignment="1">
      <alignment horizontal="center" vertical="center" wrapText="1"/>
    </xf>
    <xf numFmtId="0" fontId="13" fillId="0" borderId="22" xfId="0" applyFont="1" applyBorder="1" applyAlignment="1">
      <alignment horizontal="center" vertical="center"/>
    </xf>
    <xf numFmtId="0" fontId="21" fillId="8" borderId="2" xfId="0" applyFont="1" applyFill="1" applyBorder="1" applyAlignment="1">
      <alignment horizontal="center" vertical="center"/>
    </xf>
    <xf numFmtId="0" fontId="1" fillId="0" borderId="11" xfId="0" applyFont="1" applyBorder="1"/>
    <xf numFmtId="0" fontId="38" fillId="0" borderId="20" xfId="0" applyFont="1" applyBorder="1" applyAlignment="1">
      <alignment horizontal="center" vertical="center" wrapText="1"/>
    </xf>
    <xf numFmtId="0" fontId="25" fillId="0" borderId="24" xfId="0" applyFont="1" applyBorder="1" applyAlignment="1">
      <alignment horizontal="justify" vertical="center"/>
    </xf>
    <xf numFmtId="0" fontId="40" fillId="0" borderId="21" xfId="0" applyFont="1" applyBorder="1" applyAlignment="1">
      <alignment horizontal="left" vertical="top" wrapText="1"/>
    </xf>
    <xf numFmtId="0" fontId="1" fillId="3" borderId="20" xfId="0" applyFont="1" applyFill="1" applyBorder="1" applyAlignment="1">
      <alignment horizontal="center" wrapText="1"/>
    </xf>
    <xf numFmtId="0" fontId="1" fillId="0" borderId="20" xfId="0" applyFont="1" applyBorder="1" applyAlignment="1">
      <alignment horizontal="center"/>
    </xf>
    <xf numFmtId="0" fontId="6" fillId="9" borderId="5" xfId="0" applyFont="1" applyFill="1" applyBorder="1"/>
    <xf numFmtId="0" fontId="41" fillId="9" borderId="5" xfId="0" applyFont="1" applyFill="1" applyBorder="1"/>
    <xf numFmtId="0" fontId="9" fillId="9" borderId="5" xfId="0" applyFont="1" applyFill="1" applyBorder="1"/>
    <xf numFmtId="0" fontId="24" fillId="9" borderId="5" xfId="0" applyFont="1" applyFill="1" applyBorder="1"/>
    <xf numFmtId="0" fontId="19" fillId="0" borderId="1" xfId="0" applyFont="1" applyBorder="1" applyAlignment="1">
      <alignment horizontal="justify" vertical="top"/>
    </xf>
    <xf numFmtId="0" fontId="28" fillId="0" borderId="1" xfId="0" applyFont="1" applyBorder="1" applyAlignment="1">
      <alignment horizontal="center" vertical="center"/>
    </xf>
    <xf numFmtId="0" fontId="19" fillId="0" borderId="1" xfId="0" applyFont="1" applyBorder="1" applyAlignment="1">
      <alignment wrapText="1"/>
    </xf>
    <xf numFmtId="0" fontId="19" fillId="0" borderId="1" xfId="0" applyFont="1" applyBorder="1"/>
    <xf numFmtId="0" fontId="19" fillId="5" borderId="1" xfId="0" applyFont="1" applyFill="1" applyBorder="1"/>
    <xf numFmtId="0" fontId="19" fillId="6" borderId="1" xfId="0" applyFont="1" applyFill="1" applyBorder="1"/>
    <xf numFmtId="0" fontId="19" fillId="7" borderId="1" xfId="0" applyFont="1" applyFill="1" applyBorder="1"/>
    <xf numFmtId="0" fontId="3" fillId="0" borderId="1" xfId="0" applyFont="1" applyBorder="1" applyAlignment="1">
      <alignment horizontal="justify" vertical="center"/>
    </xf>
    <xf numFmtId="0" fontId="6" fillId="0" borderId="1" xfId="0" applyFont="1" applyBorder="1" applyAlignment="1">
      <alignment horizontal="justify" vertical="center"/>
    </xf>
    <xf numFmtId="0" fontId="43" fillId="0" borderId="0" xfId="0" applyFont="1" applyAlignment="1">
      <alignment horizontal="center"/>
    </xf>
    <xf numFmtId="0" fontId="4" fillId="0" borderId="1" xfId="0" applyFont="1" applyBorder="1" applyAlignment="1">
      <alignment horizontal="justify" vertical="top" wrapText="1"/>
    </xf>
    <xf numFmtId="0" fontId="9" fillId="0" borderId="1" xfId="0" applyFont="1" applyBorder="1" applyAlignment="1">
      <alignment horizontal="justify" vertical="top" wrapText="1"/>
    </xf>
    <xf numFmtId="0" fontId="9" fillId="0" borderId="8" xfId="0" applyFont="1" applyBorder="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0" fontId="9" fillId="0" borderId="0" xfId="0" applyFont="1" applyAlignment="1">
      <alignment horizontal="center" vertical="center"/>
    </xf>
    <xf numFmtId="0" fontId="7"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Vota&#231;&#227;o%200906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ÇA"/>
      <sheetName val="MOÇÃO E REQUERIMENTO"/>
      <sheetName val="VETO E SEGUNDA DISCUSSÃO"/>
      <sheetName val="PRIMEIRA DISCUSSÃO"/>
      <sheetName val="DISCUSSÃO ÚNICA"/>
      <sheetName val="RECURSOS- DISCUSSÃO ÚNICA"/>
      <sheetName val="REQUERIMENTOS - DISCUSSÃO ÚNICA"/>
    </sheetNames>
    <sheetDataSet>
      <sheetData sheetId="0"/>
      <sheetData sheetId="1">
        <row r="7">
          <cell r="B7" t="str">
            <v>EXPEDIENTE</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AB78"/>
  <sheetViews>
    <sheetView zoomScale="70" zoomScaleNormal="70" workbookViewId="0">
      <selection activeCell="K22" sqref="K22"/>
    </sheetView>
  </sheetViews>
  <sheetFormatPr defaultColWidth="9.140625" defaultRowHeight="15"/>
  <cols>
    <col min="1" max="1" width="67.28515625" style="5" customWidth="1"/>
    <col min="2" max="2" width="4.42578125" style="5" customWidth="1"/>
    <col min="3" max="3" width="24.7109375" style="56" customWidth="1"/>
    <col min="4" max="4" width="4.42578125" style="56" customWidth="1"/>
    <col min="5" max="5" width="24.42578125" style="56" customWidth="1"/>
    <col min="6" max="6" width="4.42578125" style="5" customWidth="1"/>
    <col min="7" max="7" width="25.5703125" style="5" customWidth="1"/>
    <col min="8" max="8" width="3.7109375" style="5" customWidth="1"/>
    <col min="9" max="9" width="13.5703125" style="5" customWidth="1"/>
    <col min="10" max="10" width="4.85546875" style="5" customWidth="1"/>
    <col min="11" max="11" width="24.42578125" style="5" customWidth="1"/>
    <col min="12" max="12" width="3.42578125" style="5" hidden="1" customWidth="1"/>
    <col min="13" max="13" width="18.28515625" style="5" hidden="1" customWidth="1"/>
    <col min="14" max="14" width="4.85546875" style="5" customWidth="1"/>
    <col min="15" max="15" width="23.42578125" style="5" customWidth="1"/>
    <col min="16" max="16" width="4.85546875" style="5" customWidth="1"/>
    <col min="17" max="17" width="5" style="5" customWidth="1"/>
    <col min="18" max="18" width="24.42578125" style="5" customWidth="1"/>
    <col min="19" max="19" width="18.7109375" style="5" customWidth="1"/>
    <col min="20" max="20" width="20.42578125" style="5" hidden="1" customWidth="1"/>
    <col min="21" max="21" width="20.5703125" style="5" hidden="1" customWidth="1"/>
    <col min="22" max="22" width="27.7109375" style="5" hidden="1" customWidth="1"/>
    <col min="23" max="23" width="26.7109375" style="5" hidden="1" customWidth="1"/>
    <col min="24" max="24" width="27.7109375" style="5" hidden="1" customWidth="1"/>
    <col min="25" max="25" width="9.140625" style="5" hidden="1" customWidth="1"/>
    <col min="26" max="16384" width="9.140625" style="5"/>
  </cols>
  <sheetData>
    <row r="1" spans="1:28" ht="23.25" customHeight="1">
      <c r="A1" s="84" t="s">
        <v>8</v>
      </c>
      <c r="B1" s="144" t="s">
        <v>29</v>
      </c>
      <c r="C1" s="145"/>
      <c r="D1" s="145"/>
      <c r="E1" s="145"/>
      <c r="F1" s="145"/>
      <c r="G1" s="145"/>
      <c r="H1" s="145"/>
      <c r="I1" s="145"/>
      <c r="J1" s="145"/>
      <c r="K1" s="145"/>
      <c r="L1" s="145"/>
      <c r="M1" s="145"/>
      <c r="N1" s="71"/>
      <c r="O1" s="71"/>
      <c r="P1" s="71"/>
      <c r="Q1" s="40">
        <v>1</v>
      </c>
      <c r="R1" s="36" t="s">
        <v>10</v>
      </c>
      <c r="T1" s="148"/>
      <c r="U1" s="148"/>
      <c r="V1" s="148"/>
      <c r="W1" s="148"/>
      <c r="X1" s="148"/>
      <c r="Y1" s="148"/>
      <c r="Z1" s="7" t="s">
        <v>16</v>
      </c>
    </row>
    <row r="2" spans="1:28" ht="19.5" customHeight="1">
      <c r="A2" s="84" t="s">
        <v>103</v>
      </c>
      <c r="B2" s="146"/>
      <c r="C2" s="147"/>
      <c r="D2" s="147"/>
      <c r="E2" s="147"/>
      <c r="F2" s="147"/>
      <c r="G2" s="147"/>
      <c r="H2" s="147"/>
      <c r="I2" s="147"/>
      <c r="J2" s="147"/>
      <c r="K2" s="147"/>
      <c r="L2" s="147"/>
      <c r="M2" s="147"/>
      <c r="N2" s="71"/>
      <c r="O2" s="71"/>
      <c r="P2" s="71"/>
      <c r="Q2" s="35">
        <v>2</v>
      </c>
      <c r="R2" s="36" t="s">
        <v>11</v>
      </c>
      <c r="T2" s="148"/>
      <c r="U2" s="148"/>
      <c r="V2" s="148"/>
      <c r="W2" s="148"/>
      <c r="X2" s="148"/>
      <c r="Y2" s="148"/>
      <c r="Z2" s="7" t="s">
        <v>17</v>
      </c>
    </row>
    <row r="3" spans="1:28" ht="19.5" customHeight="1" thickBot="1">
      <c r="A3" s="84" t="s">
        <v>104</v>
      </c>
      <c r="B3" s="146"/>
      <c r="C3" s="147"/>
      <c r="D3" s="147"/>
      <c r="E3" s="147"/>
      <c r="F3" s="147"/>
      <c r="G3" s="147"/>
      <c r="H3" s="147"/>
      <c r="I3" s="147"/>
      <c r="J3" s="147"/>
      <c r="K3" s="147"/>
      <c r="L3" s="147"/>
      <c r="M3" s="147"/>
      <c r="N3" s="71"/>
      <c r="O3" s="71"/>
      <c r="P3" s="71"/>
      <c r="Q3" s="41">
        <v>3</v>
      </c>
      <c r="R3" s="37" t="s">
        <v>12</v>
      </c>
      <c r="T3" s="148"/>
      <c r="U3" s="148"/>
      <c r="V3" s="148"/>
      <c r="W3" s="148"/>
      <c r="X3" s="148"/>
      <c r="Y3" s="148"/>
    </row>
    <row r="4" spans="1:28" ht="46.5" thickBot="1">
      <c r="A4" s="47"/>
      <c r="B4" s="88"/>
      <c r="C4" s="93" t="s">
        <v>91</v>
      </c>
      <c r="D4" s="93"/>
      <c r="E4" s="93"/>
      <c r="F4" s="44"/>
      <c r="G4" s="43" t="s">
        <v>53</v>
      </c>
      <c r="H4" s="43"/>
      <c r="I4" s="70" t="s">
        <v>51</v>
      </c>
      <c r="J4" s="45"/>
      <c r="K4" s="43" t="s">
        <v>30</v>
      </c>
      <c r="L4" s="45"/>
      <c r="M4" s="43" t="s">
        <v>30</v>
      </c>
      <c r="N4" s="45"/>
      <c r="O4" s="43" t="s">
        <v>47</v>
      </c>
      <c r="P4" s="45"/>
      <c r="Q4" s="42"/>
      <c r="R4" s="61" t="s">
        <v>9</v>
      </c>
      <c r="S4" s="94"/>
      <c r="T4" s="148"/>
      <c r="U4" s="148"/>
      <c r="V4" s="148"/>
      <c r="W4" s="148"/>
      <c r="X4" s="148"/>
      <c r="Y4" s="148"/>
    </row>
    <row r="5" spans="1:28" ht="18" customHeight="1">
      <c r="A5" s="46" t="s">
        <v>54</v>
      </c>
      <c r="B5" s="89">
        <v>1</v>
      </c>
      <c r="C5" s="62" t="s">
        <v>55</v>
      </c>
      <c r="D5" s="63"/>
      <c r="E5" s="62"/>
      <c r="F5" s="89">
        <v>1</v>
      </c>
      <c r="G5" s="62" t="s">
        <v>55</v>
      </c>
      <c r="H5" s="63"/>
      <c r="I5" s="62"/>
      <c r="J5" s="63">
        <v>1</v>
      </c>
      <c r="K5" s="62" t="s">
        <v>55</v>
      </c>
      <c r="L5" s="126"/>
      <c r="M5" s="127"/>
      <c r="N5" s="63"/>
      <c r="O5" s="62"/>
      <c r="P5" s="63"/>
      <c r="Q5" s="63"/>
      <c r="R5" s="103"/>
      <c r="S5" s="116"/>
      <c r="T5" s="148"/>
      <c r="U5" s="148"/>
      <c r="V5" s="148"/>
      <c r="W5" s="148"/>
      <c r="X5" s="148"/>
      <c r="Y5" s="148"/>
    </row>
    <row r="6" spans="1:28" ht="18" customHeight="1">
      <c r="A6" s="46" t="s">
        <v>97</v>
      </c>
      <c r="B6" s="89">
        <v>2</v>
      </c>
      <c r="C6" s="103" t="s">
        <v>56</v>
      </c>
      <c r="D6" s="63"/>
      <c r="E6" s="103"/>
      <c r="F6" s="89">
        <v>1</v>
      </c>
      <c r="G6" s="62" t="s">
        <v>55</v>
      </c>
      <c r="H6" s="63"/>
      <c r="I6" s="62"/>
      <c r="J6" s="63">
        <v>1</v>
      </c>
      <c r="K6" s="62" t="s">
        <v>55</v>
      </c>
      <c r="L6" s="67"/>
      <c r="M6" s="65"/>
      <c r="N6" s="63"/>
      <c r="O6" s="103"/>
      <c r="P6" s="63"/>
      <c r="Q6" s="63"/>
      <c r="R6" s="103"/>
      <c r="S6" s="90"/>
      <c r="T6" s="148"/>
      <c r="U6" s="148"/>
      <c r="V6" s="148"/>
      <c r="W6" s="148"/>
      <c r="X6" s="148"/>
      <c r="Y6" s="148"/>
    </row>
    <row r="7" spans="1:28" ht="18" customHeight="1">
      <c r="A7" s="46" t="s">
        <v>57</v>
      </c>
      <c r="B7" s="89">
        <v>1</v>
      </c>
      <c r="C7" s="62" t="s">
        <v>55</v>
      </c>
      <c r="D7" s="63"/>
      <c r="E7" s="62"/>
      <c r="F7" s="89">
        <v>1</v>
      </c>
      <c r="G7" s="62" t="s">
        <v>55</v>
      </c>
      <c r="H7" s="63"/>
      <c r="I7" s="62"/>
      <c r="J7" s="63">
        <v>1</v>
      </c>
      <c r="K7" s="62" t="s">
        <v>55</v>
      </c>
      <c r="L7" s="67"/>
      <c r="M7" s="65"/>
      <c r="N7" s="63"/>
      <c r="O7" s="103"/>
      <c r="P7" s="63"/>
      <c r="Q7" s="63"/>
      <c r="R7" s="103"/>
      <c r="S7" s="90"/>
      <c r="T7" s="148"/>
      <c r="U7" s="148"/>
      <c r="V7" s="148"/>
      <c r="W7" s="148"/>
      <c r="X7" s="148"/>
      <c r="Y7" s="148"/>
    </row>
    <row r="8" spans="1:28" ht="18" customHeight="1">
      <c r="A8" s="83" t="s">
        <v>58</v>
      </c>
      <c r="B8" s="89">
        <v>1</v>
      </c>
      <c r="C8" s="62" t="s">
        <v>55</v>
      </c>
      <c r="D8" s="63"/>
      <c r="E8" s="62"/>
      <c r="F8" s="89">
        <v>1</v>
      </c>
      <c r="G8" s="62" t="s">
        <v>55</v>
      </c>
      <c r="H8" s="63"/>
      <c r="I8" s="62"/>
      <c r="J8" s="63">
        <v>1</v>
      </c>
      <c r="K8" s="62" t="s">
        <v>55</v>
      </c>
      <c r="L8" s="67"/>
      <c r="M8" s="65"/>
      <c r="N8" s="63"/>
      <c r="O8" s="62"/>
      <c r="P8" s="63"/>
      <c r="Q8" s="63"/>
      <c r="R8" s="62"/>
      <c r="S8" s="90"/>
      <c r="T8" s="148"/>
      <c r="U8" s="148"/>
      <c r="V8" s="148"/>
      <c r="W8" s="148"/>
      <c r="X8" s="148"/>
      <c r="Y8" s="148"/>
    </row>
    <row r="9" spans="1:28" ht="18" customHeight="1">
      <c r="A9" s="46" t="s">
        <v>28</v>
      </c>
      <c r="B9" s="89">
        <v>1</v>
      </c>
      <c r="C9" s="62" t="s">
        <v>55</v>
      </c>
      <c r="D9" s="63"/>
      <c r="E9" s="62"/>
      <c r="F9" s="89">
        <v>1</v>
      </c>
      <c r="G9" s="62" t="s">
        <v>55</v>
      </c>
      <c r="H9" s="63"/>
      <c r="I9" s="62"/>
      <c r="J9" s="63">
        <v>1</v>
      </c>
      <c r="K9" s="62" t="s">
        <v>55</v>
      </c>
      <c r="L9" s="67"/>
      <c r="M9" s="65"/>
      <c r="N9" s="63"/>
      <c r="O9" s="103"/>
      <c r="P9" s="63"/>
      <c r="Q9" s="63"/>
      <c r="R9" s="103"/>
      <c r="S9" s="90"/>
      <c r="T9" s="148"/>
      <c r="U9" s="148"/>
      <c r="V9" s="148"/>
      <c r="W9" s="148"/>
      <c r="X9" s="148"/>
      <c r="Y9" s="148"/>
    </row>
    <row r="10" spans="1:28" ht="18" customHeight="1">
      <c r="A10" s="46" t="s">
        <v>59</v>
      </c>
      <c r="B10" s="89">
        <v>1</v>
      </c>
      <c r="C10" s="62" t="s">
        <v>55</v>
      </c>
      <c r="D10" s="63"/>
      <c r="E10" s="62"/>
      <c r="F10" s="89">
        <v>1</v>
      </c>
      <c r="G10" s="62" t="s">
        <v>55</v>
      </c>
      <c r="H10" s="63"/>
      <c r="I10" s="62"/>
      <c r="J10" s="63">
        <v>2</v>
      </c>
      <c r="K10" s="103" t="s">
        <v>56</v>
      </c>
      <c r="L10" s="67"/>
      <c r="M10" s="65"/>
      <c r="N10" s="63"/>
      <c r="O10" s="62"/>
      <c r="P10" s="63"/>
      <c r="Q10" s="63"/>
      <c r="R10" s="62"/>
      <c r="S10" s="90"/>
      <c r="T10" s="148"/>
      <c r="U10" s="148"/>
      <c r="V10" s="148"/>
      <c r="W10" s="148"/>
      <c r="X10" s="148"/>
      <c r="Y10" s="148"/>
    </row>
    <row r="11" spans="1:28" ht="20.25">
      <c r="A11" s="46" t="s">
        <v>22</v>
      </c>
      <c r="B11" s="89">
        <v>1</v>
      </c>
      <c r="C11" s="62" t="s">
        <v>55</v>
      </c>
      <c r="D11" s="63"/>
      <c r="E11" s="62"/>
      <c r="F11" s="89">
        <v>1</v>
      </c>
      <c r="G11" s="62" t="s">
        <v>55</v>
      </c>
      <c r="H11" s="63"/>
      <c r="I11" s="62"/>
      <c r="J11" s="63">
        <v>1</v>
      </c>
      <c r="K11" s="62" t="s">
        <v>55</v>
      </c>
      <c r="L11" s="67"/>
      <c r="M11" s="65"/>
      <c r="N11" s="63"/>
      <c r="O11" s="103"/>
      <c r="P11" s="63"/>
      <c r="Q11" s="63"/>
      <c r="R11" s="62"/>
      <c r="S11" s="91"/>
      <c r="T11" s="148"/>
      <c r="U11" s="148"/>
      <c r="V11" s="148"/>
      <c r="W11" s="148"/>
      <c r="X11" s="148"/>
      <c r="Y11" s="148"/>
    </row>
    <row r="12" spans="1:28" ht="18" customHeight="1">
      <c r="A12" s="46" t="s">
        <v>23</v>
      </c>
      <c r="B12" s="89">
        <v>1</v>
      </c>
      <c r="C12" s="62" t="s">
        <v>55</v>
      </c>
      <c r="D12" s="63"/>
      <c r="E12" s="103"/>
      <c r="F12" s="89">
        <v>1</v>
      </c>
      <c r="G12" s="62" t="s">
        <v>55</v>
      </c>
      <c r="H12" s="63"/>
      <c r="I12" s="68"/>
      <c r="J12" s="63">
        <v>1</v>
      </c>
      <c r="K12" s="62" t="s">
        <v>55</v>
      </c>
      <c r="L12" s="67"/>
      <c r="M12" s="65"/>
      <c r="N12" s="63"/>
      <c r="O12" s="103"/>
      <c r="P12" s="63"/>
      <c r="Q12" s="63"/>
      <c r="R12" s="103"/>
      <c r="S12" s="92"/>
      <c r="T12" s="148"/>
      <c r="U12" s="148"/>
      <c r="V12" s="148"/>
      <c r="W12" s="148"/>
      <c r="X12" s="148"/>
      <c r="Y12" s="148"/>
      <c r="AB12" s="12"/>
    </row>
    <row r="13" spans="1:28" ht="18" customHeight="1">
      <c r="A13" s="46" t="s">
        <v>24</v>
      </c>
      <c r="B13" s="89">
        <v>1</v>
      </c>
      <c r="C13" s="62" t="s">
        <v>55</v>
      </c>
      <c r="D13" s="63"/>
      <c r="E13" s="62"/>
      <c r="F13" s="89">
        <v>1</v>
      </c>
      <c r="G13" s="62" t="s">
        <v>55</v>
      </c>
      <c r="H13" s="63"/>
      <c r="I13" s="62"/>
      <c r="J13" s="63">
        <v>1</v>
      </c>
      <c r="K13" s="62" t="s">
        <v>55</v>
      </c>
      <c r="L13" s="67"/>
      <c r="M13" s="65"/>
      <c r="N13" s="63"/>
      <c r="O13" s="62"/>
      <c r="P13" s="63"/>
      <c r="Q13" s="63"/>
      <c r="R13" s="103"/>
      <c r="S13" s="92"/>
      <c r="T13" s="148"/>
      <c r="U13" s="148"/>
      <c r="V13" s="148"/>
      <c r="W13" s="148"/>
      <c r="X13" s="148"/>
      <c r="Y13" s="148"/>
    </row>
    <row r="14" spans="1:28" ht="18" customHeight="1">
      <c r="A14" s="46" t="s">
        <v>60</v>
      </c>
      <c r="B14" s="89">
        <v>1</v>
      </c>
      <c r="C14" s="62" t="s">
        <v>55</v>
      </c>
      <c r="D14" s="63"/>
      <c r="E14" s="62"/>
      <c r="F14" s="89">
        <v>1</v>
      </c>
      <c r="G14" s="62" t="s">
        <v>55</v>
      </c>
      <c r="H14" s="63"/>
      <c r="I14" s="62"/>
      <c r="J14" s="63">
        <v>1</v>
      </c>
      <c r="K14" s="62" t="s">
        <v>55</v>
      </c>
      <c r="L14" s="67"/>
      <c r="M14" s="65"/>
      <c r="N14" s="63"/>
      <c r="O14" s="62"/>
      <c r="P14" s="63"/>
      <c r="Q14" s="63"/>
      <c r="R14" s="103"/>
      <c r="S14" s="92"/>
      <c r="T14" s="148"/>
      <c r="U14" s="148"/>
      <c r="V14" s="148"/>
      <c r="W14" s="148"/>
      <c r="X14" s="148"/>
      <c r="Y14" s="148"/>
    </row>
    <row r="15" spans="1:28" ht="18" customHeight="1">
      <c r="A15" s="46" t="s">
        <v>61</v>
      </c>
      <c r="B15" s="89">
        <v>1</v>
      </c>
      <c r="C15" s="62" t="s">
        <v>55</v>
      </c>
      <c r="D15" s="63"/>
      <c r="E15" s="62"/>
      <c r="F15" s="89">
        <v>1</v>
      </c>
      <c r="G15" s="62" t="s">
        <v>55</v>
      </c>
      <c r="H15" s="63"/>
      <c r="I15" s="62"/>
      <c r="J15" s="63">
        <v>1</v>
      </c>
      <c r="K15" s="62" t="s">
        <v>55</v>
      </c>
      <c r="L15" s="67"/>
      <c r="M15" s="65"/>
      <c r="N15" s="63"/>
      <c r="O15" s="62"/>
      <c r="P15" s="63"/>
      <c r="Q15" s="63"/>
      <c r="R15" s="103"/>
      <c r="S15" s="92"/>
      <c r="T15" s="148"/>
      <c r="U15" s="148"/>
      <c r="V15" s="148"/>
      <c r="W15" s="148"/>
      <c r="X15" s="148"/>
      <c r="Y15" s="148"/>
    </row>
    <row r="16" spans="1:28" ht="18" customHeight="1">
      <c r="A16" s="46" t="s">
        <v>62</v>
      </c>
      <c r="B16" s="89">
        <v>1</v>
      </c>
      <c r="C16" s="62" t="s">
        <v>55</v>
      </c>
      <c r="D16" s="63"/>
      <c r="E16" s="62"/>
      <c r="F16" s="89">
        <v>1</v>
      </c>
      <c r="G16" s="62" t="s">
        <v>55</v>
      </c>
      <c r="H16" s="63"/>
      <c r="I16" s="62"/>
      <c r="J16" s="63">
        <v>1</v>
      </c>
      <c r="K16" s="62" t="s">
        <v>55</v>
      </c>
      <c r="L16" s="67"/>
      <c r="M16" s="65"/>
      <c r="N16" s="63"/>
      <c r="O16" s="62"/>
      <c r="P16" s="63"/>
      <c r="Q16" s="63"/>
      <c r="R16" s="103"/>
      <c r="S16" s="92"/>
      <c r="T16" s="148"/>
      <c r="U16" s="148"/>
      <c r="V16" s="148"/>
      <c r="W16" s="148"/>
      <c r="X16" s="148"/>
      <c r="Y16" s="148"/>
    </row>
    <row r="17" spans="1:28" ht="18.75" customHeight="1">
      <c r="A17" s="46" t="s">
        <v>25</v>
      </c>
      <c r="B17" s="89">
        <v>1</v>
      </c>
      <c r="C17" s="62" t="s">
        <v>55</v>
      </c>
      <c r="D17" s="63"/>
      <c r="E17" s="62"/>
      <c r="F17" s="89">
        <v>1</v>
      </c>
      <c r="G17" s="62" t="s">
        <v>55</v>
      </c>
      <c r="H17" s="63"/>
      <c r="I17" s="68"/>
      <c r="J17" s="63">
        <v>1</v>
      </c>
      <c r="K17" s="62" t="s">
        <v>55</v>
      </c>
      <c r="L17" s="67"/>
      <c r="M17" s="65"/>
      <c r="N17" s="63"/>
      <c r="O17" s="62"/>
      <c r="P17" s="63"/>
      <c r="Q17" s="63"/>
      <c r="R17" s="103"/>
      <c r="S17" s="92"/>
      <c r="T17" s="148"/>
      <c r="U17" s="148"/>
      <c r="V17" s="148"/>
      <c r="W17" s="148"/>
      <c r="X17" s="148"/>
      <c r="Y17" s="148"/>
    </row>
    <row r="18" spans="1:28" ht="17.25" customHeight="1">
      <c r="A18" s="46" t="s">
        <v>63</v>
      </c>
      <c r="B18" s="89">
        <v>1</v>
      </c>
      <c r="C18" s="62" t="s">
        <v>55</v>
      </c>
      <c r="D18" s="63"/>
      <c r="E18" s="62"/>
      <c r="F18" s="89">
        <v>1</v>
      </c>
      <c r="G18" s="62" t="s">
        <v>55</v>
      </c>
      <c r="H18" s="63"/>
      <c r="I18" s="62"/>
      <c r="J18" s="63">
        <v>1</v>
      </c>
      <c r="K18" s="62" t="s">
        <v>55</v>
      </c>
      <c r="L18" s="67"/>
      <c r="M18" s="65"/>
      <c r="N18" s="63"/>
      <c r="O18" s="62"/>
      <c r="P18" s="63"/>
      <c r="Q18" s="63"/>
      <c r="R18" s="103"/>
      <c r="S18" s="92"/>
      <c r="T18" s="148"/>
      <c r="U18" s="148"/>
      <c r="V18" s="148"/>
      <c r="W18" s="148"/>
      <c r="X18" s="148"/>
      <c r="Y18" s="148"/>
    </row>
    <row r="19" spans="1:28" ht="18" customHeight="1">
      <c r="A19" s="46" t="s">
        <v>98</v>
      </c>
      <c r="B19" s="89">
        <v>2</v>
      </c>
      <c r="C19" s="103" t="s">
        <v>56</v>
      </c>
      <c r="D19" s="63"/>
      <c r="E19" s="103"/>
      <c r="F19" s="89">
        <v>1</v>
      </c>
      <c r="G19" s="62" t="s">
        <v>55</v>
      </c>
      <c r="H19" s="63"/>
      <c r="I19" s="62"/>
      <c r="J19" s="63">
        <v>2</v>
      </c>
      <c r="K19" s="103" t="s">
        <v>56</v>
      </c>
      <c r="L19" s="67"/>
      <c r="M19" s="65"/>
      <c r="N19" s="63"/>
      <c r="O19" s="62"/>
      <c r="P19" s="63"/>
      <c r="Q19" s="63"/>
      <c r="R19" s="103"/>
      <c r="S19" s="92"/>
      <c r="T19" s="148"/>
      <c r="U19" s="148"/>
      <c r="V19" s="148"/>
      <c r="W19" s="148"/>
      <c r="X19" s="148"/>
      <c r="Y19" s="148"/>
    </row>
    <row r="20" spans="1:28" ht="18" customHeight="1">
      <c r="A20" s="46" t="s">
        <v>26</v>
      </c>
      <c r="B20" s="89">
        <v>1</v>
      </c>
      <c r="C20" s="62" t="s">
        <v>55</v>
      </c>
      <c r="D20" s="63"/>
      <c r="E20" s="62"/>
      <c r="F20" s="89">
        <v>1</v>
      </c>
      <c r="G20" s="62" t="s">
        <v>55</v>
      </c>
      <c r="H20" s="63"/>
      <c r="I20" s="68"/>
      <c r="J20" s="63">
        <v>1</v>
      </c>
      <c r="K20" s="62" t="s">
        <v>55</v>
      </c>
      <c r="L20" s="67"/>
      <c r="M20" s="65"/>
      <c r="N20" s="63"/>
      <c r="O20" s="62"/>
      <c r="P20" s="63"/>
      <c r="Q20" s="63"/>
      <c r="R20" s="103"/>
      <c r="S20" s="92"/>
      <c r="T20" s="148"/>
      <c r="U20" s="148"/>
      <c r="V20" s="148"/>
      <c r="W20" s="148"/>
      <c r="X20" s="148"/>
      <c r="Y20" s="148"/>
    </row>
    <row r="21" spans="1:28" ht="18.75" customHeight="1">
      <c r="A21" s="46" t="s">
        <v>64</v>
      </c>
      <c r="B21" s="89">
        <v>1</v>
      </c>
      <c r="C21" s="62" t="s">
        <v>55</v>
      </c>
      <c r="D21" s="63"/>
      <c r="E21" s="62"/>
      <c r="F21" s="89">
        <v>1</v>
      </c>
      <c r="G21" s="62" t="s">
        <v>55</v>
      </c>
      <c r="H21" s="63"/>
      <c r="I21" s="62"/>
      <c r="J21" s="63">
        <v>1</v>
      </c>
      <c r="K21" s="62" t="s">
        <v>55</v>
      </c>
      <c r="L21" s="64"/>
      <c r="M21" s="64"/>
      <c r="N21" s="63"/>
      <c r="O21" s="62"/>
      <c r="P21" s="63"/>
      <c r="Q21" s="63"/>
      <c r="R21" s="62"/>
      <c r="S21" s="92"/>
      <c r="T21" s="148"/>
      <c r="U21" s="148"/>
      <c r="V21" s="148"/>
      <c r="W21" s="148"/>
      <c r="X21" s="148"/>
      <c r="Y21" s="148"/>
    </row>
    <row r="22" spans="1:28" ht="18" customHeight="1">
      <c r="A22" s="46" t="s">
        <v>105</v>
      </c>
      <c r="B22" s="89">
        <v>1</v>
      </c>
      <c r="C22" s="62" t="s">
        <v>55</v>
      </c>
      <c r="D22" s="63"/>
      <c r="E22" s="103"/>
      <c r="F22" s="89">
        <v>1</v>
      </c>
      <c r="G22" s="62" t="s">
        <v>55</v>
      </c>
      <c r="H22" s="63"/>
      <c r="I22" s="68"/>
      <c r="J22" s="63">
        <v>2</v>
      </c>
      <c r="K22" s="103" t="s">
        <v>56</v>
      </c>
      <c r="L22" s="67"/>
      <c r="M22" s="65"/>
      <c r="N22" s="63"/>
      <c r="O22" s="103"/>
      <c r="P22" s="63"/>
      <c r="Q22" s="63"/>
      <c r="R22" s="103"/>
      <c r="S22" s="92"/>
      <c r="T22" s="148"/>
      <c r="U22" s="148"/>
      <c r="V22" s="148"/>
      <c r="W22" s="148"/>
      <c r="X22" s="148"/>
      <c r="Y22" s="148"/>
    </row>
    <row r="23" spans="1:28" ht="18" customHeight="1">
      <c r="A23" s="46" t="s">
        <v>52</v>
      </c>
      <c r="B23" s="89">
        <v>2</v>
      </c>
      <c r="C23" s="103" t="s">
        <v>56</v>
      </c>
      <c r="D23" s="63"/>
      <c r="E23" s="62"/>
      <c r="F23" s="89">
        <v>1</v>
      </c>
      <c r="G23" s="62" t="s">
        <v>55</v>
      </c>
      <c r="H23" s="63"/>
      <c r="I23" s="62"/>
      <c r="J23" s="63">
        <v>1</v>
      </c>
      <c r="K23" s="62" t="s">
        <v>55</v>
      </c>
      <c r="L23" s="67"/>
      <c r="M23" s="65"/>
      <c r="N23" s="63"/>
      <c r="O23" s="62"/>
      <c r="P23" s="63"/>
      <c r="Q23" s="63"/>
      <c r="R23" s="62"/>
      <c r="S23" s="92"/>
      <c r="T23" s="148"/>
      <c r="U23" s="148"/>
      <c r="V23" s="148"/>
      <c r="W23" s="148"/>
      <c r="X23" s="148"/>
      <c r="Y23" s="148"/>
    </row>
    <row r="24" spans="1:28" ht="20.25">
      <c r="A24" s="46" t="s">
        <v>65</v>
      </c>
      <c r="B24" s="89">
        <v>1</v>
      </c>
      <c r="C24" s="62" t="s">
        <v>55</v>
      </c>
      <c r="D24" s="63"/>
      <c r="E24" s="62"/>
      <c r="F24" s="89">
        <v>1</v>
      </c>
      <c r="G24" s="62" t="s">
        <v>55</v>
      </c>
      <c r="H24" s="63"/>
      <c r="I24" s="62"/>
      <c r="J24" s="63">
        <v>1</v>
      </c>
      <c r="K24" s="62" t="s">
        <v>55</v>
      </c>
      <c r="L24" s="67"/>
      <c r="M24" s="65"/>
      <c r="N24" s="63"/>
      <c r="O24" s="62"/>
      <c r="P24" s="63"/>
      <c r="Q24" s="63"/>
      <c r="R24" s="103"/>
      <c r="S24" s="92"/>
      <c r="T24" s="148"/>
      <c r="U24" s="148"/>
      <c r="V24" s="148"/>
      <c r="W24" s="148"/>
      <c r="X24" s="148"/>
      <c r="Y24" s="148"/>
    </row>
    <row r="25" spans="1:28" ht="18" customHeight="1" thickBot="1">
      <c r="A25" s="46" t="s">
        <v>66</v>
      </c>
      <c r="B25" s="89">
        <v>1</v>
      </c>
      <c r="C25" s="62" t="s">
        <v>55</v>
      </c>
      <c r="D25" s="63"/>
      <c r="E25" s="62"/>
      <c r="F25" s="89">
        <v>1</v>
      </c>
      <c r="G25" s="62" t="s">
        <v>55</v>
      </c>
      <c r="H25" s="63"/>
      <c r="I25" s="68"/>
      <c r="J25" s="63">
        <v>1</v>
      </c>
      <c r="K25" s="62" t="s">
        <v>55</v>
      </c>
      <c r="L25" s="67"/>
      <c r="M25" s="65"/>
      <c r="N25" s="63"/>
      <c r="O25" s="62"/>
      <c r="P25" s="63"/>
      <c r="Q25" s="66"/>
      <c r="R25" s="103"/>
      <c r="S25" s="92"/>
      <c r="T25" s="148"/>
      <c r="U25" s="148"/>
      <c r="V25" s="148"/>
      <c r="W25" s="148"/>
      <c r="X25" s="148"/>
      <c r="Y25" s="148"/>
    </row>
    <row r="26" spans="1:28" ht="16.5" thickBot="1">
      <c r="A26" s="38" t="s">
        <v>13</v>
      </c>
      <c r="B26" s="99">
        <v>18</v>
      </c>
      <c r="C26" s="97" t="s">
        <v>49</v>
      </c>
      <c r="D26" s="99"/>
      <c r="E26" s="97"/>
      <c r="F26" s="99">
        <v>21</v>
      </c>
      <c r="G26" s="97" t="s">
        <v>49</v>
      </c>
      <c r="H26" s="101"/>
      <c r="I26" s="102"/>
      <c r="J26" s="99">
        <v>18</v>
      </c>
      <c r="K26" s="96" t="s">
        <v>49</v>
      </c>
      <c r="L26" s="86"/>
      <c r="M26" s="95"/>
      <c r="N26" s="99"/>
      <c r="O26" s="97" t="s">
        <v>49</v>
      </c>
      <c r="P26" s="99"/>
      <c r="Q26" s="99"/>
      <c r="R26" s="98" t="s">
        <v>49</v>
      </c>
      <c r="S26" s="87"/>
      <c r="V26" s="12"/>
      <c r="W26" s="12"/>
    </row>
    <row r="27" spans="1:28" ht="16.5" thickBot="1">
      <c r="A27" s="39" t="s">
        <v>14</v>
      </c>
      <c r="B27" s="99">
        <v>3</v>
      </c>
      <c r="C27" s="97" t="s">
        <v>50</v>
      </c>
      <c r="D27" s="99"/>
      <c r="E27" s="97"/>
      <c r="F27" s="99">
        <v>0</v>
      </c>
      <c r="G27" s="97" t="s">
        <v>50</v>
      </c>
      <c r="H27" s="101"/>
      <c r="I27" s="97"/>
      <c r="J27" s="99">
        <v>3</v>
      </c>
      <c r="K27" s="96" t="s">
        <v>50</v>
      </c>
      <c r="L27" s="86"/>
      <c r="M27" s="95"/>
      <c r="N27" s="99"/>
      <c r="O27" s="97" t="s">
        <v>50</v>
      </c>
      <c r="P27" s="99"/>
      <c r="Q27" s="99"/>
      <c r="R27" s="96" t="s">
        <v>50</v>
      </c>
      <c r="S27" s="87"/>
      <c r="V27" s="12"/>
      <c r="W27" s="12"/>
      <c r="AB27" s="5" t="s">
        <v>96</v>
      </c>
    </row>
    <row r="28" spans="1:28" ht="19.5" customHeight="1">
      <c r="A28"/>
      <c r="B28" s="53"/>
      <c r="C28" s="72"/>
      <c r="D28" s="72"/>
      <c r="E28" s="72"/>
      <c r="F28" s="53"/>
      <c r="G28" s="53"/>
      <c r="H28" s="53"/>
      <c r="I28" s="6"/>
      <c r="J28" s="6"/>
      <c r="K28" s="6"/>
      <c r="L28" s="6"/>
      <c r="M28" s="6"/>
      <c r="N28" s="6"/>
      <c r="O28" s="6"/>
      <c r="P28" s="6"/>
      <c r="Q28" s="6"/>
      <c r="R28" s="6"/>
      <c r="S28" s="53"/>
      <c r="V28" s="12"/>
      <c r="W28" s="12"/>
    </row>
    <row r="29" spans="1:28" ht="15.75">
      <c r="A29"/>
      <c r="C29" s="73"/>
      <c r="D29" s="73"/>
      <c r="E29" s="73"/>
      <c r="I29" s="6"/>
      <c r="K29" s="6"/>
      <c r="M29" s="6"/>
      <c r="O29" s="6"/>
      <c r="R29" s="6"/>
      <c r="S29" s="6"/>
      <c r="V29" s="12"/>
      <c r="W29" s="12"/>
    </row>
    <row r="30" spans="1:28" ht="18.75">
      <c r="A30" s="33" t="s">
        <v>15</v>
      </c>
      <c r="B30" s="33"/>
      <c r="C30" s="74"/>
      <c r="D30" s="74"/>
      <c r="E30" s="74"/>
      <c r="F30" s="33"/>
      <c r="G30" s="33"/>
      <c r="H30" s="33"/>
      <c r="I30" s="33"/>
      <c r="R30" s="33"/>
      <c r="V30" s="12"/>
      <c r="W30" s="12"/>
    </row>
    <row r="31" spans="1:28" ht="15.75">
      <c r="A31" s="7" t="s">
        <v>36</v>
      </c>
      <c r="V31" s="12"/>
      <c r="W31" s="12"/>
    </row>
    <row r="32" spans="1:28" ht="18">
      <c r="A32" s="34" t="s">
        <v>97</v>
      </c>
      <c r="V32" s="12"/>
      <c r="W32" s="12"/>
    </row>
    <row r="33" spans="1:23" ht="18">
      <c r="A33" s="34" t="s">
        <v>98</v>
      </c>
      <c r="V33" s="12"/>
      <c r="W33" s="12"/>
    </row>
    <row r="34" spans="1:23" ht="18">
      <c r="A34" s="34" t="s">
        <v>52</v>
      </c>
      <c r="V34" s="12"/>
      <c r="W34" s="12"/>
    </row>
    <row r="35" spans="1:23" ht="18">
      <c r="A35" s="34"/>
      <c r="V35" s="12"/>
      <c r="W35" s="12"/>
    </row>
    <row r="36" spans="1:23" ht="18">
      <c r="A36" s="34"/>
      <c r="V36" s="32"/>
      <c r="W36" s="12"/>
    </row>
    <row r="37" spans="1:23" ht="18">
      <c r="A37" s="34"/>
      <c r="V37" s="12"/>
      <c r="W37" s="12"/>
    </row>
    <row r="38" spans="1:23" ht="18">
      <c r="A38" s="34"/>
      <c r="V38" s="12"/>
      <c r="W38" s="12"/>
    </row>
    <row r="39" spans="1:23" ht="18">
      <c r="A39" s="34"/>
      <c r="V39" s="12"/>
      <c r="W39" s="12"/>
    </row>
    <row r="40" spans="1:23" ht="15.75">
      <c r="A40" s="7" t="s">
        <v>90</v>
      </c>
      <c r="V40" s="12"/>
      <c r="W40" s="12"/>
    </row>
    <row r="41" spans="1:23" ht="18">
      <c r="A41" s="34"/>
      <c r="V41" s="12"/>
      <c r="W41" s="12"/>
    </row>
    <row r="42" spans="1:23" ht="18">
      <c r="A42" s="34"/>
      <c r="V42" s="12"/>
      <c r="W42" s="12"/>
    </row>
    <row r="43" spans="1:23" ht="18">
      <c r="A43" s="34"/>
      <c r="V43" s="12"/>
      <c r="W43" s="12"/>
    </row>
    <row r="44" spans="1:23" ht="18">
      <c r="A44" s="34"/>
      <c r="V44" s="12"/>
      <c r="W44" s="12"/>
    </row>
    <row r="45" spans="1:23" ht="18">
      <c r="A45" s="34"/>
      <c r="B45" s="7"/>
      <c r="V45" s="12"/>
      <c r="W45" s="32"/>
    </row>
    <row r="46" spans="1:23" ht="18">
      <c r="A46" s="34"/>
      <c r="W46" s="12"/>
    </row>
    <row r="47" spans="1:23" ht="18">
      <c r="A47" s="34"/>
      <c r="W47" s="12"/>
    </row>
    <row r="48" spans="1:23" ht="18">
      <c r="A48" s="34"/>
      <c r="W48" s="12"/>
    </row>
    <row r="49" spans="1:23" ht="18">
      <c r="A49" s="34"/>
      <c r="M49"/>
      <c r="W49" s="12"/>
    </row>
    <row r="50" spans="1:23" ht="15.75">
      <c r="A50" s="5" t="s">
        <v>35</v>
      </c>
      <c r="M50"/>
      <c r="W50" s="12"/>
    </row>
    <row r="51" spans="1:23" ht="18">
      <c r="A51" s="34"/>
    </row>
    <row r="52" spans="1:23" ht="18">
      <c r="A52" s="34"/>
    </row>
    <row r="53" spans="1:23" ht="18">
      <c r="A53" s="34"/>
    </row>
    <row r="54" spans="1:23" ht="18">
      <c r="A54" s="34"/>
    </row>
    <row r="55" spans="1:23" ht="18">
      <c r="A55" s="34"/>
    </row>
    <row r="56" spans="1:23" ht="18">
      <c r="A56" s="34"/>
    </row>
    <row r="57" spans="1:23" ht="18">
      <c r="A57" s="34"/>
    </row>
    <row r="58" spans="1:23" ht="18">
      <c r="A58" s="34"/>
    </row>
    <row r="60" spans="1:23" ht="18">
      <c r="A60" s="34"/>
    </row>
    <row r="61" spans="1:23" ht="18">
      <c r="A61" s="34"/>
    </row>
    <row r="62" spans="1:23" ht="18">
      <c r="A62" s="34"/>
    </row>
    <row r="63" spans="1:23" ht="18">
      <c r="A63" s="34"/>
    </row>
    <row r="64" spans="1:23" ht="18">
      <c r="A64" s="34"/>
    </row>
    <row r="65" spans="1:1" ht="18">
      <c r="A65" s="34"/>
    </row>
    <row r="66" spans="1:1" ht="18">
      <c r="A66" s="34"/>
    </row>
    <row r="67" spans="1:1" ht="18">
      <c r="A67" s="34"/>
    </row>
    <row r="68" spans="1:1" ht="18">
      <c r="A68" s="34"/>
    </row>
    <row r="69" spans="1:1" ht="15.75">
      <c r="A69" s="7"/>
    </row>
    <row r="70" spans="1:1" ht="18">
      <c r="A70" s="34"/>
    </row>
    <row r="71" spans="1:1" ht="18">
      <c r="A71" s="34"/>
    </row>
    <row r="72" spans="1:1" ht="18">
      <c r="A72" s="34"/>
    </row>
    <row r="73" spans="1:1" ht="18">
      <c r="A73" s="34"/>
    </row>
    <row r="74" spans="1:1" ht="18">
      <c r="A74" s="34"/>
    </row>
    <row r="75" spans="1:1" ht="18">
      <c r="A75" s="34"/>
    </row>
    <row r="76" spans="1:1" ht="18">
      <c r="A76" s="34"/>
    </row>
    <row r="77" spans="1:1" ht="18">
      <c r="A77" s="34"/>
    </row>
    <row r="78" spans="1:1" ht="18">
      <c r="A78" s="34"/>
    </row>
  </sheetData>
  <mergeCells count="2">
    <mergeCell ref="B1:M3"/>
    <mergeCell ref="T1:Y25"/>
  </mergeCells>
  <dataValidations count="2">
    <dataValidation type="custom" allowBlank="1" showInputMessage="1" showErrorMessage="1" sqref="A70:A78 A60:A68" xr:uid="{201F3B03-C924-4B48-A5BC-AE6429F789F2}">
      <formula1>"a5:a25"</formula1>
    </dataValidation>
    <dataValidation type="list" allowBlank="1" showInputMessage="1" showErrorMessage="1" sqref="A32:A39 A41:A49 A51:A58" xr:uid="{B252DB4A-E8B6-4617-B61D-95E734AD4288}">
      <formula1>$A$5:$A$25</formula1>
    </dataValidation>
  </dataValidation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BO39"/>
  <sheetViews>
    <sheetView workbookViewId="0">
      <pane xSplit="1" topLeftCell="BF1" activePane="topRight" state="frozen"/>
      <selection pane="topRight" activeCell="BO11" sqref="BO11"/>
    </sheetView>
  </sheetViews>
  <sheetFormatPr defaultColWidth="9.140625" defaultRowHeight="12.75"/>
  <cols>
    <col min="1" max="1" width="47.7109375" style="22" customWidth="1"/>
    <col min="2" max="39" width="23.7109375" style="22" customWidth="1"/>
    <col min="40" max="40" width="19" style="22" customWidth="1"/>
    <col min="41" max="41" width="26.28515625" style="22" customWidth="1"/>
    <col min="42" max="42" width="22.140625" style="22" customWidth="1"/>
    <col min="43" max="67" width="22.7109375" style="22" customWidth="1"/>
    <col min="68" max="16384" width="9.140625" style="22"/>
  </cols>
  <sheetData>
    <row r="1" spans="1:67" ht="15">
      <c r="A1" s="77" t="s">
        <v>8</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row>
    <row r="2" spans="1:67" ht="15">
      <c r="A2" s="77" t="s">
        <v>103</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row>
    <row r="3" spans="1:67" ht="17.25" customHeight="1">
      <c r="A3" s="77" t="s">
        <v>104</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row>
    <row r="4" spans="1:67" ht="63" customHeight="1">
      <c r="A4" s="51" t="str">
        <f>'[1]MOÇÃO E REQUERIMENTO'!B7</f>
        <v>EXPEDIENTE</v>
      </c>
      <c r="B4" s="50" t="s">
        <v>48</v>
      </c>
      <c r="C4" s="118" t="s">
        <v>106</v>
      </c>
      <c r="D4" s="118" t="s">
        <v>107</v>
      </c>
      <c r="E4" s="118" t="s">
        <v>108</v>
      </c>
      <c r="F4" s="118" t="s">
        <v>109</v>
      </c>
      <c r="G4" s="118" t="s">
        <v>110</v>
      </c>
      <c r="H4" s="118" t="s">
        <v>111</v>
      </c>
      <c r="I4" s="118" t="s">
        <v>112</v>
      </c>
      <c r="J4" s="118" t="s">
        <v>113</v>
      </c>
      <c r="K4" s="118" t="s">
        <v>114</v>
      </c>
      <c r="L4" s="118" t="s">
        <v>115</v>
      </c>
      <c r="M4" s="118" t="s">
        <v>116</v>
      </c>
      <c r="N4" s="118" t="s">
        <v>117</v>
      </c>
      <c r="O4" s="118" t="s">
        <v>118</v>
      </c>
      <c r="P4" s="118" t="s">
        <v>119</v>
      </c>
      <c r="Q4" s="118" t="s">
        <v>120</v>
      </c>
      <c r="R4" s="118" t="s">
        <v>121</v>
      </c>
      <c r="S4" s="118" t="s">
        <v>122</v>
      </c>
      <c r="T4" s="118" t="s">
        <v>123</v>
      </c>
      <c r="U4" s="118" t="s">
        <v>124</v>
      </c>
      <c r="V4" s="118" t="s">
        <v>125</v>
      </c>
      <c r="W4" s="118" t="s">
        <v>126</v>
      </c>
      <c r="X4" s="118" t="s">
        <v>127</v>
      </c>
      <c r="Y4" s="118" t="s">
        <v>128</v>
      </c>
      <c r="Z4" s="118" t="s">
        <v>129</v>
      </c>
      <c r="AA4" s="118" t="s">
        <v>130</v>
      </c>
      <c r="AB4" s="118" t="s">
        <v>131</v>
      </c>
      <c r="AC4" s="118" t="s">
        <v>132</v>
      </c>
      <c r="AD4" s="118" t="s">
        <v>133</v>
      </c>
      <c r="AE4" s="118" t="s">
        <v>134</v>
      </c>
      <c r="AF4" s="118" t="s">
        <v>135</v>
      </c>
      <c r="AG4" s="118" t="s">
        <v>136</v>
      </c>
      <c r="AH4" s="118" t="s">
        <v>137</v>
      </c>
      <c r="AI4" s="118" t="s">
        <v>138</v>
      </c>
      <c r="AJ4" s="118" t="s">
        <v>139</v>
      </c>
      <c r="AK4" s="118" t="s">
        <v>140</v>
      </c>
      <c r="AL4" s="118" t="s">
        <v>141</v>
      </c>
      <c r="AM4" s="118" t="s">
        <v>142</v>
      </c>
      <c r="AN4" s="113" t="s">
        <v>34</v>
      </c>
      <c r="AO4" s="125"/>
      <c r="AP4" s="50" t="s">
        <v>27</v>
      </c>
      <c r="AQ4" s="85" t="s">
        <v>100</v>
      </c>
      <c r="AR4" s="85" t="s">
        <v>143</v>
      </c>
      <c r="AS4" s="85" t="s">
        <v>101</v>
      </c>
      <c r="AT4" s="85" t="s">
        <v>102</v>
      </c>
      <c r="AU4" s="85" t="s">
        <v>144</v>
      </c>
      <c r="AV4" s="69" t="s">
        <v>145</v>
      </c>
      <c r="AW4" s="69" t="s">
        <v>146</v>
      </c>
      <c r="AX4" s="69" t="s">
        <v>147</v>
      </c>
      <c r="AY4" s="69" t="s">
        <v>148</v>
      </c>
      <c r="AZ4" s="69" t="s">
        <v>150</v>
      </c>
      <c r="BA4" s="69" t="s">
        <v>151</v>
      </c>
      <c r="BB4" s="69" t="s">
        <v>152</v>
      </c>
      <c r="BC4" s="69" t="s">
        <v>153</v>
      </c>
      <c r="BD4" s="69" t="s">
        <v>154</v>
      </c>
      <c r="BE4" s="69" t="s">
        <v>155</v>
      </c>
      <c r="BF4" s="69" t="s">
        <v>156</v>
      </c>
      <c r="BG4" s="69" t="s">
        <v>157</v>
      </c>
      <c r="BH4" s="69" t="s">
        <v>158</v>
      </c>
      <c r="BI4" s="69" t="s">
        <v>159</v>
      </c>
      <c r="BJ4" s="69" t="s">
        <v>160</v>
      </c>
      <c r="BK4" s="69" t="s">
        <v>161</v>
      </c>
      <c r="BL4" s="69" t="s">
        <v>162</v>
      </c>
      <c r="BM4" s="69" t="s">
        <v>163</v>
      </c>
      <c r="BN4" s="69" t="s">
        <v>164</v>
      </c>
      <c r="BO4" s="69" t="s">
        <v>165</v>
      </c>
    </row>
    <row r="5" spans="1:67" s="59" customFormat="1" ht="48" customHeight="1">
      <c r="A5" s="57" t="s">
        <v>45</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114"/>
      <c r="AQ5" s="119" t="s">
        <v>93</v>
      </c>
      <c r="AR5" s="119" t="s">
        <v>93</v>
      </c>
      <c r="AS5" s="114" t="s">
        <v>92</v>
      </c>
      <c r="AT5" s="119" t="s">
        <v>93</v>
      </c>
      <c r="AU5" s="119" t="s">
        <v>93</v>
      </c>
      <c r="AV5" s="114" t="s">
        <v>92</v>
      </c>
      <c r="AW5" s="114" t="s">
        <v>92</v>
      </c>
      <c r="AX5" s="119" t="s">
        <v>149</v>
      </c>
      <c r="AY5" s="119" t="s">
        <v>149</v>
      </c>
      <c r="AZ5" s="119" t="s">
        <v>149</v>
      </c>
      <c r="BA5" s="119" t="s">
        <v>149</v>
      </c>
      <c r="BB5" s="119" t="s">
        <v>149</v>
      </c>
      <c r="BC5" s="114" t="s">
        <v>92</v>
      </c>
      <c r="BD5" s="114" t="s">
        <v>92</v>
      </c>
      <c r="BE5" s="119" t="s">
        <v>149</v>
      </c>
      <c r="BF5" s="119" t="s">
        <v>149</v>
      </c>
      <c r="BG5" s="119" t="s">
        <v>149</v>
      </c>
      <c r="BH5" s="119" t="s">
        <v>93</v>
      </c>
      <c r="BI5" s="119" t="s">
        <v>93</v>
      </c>
      <c r="BJ5" s="119" t="s">
        <v>93</v>
      </c>
      <c r="BK5" s="119" t="s">
        <v>149</v>
      </c>
      <c r="BL5" s="114" t="s">
        <v>92</v>
      </c>
      <c r="BM5" s="119" t="s">
        <v>93</v>
      </c>
      <c r="BN5" s="119" t="s">
        <v>93</v>
      </c>
      <c r="BO5" s="119" t="s">
        <v>93</v>
      </c>
    </row>
    <row r="6" spans="1:67" ht="15.75">
      <c r="A6" s="128" t="s">
        <v>54</v>
      </c>
      <c r="AP6" s="23"/>
    </row>
    <row r="7" spans="1:67" ht="15.75">
      <c r="A7" s="128" t="s">
        <v>97</v>
      </c>
      <c r="AP7" s="23"/>
    </row>
    <row r="8" spans="1:67" ht="15.75">
      <c r="A8" s="128" t="s">
        <v>57</v>
      </c>
      <c r="AP8" s="23"/>
    </row>
    <row r="9" spans="1:67" ht="15.75">
      <c r="A9" s="129" t="s">
        <v>58</v>
      </c>
      <c r="AP9" s="23"/>
    </row>
    <row r="10" spans="1:67" ht="15.75">
      <c r="A10" s="128" t="s">
        <v>28</v>
      </c>
      <c r="AP10" s="23"/>
    </row>
    <row r="11" spans="1:67" ht="15.75">
      <c r="A11" s="128" t="s">
        <v>59</v>
      </c>
      <c r="AP11" s="23"/>
    </row>
    <row r="12" spans="1:67" ht="15.75">
      <c r="A12" s="128" t="s">
        <v>22</v>
      </c>
      <c r="AP12" s="23"/>
    </row>
    <row r="13" spans="1:67" ht="15.75">
      <c r="A13" s="128" t="s">
        <v>23</v>
      </c>
      <c r="AP13" s="23"/>
    </row>
    <row r="14" spans="1:67" ht="15.75">
      <c r="A14" s="128" t="s">
        <v>24</v>
      </c>
      <c r="AP14" s="23"/>
    </row>
    <row r="15" spans="1:67" ht="15.75">
      <c r="A15" s="128" t="s">
        <v>60</v>
      </c>
      <c r="AP15" s="23"/>
    </row>
    <row r="16" spans="1:67" ht="15.75">
      <c r="A16" s="128" t="s">
        <v>61</v>
      </c>
      <c r="AP16" s="23"/>
    </row>
    <row r="17" spans="1:42" ht="15.75">
      <c r="A17" s="128" t="s">
        <v>62</v>
      </c>
      <c r="AP17" s="23"/>
    </row>
    <row r="18" spans="1:42" ht="15.75">
      <c r="A18" s="128" t="s">
        <v>25</v>
      </c>
      <c r="AP18" s="23"/>
    </row>
    <row r="19" spans="1:42" ht="15.75">
      <c r="A19" s="128" t="s">
        <v>63</v>
      </c>
      <c r="AP19" s="23"/>
    </row>
    <row r="20" spans="1:42" ht="15.75">
      <c r="A20" s="128" t="s">
        <v>98</v>
      </c>
      <c r="AP20" s="23"/>
    </row>
    <row r="21" spans="1:42" ht="15.75">
      <c r="A21" s="128" t="s">
        <v>26</v>
      </c>
      <c r="AP21" s="23"/>
    </row>
    <row r="22" spans="1:42" ht="15.75">
      <c r="A22" s="128" t="s">
        <v>64</v>
      </c>
      <c r="AP22" s="23"/>
    </row>
    <row r="23" spans="1:42" ht="15.75">
      <c r="A23" s="128" t="s">
        <v>105</v>
      </c>
      <c r="AP23" s="23"/>
    </row>
    <row r="24" spans="1:42" ht="15.75">
      <c r="A24" s="128" t="s">
        <v>52</v>
      </c>
      <c r="AP24" s="23"/>
    </row>
    <row r="25" spans="1:42" ht="15.75">
      <c r="A25" s="128" t="s">
        <v>65</v>
      </c>
      <c r="AP25" s="23"/>
    </row>
    <row r="26" spans="1:42" ht="15.75">
      <c r="A26" s="128" t="s">
        <v>66</v>
      </c>
      <c r="AP26" s="23"/>
    </row>
    <row r="27" spans="1:42" s="25" customFormat="1">
      <c r="A27" s="24" t="s">
        <v>18</v>
      </c>
    </row>
    <row r="28" spans="1:42" s="27" customFormat="1">
      <c r="A28" s="26" t="s">
        <v>19</v>
      </c>
    </row>
    <row r="29" spans="1:42">
      <c r="A29" s="28" t="s">
        <v>11</v>
      </c>
    </row>
    <row r="30" spans="1:42" s="30" customFormat="1">
      <c r="A30" s="29" t="s">
        <v>20</v>
      </c>
    </row>
    <row r="32" spans="1:42" ht="25.5">
      <c r="A32" s="31" t="s">
        <v>0</v>
      </c>
    </row>
    <row r="33" spans="1:1" ht="76.5">
      <c r="A33" s="31" t="s">
        <v>1</v>
      </c>
    </row>
    <row r="34" spans="1:1" ht="63.75">
      <c r="A34" s="31" t="s">
        <v>2</v>
      </c>
    </row>
    <row r="35" spans="1:1" ht="38.25">
      <c r="A35" s="31" t="s">
        <v>3</v>
      </c>
    </row>
    <row r="36" spans="1:1" ht="89.25">
      <c r="A36" s="31" t="s">
        <v>4</v>
      </c>
    </row>
    <row r="39" spans="1:1">
      <c r="A39" s="58" t="s">
        <v>46</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EA37"/>
  <sheetViews>
    <sheetView zoomScale="80" zoomScaleNormal="80" workbookViewId="0">
      <pane xSplit="1" topLeftCell="B1" activePane="topRight" state="frozen"/>
      <selection activeCell="A4" sqref="A4"/>
      <selection pane="topRight" activeCell="H10" sqref="H10"/>
    </sheetView>
  </sheetViews>
  <sheetFormatPr defaultRowHeight="15"/>
  <cols>
    <col min="1" max="1" width="61" customWidth="1"/>
    <col min="2" max="2" width="28.7109375" bestFit="1" customWidth="1"/>
    <col min="3" max="3" width="36.7109375" customWidth="1"/>
    <col min="4" max="4" width="24.7109375" customWidth="1"/>
    <col min="5" max="46" width="36.7109375" customWidth="1"/>
  </cols>
  <sheetData>
    <row r="1" spans="1:46" ht="18" customHeight="1">
      <c r="A1" s="77" t="s">
        <v>8</v>
      </c>
      <c r="B1" s="49"/>
      <c r="C1" s="75"/>
    </row>
    <row r="2" spans="1:46" ht="18" customHeight="1">
      <c r="A2" s="77" t="s">
        <v>103</v>
      </c>
      <c r="B2" s="49"/>
      <c r="C2" s="75"/>
    </row>
    <row r="3" spans="1:46" ht="17.25" customHeight="1">
      <c r="A3" s="77" t="s">
        <v>104</v>
      </c>
      <c r="B3" s="49"/>
      <c r="C3" s="75"/>
      <c r="E3" s="117"/>
      <c r="F3" s="117"/>
    </row>
    <row r="4" spans="1:46" ht="90.75" customHeight="1" thickBot="1">
      <c r="A4" s="52" t="s">
        <v>5</v>
      </c>
      <c r="B4" s="109" t="s">
        <v>31</v>
      </c>
      <c r="C4" s="140"/>
      <c r="D4" s="110" t="s">
        <v>6</v>
      </c>
      <c r="E4" s="143" t="s">
        <v>166</v>
      </c>
      <c r="F4" s="143" t="s">
        <v>167</v>
      </c>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3"/>
      <c r="AT4" s="3"/>
    </row>
    <row r="5" spans="1:46" s="82" customFormat="1" ht="48" customHeight="1">
      <c r="A5" s="100" t="s">
        <v>37</v>
      </c>
      <c r="B5" s="79"/>
      <c r="C5" s="114"/>
      <c r="D5" s="80"/>
      <c r="E5" s="114" t="s">
        <v>94</v>
      </c>
      <c r="F5" s="114" t="s">
        <v>94</v>
      </c>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c r="AK5" s="81"/>
      <c r="AL5" s="81"/>
      <c r="AM5" s="81"/>
      <c r="AN5" s="81"/>
      <c r="AO5" s="81"/>
      <c r="AP5" s="81"/>
      <c r="AQ5" s="81"/>
      <c r="AR5" s="81"/>
      <c r="AS5" s="81"/>
      <c r="AT5" s="81"/>
    </row>
    <row r="6" spans="1:46" ht="20.25">
      <c r="A6" s="46" t="s">
        <v>54</v>
      </c>
      <c r="C6" s="108"/>
      <c r="E6" s="108" t="s">
        <v>95</v>
      </c>
      <c r="F6" s="108" t="s">
        <v>95</v>
      </c>
    </row>
    <row r="7" spans="1:46" ht="20.25">
      <c r="A7" s="46" t="s">
        <v>97</v>
      </c>
      <c r="C7" s="108"/>
      <c r="E7" s="115" t="s">
        <v>56</v>
      </c>
      <c r="F7" s="115" t="s">
        <v>56</v>
      </c>
    </row>
    <row r="8" spans="1:46" ht="20.25">
      <c r="A8" s="46" t="s">
        <v>57</v>
      </c>
      <c r="C8" s="108"/>
      <c r="E8" s="108" t="s">
        <v>95</v>
      </c>
      <c r="F8" s="108" t="s">
        <v>95</v>
      </c>
    </row>
    <row r="9" spans="1:46" ht="20.25">
      <c r="A9" s="83" t="s">
        <v>58</v>
      </c>
      <c r="C9" s="115"/>
      <c r="E9" s="115" t="s">
        <v>99</v>
      </c>
      <c r="F9" s="115" t="s">
        <v>99</v>
      </c>
    </row>
    <row r="10" spans="1:46" ht="20.25">
      <c r="A10" s="46" t="s">
        <v>28</v>
      </c>
      <c r="C10" s="108"/>
      <c r="E10" s="108" t="s">
        <v>95</v>
      </c>
      <c r="F10" s="108" t="s">
        <v>95</v>
      </c>
    </row>
    <row r="11" spans="1:46" ht="20.25">
      <c r="A11" s="46" t="s">
        <v>59</v>
      </c>
      <c r="C11" s="115"/>
      <c r="E11" s="115" t="s">
        <v>56</v>
      </c>
      <c r="F11" s="115" t="s">
        <v>56</v>
      </c>
    </row>
    <row r="12" spans="1:46" ht="20.25">
      <c r="A12" s="46" t="s">
        <v>22</v>
      </c>
      <c r="C12" s="108"/>
      <c r="E12" s="108" t="s">
        <v>95</v>
      </c>
      <c r="F12" s="108" t="s">
        <v>95</v>
      </c>
    </row>
    <row r="13" spans="1:46" ht="20.25">
      <c r="A13" s="46" t="s">
        <v>23</v>
      </c>
      <c r="C13" s="115"/>
      <c r="E13" s="108" t="s">
        <v>95</v>
      </c>
      <c r="F13" s="108" t="s">
        <v>95</v>
      </c>
    </row>
    <row r="14" spans="1:46" ht="20.25">
      <c r="A14" s="46" t="s">
        <v>24</v>
      </c>
      <c r="C14" s="108"/>
      <c r="E14" s="108" t="s">
        <v>95</v>
      </c>
      <c r="F14" s="108" t="s">
        <v>95</v>
      </c>
    </row>
    <row r="15" spans="1:46" ht="20.25">
      <c r="A15" s="46" t="s">
        <v>60</v>
      </c>
      <c r="C15" s="108"/>
      <c r="E15" s="108" t="s">
        <v>95</v>
      </c>
      <c r="F15" s="108" t="s">
        <v>95</v>
      </c>
    </row>
    <row r="16" spans="1:46" ht="20.25">
      <c r="A16" s="46" t="s">
        <v>61</v>
      </c>
      <c r="C16" s="108"/>
      <c r="E16" s="108" t="s">
        <v>95</v>
      </c>
      <c r="F16" s="108" t="s">
        <v>95</v>
      </c>
    </row>
    <row r="17" spans="1:131" ht="20.25">
      <c r="A17" s="46" t="s">
        <v>62</v>
      </c>
      <c r="C17" s="108"/>
      <c r="E17" s="108" t="s">
        <v>95</v>
      </c>
      <c r="F17" s="108" t="s">
        <v>95</v>
      </c>
    </row>
    <row r="18" spans="1:131" ht="20.25">
      <c r="A18" s="46" t="s">
        <v>25</v>
      </c>
      <c r="C18" s="108"/>
      <c r="E18" s="108" t="s">
        <v>95</v>
      </c>
      <c r="F18" s="108" t="s">
        <v>95</v>
      </c>
    </row>
    <row r="19" spans="1:131" ht="20.25">
      <c r="A19" s="46" t="s">
        <v>63</v>
      </c>
      <c r="C19" s="108"/>
      <c r="E19" s="108" t="s">
        <v>95</v>
      </c>
      <c r="F19" s="108" t="s">
        <v>95</v>
      </c>
    </row>
    <row r="20" spans="1:131" ht="20.25">
      <c r="A20" s="46" t="s">
        <v>98</v>
      </c>
      <c r="C20" s="108"/>
      <c r="E20" s="115" t="s">
        <v>56</v>
      </c>
      <c r="F20" s="115" t="s">
        <v>56</v>
      </c>
    </row>
    <row r="21" spans="1:131" ht="20.25">
      <c r="A21" s="46" t="s">
        <v>26</v>
      </c>
      <c r="C21" s="115"/>
      <c r="E21" s="108" t="s">
        <v>95</v>
      </c>
      <c r="F21" s="108" t="s">
        <v>95</v>
      </c>
    </row>
    <row r="22" spans="1:131" ht="20.25">
      <c r="A22" s="46" t="s">
        <v>64</v>
      </c>
      <c r="C22" s="108"/>
      <c r="E22" s="108" t="s">
        <v>95</v>
      </c>
      <c r="F22" s="108" t="s">
        <v>95</v>
      </c>
    </row>
    <row r="23" spans="1:131" ht="20.25">
      <c r="A23" s="46" t="s">
        <v>105</v>
      </c>
      <c r="C23" s="108"/>
      <c r="E23" s="115" t="s">
        <v>56</v>
      </c>
      <c r="F23" s="115" t="s">
        <v>56</v>
      </c>
    </row>
    <row r="24" spans="1:131" ht="20.25">
      <c r="A24" s="46" t="s">
        <v>52</v>
      </c>
      <c r="C24" s="108"/>
      <c r="E24" s="108" t="s">
        <v>95</v>
      </c>
      <c r="F24" s="108" t="s">
        <v>95</v>
      </c>
    </row>
    <row r="25" spans="1:131" ht="20.25">
      <c r="A25" s="46" t="s">
        <v>65</v>
      </c>
      <c r="C25" s="108"/>
      <c r="E25" s="108" t="s">
        <v>95</v>
      </c>
      <c r="F25" s="108" t="s">
        <v>95</v>
      </c>
    </row>
    <row r="26" spans="1:131" ht="20.25">
      <c r="A26" s="46" t="s">
        <v>66</v>
      </c>
      <c r="C26" s="115"/>
      <c r="E26" s="108" t="s">
        <v>95</v>
      </c>
      <c r="F26" s="108" t="s">
        <v>95</v>
      </c>
    </row>
    <row r="27" spans="1:131" s="16" customFormat="1" ht="15.75">
      <c r="A27" s="15" t="s">
        <v>18</v>
      </c>
      <c r="B27"/>
      <c r="C27" s="104">
        <f>COUNTIF(C6:C26,"sim")</f>
        <v>0</v>
      </c>
      <c r="D27"/>
      <c r="E27" s="104">
        <f t="shared" ref="E27:F27" si="0">COUNTIF(E6:E26,"sim")</f>
        <v>16</v>
      </c>
      <c r="F27" s="104">
        <f t="shared" si="0"/>
        <v>16</v>
      </c>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row>
    <row r="28" spans="1:131" s="18" customFormat="1" ht="15.75">
      <c r="A28" s="17" t="s">
        <v>19</v>
      </c>
      <c r="B28"/>
      <c r="C28" s="105">
        <f>COUNTIF(C6:C26,"não")</f>
        <v>0</v>
      </c>
      <c r="D28"/>
      <c r="E28" s="105">
        <f t="shared" ref="E28:F28" si="1">COUNTIF(E6:E26,"não")</f>
        <v>0</v>
      </c>
      <c r="F28" s="105">
        <f t="shared" si="1"/>
        <v>0</v>
      </c>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row>
    <row r="29" spans="1:131" ht="15.75">
      <c r="A29" s="14" t="s">
        <v>11</v>
      </c>
      <c r="C29" s="40">
        <f>COUNTIF(C6:C26,"ausente")</f>
        <v>0</v>
      </c>
      <c r="E29" s="40">
        <f t="shared" ref="E29:F29" si="2">COUNTIF(E6:E26,"ausente")</f>
        <v>4</v>
      </c>
      <c r="F29" s="40">
        <f t="shared" si="2"/>
        <v>4</v>
      </c>
    </row>
    <row r="30" spans="1:131" s="20" customFormat="1" ht="15.75">
      <c r="A30" s="19" t="s">
        <v>20</v>
      </c>
      <c r="B30"/>
      <c r="C30" s="106">
        <f>COUNTIF(C6:C26,"abstenção")</f>
        <v>0</v>
      </c>
      <c r="D30"/>
      <c r="E30" s="106">
        <f t="shared" ref="E30:F30" si="3">COUNTIF(E6:E26,"abstenção")</f>
        <v>0</v>
      </c>
      <c r="F30" s="106">
        <f t="shared" si="3"/>
        <v>0</v>
      </c>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row>
    <row r="31" spans="1:131" s="20" customFormat="1" ht="15.75">
      <c r="A31" s="19"/>
      <c r="B31"/>
      <c r="C31" s="106"/>
      <c r="D31"/>
      <c r="E31" s="106"/>
      <c r="F31" s="106"/>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row>
    <row r="33" spans="1:1" ht="24.75">
      <c r="A33" s="1" t="s">
        <v>0</v>
      </c>
    </row>
    <row r="34" spans="1:1" ht="60.75">
      <c r="A34" s="1" t="s">
        <v>1</v>
      </c>
    </row>
    <row r="35" spans="1:1" ht="48.75">
      <c r="A35" s="1" t="s">
        <v>2</v>
      </c>
    </row>
    <row r="36" spans="1:1" ht="24.75">
      <c r="A36" s="1" t="s">
        <v>3</v>
      </c>
    </row>
    <row r="37" spans="1:1" ht="60.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DS37"/>
  <sheetViews>
    <sheetView zoomScale="90" zoomScaleNormal="90" workbookViewId="0">
      <pane xSplit="1" topLeftCell="B1" activePane="topRight" state="frozen"/>
      <selection pane="topRight" activeCell="F5" sqref="F5"/>
    </sheetView>
  </sheetViews>
  <sheetFormatPr defaultRowHeight="15"/>
  <cols>
    <col min="1" max="1" width="46.85546875" customWidth="1"/>
    <col min="2" max="3" width="30.42578125" customWidth="1"/>
    <col min="4" max="4" width="17.42578125" customWidth="1"/>
    <col min="5" max="5" width="16.85546875" customWidth="1"/>
    <col min="6" max="6" width="29.85546875" customWidth="1"/>
    <col min="7" max="7" width="29.28515625" customWidth="1"/>
    <col min="8" max="8" width="25.7109375" customWidth="1"/>
    <col min="9" max="9" width="28" customWidth="1"/>
    <col min="10" max="10" width="28.140625" customWidth="1"/>
    <col min="11" max="11" width="30.5703125" customWidth="1"/>
    <col min="12" max="12" width="26.7109375" customWidth="1"/>
    <col min="13" max="14" width="29.28515625" customWidth="1"/>
    <col min="15" max="15" width="29.42578125" customWidth="1"/>
    <col min="16" max="17" width="28.7109375" customWidth="1"/>
    <col min="18" max="18" width="28.140625" customWidth="1"/>
    <col min="19" max="19" width="25.7109375" customWidth="1"/>
    <col min="20" max="20" width="21.28515625" customWidth="1"/>
    <col min="21" max="21" width="19.5703125" customWidth="1"/>
    <col min="22" max="22" width="18.28515625" customWidth="1"/>
    <col min="23" max="23" width="17.28515625" customWidth="1"/>
    <col min="24" max="24" width="18.140625" customWidth="1"/>
    <col min="25" max="25" width="22" customWidth="1"/>
    <col min="26" max="26" width="16.140625" customWidth="1"/>
    <col min="27" max="27" width="18" customWidth="1"/>
    <col min="29" max="29" width="18.28515625" customWidth="1"/>
  </cols>
  <sheetData>
    <row r="1" spans="1:29">
      <c r="A1" s="77" t="s">
        <v>8</v>
      </c>
      <c r="B1" s="2"/>
      <c r="C1" s="2"/>
      <c r="D1" s="2"/>
      <c r="E1" s="2"/>
      <c r="F1" s="2"/>
      <c r="G1" s="2"/>
      <c r="H1" s="2"/>
      <c r="I1" s="2"/>
      <c r="J1" s="2"/>
      <c r="K1" s="2"/>
      <c r="L1" s="2"/>
      <c r="M1" s="2"/>
      <c r="N1" s="2"/>
      <c r="O1" s="2"/>
      <c r="P1" s="2"/>
      <c r="Q1" s="2"/>
      <c r="R1" s="2"/>
      <c r="S1" s="2"/>
      <c r="T1" s="2"/>
    </row>
    <row r="2" spans="1:29">
      <c r="A2" s="77" t="s">
        <v>103</v>
      </c>
      <c r="B2" s="2"/>
      <c r="C2" s="2"/>
      <c r="D2" s="2"/>
      <c r="E2" s="2"/>
      <c r="F2" s="2"/>
      <c r="G2" s="2"/>
      <c r="H2" s="2"/>
      <c r="I2" s="2"/>
      <c r="J2" s="2"/>
      <c r="K2" s="2"/>
      <c r="L2" s="2"/>
      <c r="M2" s="2"/>
      <c r="N2" s="2"/>
      <c r="O2" s="2"/>
      <c r="P2" s="2"/>
      <c r="Q2" s="2"/>
      <c r="R2" s="2"/>
      <c r="S2" s="2"/>
      <c r="T2" s="2"/>
    </row>
    <row r="3" spans="1:29" ht="18" customHeight="1" thickBot="1">
      <c r="A3" s="77" t="s">
        <v>104</v>
      </c>
      <c r="B3" s="2"/>
      <c r="C3" s="2"/>
      <c r="D3" s="2"/>
      <c r="E3" s="2"/>
      <c r="F3" s="2"/>
      <c r="G3" s="2"/>
      <c r="H3" s="2"/>
      <c r="I3" s="2"/>
      <c r="J3" s="2"/>
      <c r="K3" s="2"/>
      <c r="L3" s="2"/>
      <c r="M3" s="2"/>
      <c r="N3" s="2"/>
      <c r="O3" s="2"/>
      <c r="P3" s="2"/>
      <c r="Q3" s="2"/>
      <c r="R3" s="2"/>
      <c r="S3" s="2"/>
      <c r="T3" s="2"/>
    </row>
    <row r="4" spans="1:29" ht="90.6" customHeight="1" thickBot="1">
      <c r="A4" s="121" t="s">
        <v>5</v>
      </c>
      <c r="B4" s="120" t="s">
        <v>7</v>
      </c>
      <c r="C4" s="142"/>
      <c r="D4" s="60"/>
      <c r="E4" s="60"/>
      <c r="F4" s="60"/>
      <c r="G4" s="9"/>
      <c r="H4" s="9"/>
      <c r="I4" s="9"/>
      <c r="J4" s="9"/>
      <c r="K4" s="9"/>
      <c r="L4" s="9"/>
      <c r="M4" s="13"/>
      <c r="N4" s="9"/>
      <c r="O4" s="9"/>
      <c r="P4" s="9"/>
      <c r="Q4" s="9"/>
      <c r="R4" s="9"/>
      <c r="S4" s="9"/>
      <c r="T4" s="13"/>
      <c r="U4" s="13"/>
      <c r="V4" s="13"/>
      <c r="W4" s="13"/>
      <c r="X4" s="13"/>
      <c r="Y4" s="9"/>
      <c r="Z4" s="9"/>
      <c r="AA4" s="9"/>
      <c r="AC4" s="8"/>
    </row>
    <row r="5" spans="1:29" s="78" customFormat="1" ht="51.75" customHeight="1">
      <c r="B5" s="76"/>
      <c r="C5" s="114"/>
      <c r="D5" s="76"/>
      <c r="E5" s="76"/>
      <c r="F5" s="76"/>
      <c r="G5" s="76"/>
      <c r="H5" s="76"/>
      <c r="I5" s="76"/>
      <c r="J5" s="76"/>
      <c r="K5" s="76"/>
      <c r="L5" s="76"/>
      <c r="M5" s="76"/>
      <c r="N5" s="76"/>
      <c r="O5" s="76"/>
      <c r="P5" s="76"/>
      <c r="Q5" s="76"/>
      <c r="R5" s="76"/>
      <c r="S5" s="76"/>
      <c r="T5" s="76"/>
      <c r="Z5" s="76"/>
      <c r="AA5" s="76"/>
    </row>
    <row r="6" spans="1:29" ht="18">
      <c r="A6" s="130" t="s">
        <v>54</v>
      </c>
      <c r="C6" s="108"/>
      <c r="U6" s="7"/>
      <c r="V6" s="7"/>
    </row>
    <row r="7" spans="1:29" ht="18">
      <c r="A7" s="130" t="s">
        <v>97</v>
      </c>
      <c r="C7" s="115"/>
      <c r="U7" s="7"/>
      <c r="V7" s="7"/>
    </row>
    <row r="8" spans="1:29" ht="18">
      <c r="A8" s="130" t="s">
        <v>57</v>
      </c>
      <c r="C8" s="108"/>
      <c r="U8" s="7"/>
      <c r="V8" s="7"/>
    </row>
    <row r="9" spans="1:29" ht="18">
      <c r="A9" s="131" t="s">
        <v>58</v>
      </c>
      <c r="C9" s="115"/>
      <c r="U9" s="7"/>
      <c r="V9" s="7"/>
    </row>
    <row r="10" spans="1:29" ht="18">
      <c r="A10" s="130" t="s">
        <v>28</v>
      </c>
      <c r="C10" s="108"/>
      <c r="U10" s="7"/>
      <c r="V10" s="7"/>
    </row>
    <row r="11" spans="1:29" ht="18">
      <c r="A11" s="130" t="s">
        <v>59</v>
      </c>
      <c r="C11" s="115"/>
      <c r="U11" s="7"/>
      <c r="V11" s="7"/>
    </row>
    <row r="12" spans="1:29" ht="18">
      <c r="A12" s="130" t="s">
        <v>22</v>
      </c>
      <c r="C12" s="115"/>
      <c r="U12" s="7"/>
      <c r="V12" s="7"/>
    </row>
    <row r="13" spans="1:29" ht="18">
      <c r="A13" s="130" t="s">
        <v>23</v>
      </c>
      <c r="C13" s="108"/>
      <c r="U13" s="7"/>
      <c r="V13" s="7"/>
    </row>
    <row r="14" spans="1:29" ht="18">
      <c r="A14" s="130" t="s">
        <v>24</v>
      </c>
      <c r="C14" s="108"/>
      <c r="U14" s="7"/>
      <c r="V14" s="7"/>
    </row>
    <row r="15" spans="1:29" ht="18">
      <c r="A15" s="130" t="s">
        <v>60</v>
      </c>
      <c r="C15" s="108"/>
      <c r="U15" s="7"/>
      <c r="V15" s="7"/>
    </row>
    <row r="16" spans="1:29" ht="18">
      <c r="A16" s="130" t="s">
        <v>61</v>
      </c>
      <c r="C16" s="108"/>
      <c r="U16" s="7"/>
      <c r="V16" s="7"/>
    </row>
    <row r="17" spans="1:123" ht="15" customHeight="1">
      <c r="A17" s="130" t="s">
        <v>62</v>
      </c>
      <c r="C17" s="108"/>
      <c r="T17" s="8"/>
      <c r="U17" s="7"/>
      <c r="V17" s="7"/>
    </row>
    <row r="18" spans="1:123" ht="18">
      <c r="A18" s="130" t="s">
        <v>25</v>
      </c>
      <c r="C18" s="108"/>
      <c r="U18" s="7"/>
      <c r="V18" s="7"/>
    </row>
    <row r="19" spans="1:123" ht="18">
      <c r="A19" s="130" t="s">
        <v>63</v>
      </c>
      <c r="C19" s="115"/>
      <c r="U19" s="7"/>
      <c r="V19" s="7"/>
    </row>
    <row r="20" spans="1:123" ht="18">
      <c r="A20" s="130" t="s">
        <v>98</v>
      </c>
      <c r="C20" s="115"/>
      <c r="U20" s="7"/>
      <c r="V20" s="7"/>
    </row>
    <row r="21" spans="1:123" ht="18">
      <c r="A21" s="130" t="s">
        <v>26</v>
      </c>
      <c r="C21" s="108"/>
      <c r="U21" s="7"/>
      <c r="V21" s="7"/>
    </row>
    <row r="22" spans="1:123" ht="18">
      <c r="A22" s="130" t="s">
        <v>64</v>
      </c>
      <c r="C22" s="108"/>
      <c r="U22" s="7"/>
      <c r="V22" s="7"/>
    </row>
    <row r="23" spans="1:123" ht="18">
      <c r="A23" s="130" t="s">
        <v>105</v>
      </c>
      <c r="C23" s="108"/>
      <c r="U23" s="7"/>
      <c r="V23" s="7"/>
    </row>
    <row r="24" spans="1:123" ht="18">
      <c r="A24" s="130" t="s">
        <v>52</v>
      </c>
      <c r="C24" s="115"/>
      <c r="U24" s="7"/>
      <c r="V24" s="7"/>
    </row>
    <row r="25" spans="1:123" ht="18">
      <c r="A25" s="130" t="s">
        <v>65</v>
      </c>
      <c r="C25" s="108"/>
      <c r="U25" s="7"/>
      <c r="V25" s="7"/>
    </row>
    <row r="26" spans="1:123" ht="18">
      <c r="A26" s="130" t="s">
        <v>66</v>
      </c>
      <c r="C26" s="108"/>
      <c r="U26" s="7"/>
      <c r="V26" s="7"/>
    </row>
    <row r="27" spans="1:123" s="16" customFormat="1" ht="15.75">
      <c r="A27" s="15" t="s">
        <v>18</v>
      </c>
      <c r="B27" s="16">
        <f t="shared" ref="B27" si="0">COUNTIF(B6:B26,"sim")</f>
        <v>0</v>
      </c>
      <c r="C27" s="104">
        <f t="shared" ref="C27" si="1">COUNTIF(C6:C26,"sim")</f>
        <v>0</v>
      </c>
      <c r="J27" s="16">
        <f t="shared" ref="J27:AO27" si="2">COUNTIF(J6:J26,"sim")</f>
        <v>0</v>
      </c>
      <c r="K27" s="16">
        <f t="shared" si="2"/>
        <v>0</v>
      </c>
      <c r="L27" s="16">
        <f t="shared" si="2"/>
        <v>0</v>
      </c>
      <c r="M27" s="16">
        <f t="shared" si="2"/>
        <v>0</v>
      </c>
      <c r="N27" s="16">
        <f t="shared" si="2"/>
        <v>0</v>
      </c>
      <c r="O27" s="16">
        <f t="shared" si="2"/>
        <v>0</v>
      </c>
      <c r="P27" s="16">
        <f t="shared" si="2"/>
        <v>0</v>
      </c>
      <c r="Q27" s="16">
        <f t="shared" si="2"/>
        <v>0</v>
      </c>
      <c r="R27" s="16">
        <f t="shared" si="2"/>
        <v>0</v>
      </c>
      <c r="S27" s="16">
        <f t="shared" si="2"/>
        <v>0</v>
      </c>
      <c r="T27" s="16">
        <f t="shared" si="2"/>
        <v>0</v>
      </c>
      <c r="U27" s="16">
        <f t="shared" si="2"/>
        <v>0</v>
      </c>
      <c r="V27" s="16">
        <f t="shared" si="2"/>
        <v>0</v>
      </c>
      <c r="W27" s="16">
        <f t="shared" si="2"/>
        <v>0</v>
      </c>
      <c r="X27" s="16">
        <f t="shared" si="2"/>
        <v>0</v>
      </c>
      <c r="Y27" s="16">
        <f t="shared" si="2"/>
        <v>0</v>
      </c>
      <c r="Z27" s="16">
        <f t="shared" si="2"/>
        <v>0</v>
      </c>
      <c r="AA27" s="16">
        <f t="shared" si="2"/>
        <v>0</v>
      </c>
      <c r="AB27" s="16">
        <f t="shared" si="2"/>
        <v>0</v>
      </c>
      <c r="AC27" s="16">
        <f t="shared" si="2"/>
        <v>0</v>
      </c>
      <c r="AD27" s="16">
        <f t="shared" si="2"/>
        <v>0</v>
      </c>
      <c r="AE27" s="16">
        <f t="shared" si="2"/>
        <v>0</v>
      </c>
      <c r="AF27" s="16">
        <f t="shared" si="2"/>
        <v>0</v>
      </c>
      <c r="AG27" s="16">
        <f t="shared" si="2"/>
        <v>0</v>
      </c>
      <c r="AH27" s="16">
        <f t="shared" si="2"/>
        <v>0</v>
      </c>
      <c r="AI27" s="16">
        <f t="shared" si="2"/>
        <v>0</v>
      </c>
      <c r="AJ27" s="16">
        <f t="shared" si="2"/>
        <v>0</v>
      </c>
      <c r="AK27" s="16">
        <f t="shared" si="2"/>
        <v>0</v>
      </c>
      <c r="AL27" s="16">
        <f t="shared" si="2"/>
        <v>0</v>
      </c>
      <c r="AM27" s="16">
        <f t="shared" si="2"/>
        <v>0</v>
      </c>
      <c r="AN27" s="16">
        <f t="shared" si="2"/>
        <v>0</v>
      </c>
      <c r="AO27" s="16">
        <f t="shared" si="2"/>
        <v>0</v>
      </c>
      <c r="AP27" s="16">
        <f t="shared" ref="AP27:BU27" si="3">COUNTIF(AP6:AP26,"sim")</f>
        <v>0</v>
      </c>
      <c r="AQ27" s="16">
        <f t="shared" si="3"/>
        <v>0</v>
      </c>
      <c r="AR27" s="16">
        <f t="shared" si="3"/>
        <v>0</v>
      </c>
      <c r="AS27" s="16">
        <f t="shared" si="3"/>
        <v>0</v>
      </c>
      <c r="AT27" s="16">
        <f t="shared" si="3"/>
        <v>0</v>
      </c>
      <c r="AU27" s="16">
        <f t="shared" si="3"/>
        <v>0</v>
      </c>
      <c r="AV27" s="16">
        <f t="shared" si="3"/>
        <v>0</v>
      </c>
      <c r="AW27" s="16">
        <f t="shared" si="3"/>
        <v>0</v>
      </c>
      <c r="AX27" s="16">
        <f t="shared" si="3"/>
        <v>0</v>
      </c>
      <c r="AY27" s="16">
        <f t="shared" si="3"/>
        <v>0</v>
      </c>
      <c r="AZ27" s="16">
        <f t="shared" si="3"/>
        <v>0</v>
      </c>
      <c r="BA27" s="16">
        <f t="shared" si="3"/>
        <v>0</v>
      </c>
      <c r="BB27" s="16">
        <f t="shared" si="3"/>
        <v>0</v>
      </c>
      <c r="BC27" s="16">
        <f t="shared" si="3"/>
        <v>0</v>
      </c>
      <c r="BD27" s="16">
        <f t="shared" si="3"/>
        <v>0</v>
      </c>
      <c r="BE27" s="16">
        <f t="shared" si="3"/>
        <v>0</v>
      </c>
      <c r="BF27" s="16">
        <f t="shared" si="3"/>
        <v>0</v>
      </c>
      <c r="BG27" s="16">
        <f t="shared" si="3"/>
        <v>0</v>
      </c>
      <c r="BH27" s="16">
        <f t="shared" si="3"/>
        <v>0</v>
      </c>
      <c r="BI27" s="16">
        <f t="shared" si="3"/>
        <v>0</v>
      </c>
      <c r="BJ27" s="16">
        <f t="shared" si="3"/>
        <v>0</v>
      </c>
      <c r="BK27" s="16">
        <f t="shared" si="3"/>
        <v>0</v>
      </c>
      <c r="BL27" s="16">
        <f t="shared" si="3"/>
        <v>0</v>
      </c>
      <c r="BM27" s="16">
        <f t="shared" si="3"/>
        <v>0</v>
      </c>
      <c r="BN27" s="16">
        <f t="shared" si="3"/>
        <v>0</v>
      </c>
      <c r="BO27" s="16">
        <f t="shared" si="3"/>
        <v>0</v>
      </c>
      <c r="BP27" s="16">
        <f t="shared" si="3"/>
        <v>0</v>
      </c>
      <c r="BQ27" s="16">
        <f t="shared" si="3"/>
        <v>0</v>
      </c>
      <c r="BR27" s="16">
        <f t="shared" si="3"/>
        <v>0</v>
      </c>
      <c r="BS27" s="16">
        <f t="shared" si="3"/>
        <v>0</v>
      </c>
      <c r="BT27" s="16">
        <f t="shared" si="3"/>
        <v>0</v>
      </c>
      <c r="BU27" s="16">
        <f t="shared" si="3"/>
        <v>0</v>
      </c>
      <c r="BV27" s="16">
        <f t="shared" ref="BV27:DA27" si="4">COUNTIF(BV6:BV26,"sim")</f>
        <v>0</v>
      </c>
      <c r="BW27" s="16">
        <f t="shared" si="4"/>
        <v>0</v>
      </c>
      <c r="BX27" s="16">
        <f t="shared" si="4"/>
        <v>0</v>
      </c>
      <c r="BY27" s="16">
        <f t="shared" si="4"/>
        <v>0</v>
      </c>
      <c r="BZ27" s="16">
        <f t="shared" si="4"/>
        <v>0</v>
      </c>
      <c r="CA27" s="16">
        <f t="shared" si="4"/>
        <v>0</v>
      </c>
      <c r="CB27" s="16">
        <f t="shared" si="4"/>
        <v>0</v>
      </c>
      <c r="CC27" s="16">
        <f t="shared" si="4"/>
        <v>0</v>
      </c>
      <c r="CD27" s="16">
        <f t="shared" si="4"/>
        <v>0</v>
      </c>
      <c r="CE27" s="16">
        <f t="shared" si="4"/>
        <v>0</v>
      </c>
      <c r="CF27" s="16">
        <f t="shared" si="4"/>
        <v>0</v>
      </c>
      <c r="CG27" s="16">
        <f t="shared" si="4"/>
        <v>0</v>
      </c>
      <c r="CH27" s="16">
        <f t="shared" si="4"/>
        <v>0</v>
      </c>
      <c r="CI27" s="16">
        <f t="shared" si="4"/>
        <v>0</v>
      </c>
      <c r="CJ27" s="16">
        <f t="shared" si="4"/>
        <v>0</v>
      </c>
      <c r="CK27" s="16">
        <f t="shared" si="4"/>
        <v>0</v>
      </c>
      <c r="CL27" s="16">
        <f t="shared" si="4"/>
        <v>0</v>
      </c>
      <c r="CM27" s="16">
        <f t="shared" si="4"/>
        <v>0</v>
      </c>
      <c r="CN27" s="16">
        <f t="shared" si="4"/>
        <v>0</v>
      </c>
      <c r="CO27" s="16">
        <f t="shared" si="4"/>
        <v>0</v>
      </c>
      <c r="CP27" s="16">
        <f t="shared" si="4"/>
        <v>0</v>
      </c>
      <c r="CQ27" s="16">
        <f t="shared" si="4"/>
        <v>0</v>
      </c>
      <c r="CR27" s="16">
        <f t="shared" si="4"/>
        <v>0</v>
      </c>
      <c r="CS27" s="16">
        <f t="shared" si="4"/>
        <v>0</v>
      </c>
      <c r="CT27" s="16">
        <f t="shared" si="4"/>
        <v>0</v>
      </c>
      <c r="CU27" s="16">
        <f t="shared" si="4"/>
        <v>0</v>
      </c>
      <c r="CV27" s="16">
        <f t="shared" si="4"/>
        <v>0</v>
      </c>
      <c r="CW27" s="16">
        <f t="shared" si="4"/>
        <v>0</v>
      </c>
      <c r="CX27" s="16">
        <f t="shared" si="4"/>
        <v>0</v>
      </c>
      <c r="CY27" s="16">
        <f t="shared" si="4"/>
        <v>0</v>
      </c>
      <c r="CZ27" s="16">
        <f t="shared" si="4"/>
        <v>0</v>
      </c>
      <c r="DA27" s="16">
        <f t="shared" si="4"/>
        <v>0</v>
      </c>
      <c r="DB27" s="16">
        <f t="shared" ref="DB27:DS27" si="5">COUNTIF(DB6:DB26,"sim")</f>
        <v>0</v>
      </c>
      <c r="DC27" s="16">
        <f t="shared" si="5"/>
        <v>0</v>
      </c>
      <c r="DD27" s="16">
        <f t="shared" si="5"/>
        <v>0</v>
      </c>
      <c r="DE27" s="16">
        <f t="shared" si="5"/>
        <v>0</v>
      </c>
      <c r="DF27" s="16">
        <f t="shared" si="5"/>
        <v>0</v>
      </c>
      <c r="DG27" s="16">
        <f t="shared" si="5"/>
        <v>0</v>
      </c>
      <c r="DH27" s="16">
        <f t="shared" si="5"/>
        <v>0</v>
      </c>
      <c r="DI27" s="16">
        <f t="shared" si="5"/>
        <v>0</v>
      </c>
      <c r="DJ27" s="16">
        <f t="shared" si="5"/>
        <v>0</v>
      </c>
      <c r="DK27" s="16">
        <f t="shared" si="5"/>
        <v>0</v>
      </c>
      <c r="DL27" s="16">
        <f t="shared" si="5"/>
        <v>0</v>
      </c>
      <c r="DM27" s="16">
        <f t="shared" si="5"/>
        <v>0</v>
      </c>
      <c r="DN27" s="16">
        <f t="shared" si="5"/>
        <v>0</v>
      </c>
      <c r="DO27" s="16">
        <f t="shared" si="5"/>
        <v>0</v>
      </c>
      <c r="DP27" s="16">
        <f t="shared" si="5"/>
        <v>0</v>
      </c>
      <c r="DQ27" s="16">
        <f t="shared" si="5"/>
        <v>0</v>
      </c>
      <c r="DR27" s="16">
        <f t="shared" si="5"/>
        <v>0</v>
      </c>
      <c r="DS27" s="16">
        <f t="shared" si="5"/>
        <v>0</v>
      </c>
    </row>
    <row r="28" spans="1:123" s="18" customFormat="1" ht="15.75">
      <c r="A28" s="17" t="s">
        <v>19</v>
      </c>
      <c r="B28" s="18">
        <f t="shared" ref="B28" si="6">COUNTIF(B6:B26,"não")</f>
        <v>0</v>
      </c>
      <c r="C28" s="105">
        <f t="shared" ref="C28" si="7">COUNTIF(C6:C26,"não")</f>
        <v>0</v>
      </c>
      <c r="J28" s="18">
        <f t="shared" ref="J28:AO28" si="8">COUNTIF(J6:J27,"não")</f>
        <v>0</v>
      </c>
      <c r="K28" s="18">
        <f t="shared" si="8"/>
        <v>0</v>
      </c>
      <c r="L28" s="18">
        <f t="shared" si="8"/>
        <v>0</v>
      </c>
      <c r="M28" s="18">
        <f t="shared" si="8"/>
        <v>0</v>
      </c>
      <c r="N28" s="18">
        <f t="shared" si="8"/>
        <v>0</v>
      </c>
      <c r="O28" s="18">
        <f t="shared" si="8"/>
        <v>0</v>
      </c>
      <c r="P28" s="18">
        <f t="shared" si="8"/>
        <v>0</v>
      </c>
      <c r="Q28" s="18">
        <f t="shared" si="8"/>
        <v>0</v>
      </c>
      <c r="R28" s="18">
        <f t="shared" si="8"/>
        <v>0</v>
      </c>
      <c r="S28" s="18">
        <f t="shared" si="8"/>
        <v>0</v>
      </c>
      <c r="T28" s="18">
        <f t="shared" si="8"/>
        <v>0</v>
      </c>
      <c r="U28" s="18">
        <f t="shared" si="8"/>
        <v>0</v>
      </c>
      <c r="V28" s="18">
        <f t="shared" si="8"/>
        <v>0</v>
      </c>
      <c r="W28" s="18">
        <f t="shared" si="8"/>
        <v>0</v>
      </c>
      <c r="X28" s="18">
        <f t="shared" si="8"/>
        <v>0</v>
      </c>
      <c r="Y28" s="18">
        <f t="shared" si="8"/>
        <v>0</v>
      </c>
      <c r="Z28" s="18">
        <f t="shared" si="8"/>
        <v>0</v>
      </c>
      <c r="AA28" s="18">
        <f t="shared" si="8"/>
        <v>0</v>
      </c>
      <c r="AB28" s="18">
        <f t="shared" si="8"/>
        <v>0</v>
      </c>
      <c r="AC28" s="18">
        <f t="shared" si="8"/>
        <v>0</v>
      </c>
      <c r="AD28" s="18">
        <f t="shared" si="8"/>
        <v>0</v>
      </c>
      <c r="AE28" s="18">
        <f t="shared" si="8"/>
        <v>0</v>
      </c>
      <c r="AF28" s="18">
        <f t="shared" si="8"/>
        <v>0</v>
      </c>
      <c r="AG28" s="18">
        <f t="shared" si="8"/>
        <v>0</v>
      </c>
      <c r="AH28" s="18">
        <f t="shared" si="8"/>
        <v>0</v>
      </c>
      <c r="AI28" s="18">
        <f t="shared" si="8"/>
        <v>0</v>
      </c>
      <c r="AJ28" s="18">
        <f t="shared" si="8"/>
        <v>0</v>
      </c>
      <c r="AK28" s="18">
        <f t="shared" si="8"/>
        <v>0</v>
      </c>
      <c r="AL28" s="18">
        <f t="shared" si="8"/>
        <v>0</v>
      </c>
      <c r="AM28" s="18">
        <f t="shared" si="8"/>
        <v>0</v>
      </c>
      <c r="AN28" s="18">
        <f t="shared" si="8"/>
        <v>0</v>
      </c>
      <c r="AO28" s="18">
        <f t="shared" si="8"/>
        <v>0</v>
      </c>
      <c r="AP28" s="18">
        <f t="shared" ref="AP28:BU28" si="9">COUNTIF(AP6:AP27,"não")</f>
        <v>0</v>
      </c>
      <c r="AQ28" s="18">
        <f t="shared" si="9"/>
        <v>0</v>
      </c>
      <c r="AR28" s="18">
        <f t="shared" si="9"/>
        <v>0</v>
      </c>
      <c r="AS28" s="18">
        <f t="shared" si="9"/>
        <v>0</v>
      </c>
      <c r="AT28" s="18">
        <f t="shared" si="9"/>
        <v>0</v>
      </c>
      <c r="AU28" s="18">
        <f t="shared" si="9"/>
        <v>0</v>
      </c>
      <c r="AV28" s="18">
        <f t="shared" si="9"/>
        <v>0</v>
      </c>
      <c r="AW28" s="18">
        <f t="shared" si="9"/>
        <v>0</v>
      </c>
      <c r="AX28" s="18">
        <f t="shared" si="9"/>
        <v>0</v>
      </c>
      <c r="AY28" s="18">
        <f t="shared" si="9"/>
        <v>0</v>
      </c>
      <c r="AZ28" s="18">
        <f t="shared" si="9"/>
        <v>0</v>
      </c>
      <c r="BA28" s="18">
        <f t="shared" si="9"/>
        <v>0</v>
      </c>
      <c r="BB28" s="18">
        <f t="shared" si="9"/>
        <v>0</v>
      </c>
      <c r="BC28" s="18">
        <f t="shared" si="9"/>
        <v>0</v>
      </c>
      <c r="BD28" s="18">
        <f t="shared" si="9"/>
        <v>0</v>
      </c>
      <c r="BE28" s="18">
        <f t="shared" si="9"/>
        <v>0</v>
      </c>
      <c r="BF28" s="18">
        <f t="shared" si="9"/>
        <v>0</v>
      </c>
      <c r="BG28" s="18">
        <f t="shared" si="9"/>
        <v>0</v>
      </c>
      <c r="BH28" s="18">
        <f t="shared" si="9"/>
        <v>0</v>
      </c>
      <c r="BI28" s="18">
        <f t="shared" si="9"/>
        <v>0</v>
      </c>
      <c r="BJ28" s="18">
        <f t="shared" si="9"/>
        <v>0</v>
      </c>
      <c r="BK28" s="18">
        <f t="shared" si="9"/>
        <v>0</v>
      </c>
      <c r="BL28" s="18">
        <f t="shared" si="9"/>
        <v>0</v>
      </c>
      <c r="BM28" s="18">
        <f t="shared" si="9"/>
        <v>0</v>
      </c>
      <c r="BN28" s="18">
        <f t="shared" si="9"/>
        <v>0</v>
      </c>
      <c r="BO28" s="18">
        <f t="shared" si="9"/>
        <v>0</v>
      </c>
      <c r="BP28" s="18">
        <f t="shared" si="9"/>
        <v>0</v>
      </c>
      <c r="BQ28" s="18">
        <f t="shared" si="9"/>
        <v>0</v>
      </c>
      <c r="BR28" s="18">
        <f t="shared" si="9"/>
        <v>0</v>
      </c>
      <c r="BS28" s="18">
        <f t="shared" si="9"/>
        <v>0</v>
      </c>
      <c r="BT28" s="18">
        <f t="shared" si="9"/>
        <v>0</v>
      </c>
      <c r="BU28" s="18">
        <f t="shared" si="9"/>
        <v>0</v>
      </c>
      <c r="BV28" s="18">
        <f t="shared" ref="BV28:DA28" si="10">COUNTIF(BV6:BV27,"não")</f>
        <v>0</v>
      </c>
      <c r="BW28" s="18">
        <f t="shared" si="10"/>
        <v>0</v>
      </c>
      <c r="BX28" s="18">
        <f t="shared" si="10"/>
        <v>0</v>
      </c>
      <c r="BY28" s="18">
        <f t="shared" si="10"/>
        <v>0</v>
      </c>
      <c r="BZ28" s="18">
        <f t="shared" si="10"/>
        <v>0</v>
      </c>
      <c r="CA28" s="18">
        <f t="shared" si="10"/>
        <v>0</v>
      </c>
      <c r="CB28" s="18">
        <f t="shared" si="10"/>
        <v>0</v>
      </c>
      <c r="CC28" s="18">
        <f t="shared" si="10"/>
        <v>0</v>
      </c>
      <c r="CD28" s="18">
        <f t="shared" si="10"/>
        <v>0</v>
      </c>
      <c r="CE28" s="18">
        <f t="shared" si="10"/>
        <v>0</v>
      </c>
      <c r="CF28" s="18">
        <f t="shared" si="10"/>
        <v>0</v>
      </c>
      <c r="CG28" s="18">
        <f t="shared" si="10"/>
        <v>0</v>
      </c>
      <c r="CH28" s="18">
        <f t="shared" si="10"/>
        <v>0</v>
      </c>
      <c r="CI28" s="18">
        <f t="shared" si="10"/>
        <v>0</v>
      </c>
      <c r="CJ28" s="18">
        <f t="shared" si="10"/>
        <v>0</v>
      </c>
      <c r="CK28" s="18">
        <f t="shared" si="10"/>
        <v>0</v>
      </c>
      <c r="CL28" s="18">
        <f t="shared" si="10"/>
        <v>0</v>
      </c>
      <c r="CM28" s="18">
        <f t="shared" si="10"/>
        <v>0</v>
      </c>
      <c r="CN28" s="18">
        <f t="shared" si="10"/>
        <v>0</v>
      </c>
      <c r="CO28" s="18">
        <f t="shared" si="10"/>
        <v>0</v>
      </c>
      <c r="CP28" s="18">
        <f t="shared" si="10"/>
        <v>0</v>
      </c>
      <c r="CQ28" s="18">
        <f t="shared" si="10"/>
        <v>0</v>
      </c>
      <c r="CR28" s="18">
        <f t="shared" si="10"/>
        <v>0</v>
      </c>
      <c r="CS28" s="18">
        <f t="shared" si="10"/>
        <v>0</v>
      </c>
      <c r="CT28" s="18">
        <f t="shared" si="10"/>
        <v>0</v>
      </c>
      <c r="CU28" s="18">
        <f t="shared" si="10"/>
        <v>0</v>
      </c>
      <c r="CV28" s="18">
        <f t="shared" si="10"/>
        <v>0</v>
      </c>
      <c r="CW28" s="18">
        <f t="shared" si="10"/>
        <v>0</v>
      </c>
      <c r="CX28" s="18">
        <f t="shared" si="10"/>
        <v>0</v>
      </c>
      <c r="CY28" s="18">
        <f t="shared" si="10"/>
        <v>0</v>
      </c>
      <c r="CZ28" s="18">
        <f t="shared" si="10"/>
        <v>0</v>
      </c>
      <c r="DA28" s="18">
        <f t="shared" si="10"/>
        <v>0</v>
      </c>
      <c r="DB28" s="18">
        <f t="shared" ref="DB28:DS28" si="11">COUNTIF(DB6:DB27,"não")</f>
        <v>0</v>
      </c>
      <c r="DC28" s="18">
        <f t="shared" si="11"/>
        <v>0</v>
      </c>
      <c r="DD28" s="18">
        <f t="shared" si="11"/>
        <v>0</v>
      </c>
      <c r="DE28" s="18">
        <f t="shared" si="11"/>
        <v>0</v>
      </c>
      <c r="DF28" s="18">
        <f t="shared" si="11"/>
        <v>0</v>
      </c>
      <c r="DG28" s="18">
        <f t="shared" si="11"/>
        <v>0</v>
      </c>
      <c r="DH28" s="18">
        <f t="shared" si="11"/>
        <v>0</v>
      </c>
      <c r="DI28" s="18">
        <f t="shared" si="11"/>
        <v>0</v>
      </c>
      <c r="DJ28" s="18">
        <f t="shared" si="11"/>
        <v>0</v>
      </c>
      <c r="DK28" s="18">
        <f t="shared" si="11"/>
        <v>0</v>
      </c>
      <c r="DL28" s="18">
        <f t="shared" si="11"/>
        <v>0</v>
      </c>
      <c r="DM28" s="18">
        <f t="shared" si="11"/>
        <v>0</v>
      </c>
      <c r="DN28" s="18">
        <f t="shared" si="11"/>
        <v>0</v>
      </c>
      <c r="DO28" s="18">
        <f t="shared" si="11"/>
        <v>0</v>
      </c>
      <c r="DP28" s="18">
        <f t="shared" si="11"/>
        <v>0</v>
      </c>
      <c r="DQ28" s="18">
        <f t="shared" si="11"/>
        <v>0</v>
      </c>
      <c r="DR28" s="18">
        <f t="shared" si="11"/>
        <v>0</v>
      </c>
      <c r="DS28" s="18">
        <f t="shared" si="11"/>
        <v>0</v>
      </c>
    </row>
    <row r="29" spans="1:123" ht="15.75">
      <c r="A29" s="14" t="s">
        <v>11</v>
      </c>
      <c r="B29">
        <f t="shared" ref="B29" si="12">COUNTIF(B6:B26,"ausente")</f>
        <v>0</v>
      </c>
      <c r="C29" s="40">
        <f t="shared" ref="C29" si="13">COUNTIF(C6:C26,"ausente")</f>
        <v>0</v>
      </c>
      <c r="J29">
        <f t="shared" ref="J29:AO29" si="14">COUNTIF(J6:J28,"ausente")</f>
        <v>0</v>
      </c>
      <c r="K29">
        <f t="shared" si="14"/>
        <v>0</v>
      </c>
      <c r="L29">
        <f t="shared" si="14"/>
        <v>0</v>
      </c>
      <c r="M29">
        <f t="shared" si="14"/>
        <v>0</v>
      </c>
      <c r="N29">
        <f t="shared" si="14"/>
        <v>0</v>
      </c>
      <c r="O29">
        <f t="shared" si="14"/>
        <v>0</v>
      </c>
      <c r="P29">
        <f t="shared" si="14"/>
        <v>0</v>
      </c>
      <c r="Q29">
        <f t="shared" si="14"/>
        <v>0</v>
      </c>
      <c r="R29">
        <f t="shared" si="14"/>
        <v>0</v>
      </c>
      <c r="S29">
        <f t="shared" si="14"/>
        <v>0</v>
      </c>
      <c r="T29">
        <f t="shared" si="14"/>
        <v>0</v>
      </c>
      <c r="U29">
        <f t="shared" si="14"/>
        <v>0</v>
      </c>
      <c r="V29">
        <f t="shared" si="14"/>
        <v>0</v>
      </c>
      <c r="W29">
        <f t="shared" si="14"/>
        <v>0</v>
      </c>
      <c r="X29">
        <f t="shared" si="14"/>
        <v>0</v>
      </c>
      <c r="Y29">
        <f t="shared" si="14"/>
        <v>0</v>
      </c>
      <c r="Z29">
        <f t="shared" si="14"/>
        <v>0</v>
      </c>
      <c r="AA29">
        <f t="shared" si="14"/>
        <v>0</v>
      </c>
      <c r="AB29">
        <f t="shared" si="14"/>
        <v>0</v>
      </c>
      <c r="AC29">
        <f t="shared" si="14"/>
        <v>0</v>
      </c>
      <c r="AD29">
        <f t="shared" si="14"/>
        <v>0</v>
      </c>
      <c r="AE29">
        <f t="shared" si="14"/>
        <v>0</v>
      </c>
      <c r="AF29">
        <f t="shared" si="14"/>
        <v>0</v>
      </c>
      <c r="AG29">
        <f t="shared" si="14"/>
        <v>0</v>
      </c>
      <c r="AH29">
        <f t="shared" si="14"/>
        <v>0</v>
      </c>
      <c r="AI29">
        <f t="shared" si="14"/>
        <v>0</v>
      </c>
      <c r="AJ29">
        <f t="shared" si="14"/>
        <v>0</v>
      </c>
      <c r="AK29">
        <f t="shared" si="14"/>
        <v>0</v>
      </c>
      <c r="AL29">
        <f t="shared" si="14"/>
        <v>0</v>
      </c>
      <c r="AM29">
        <f t="shared" si="14"/>
        <v>0</v>
      </c>
      <c r="AN29">
        <f t="shared" si="14"/>
        <v>0</v>
      </c>
      <c r="AO29">
        <f t="shared" si="14"/>
        <v>0</v>
      </c>
      <c r="AP29">
        <f t="shared" ref="AP29:BU29" si="15">COUNTIF(AP6:AP28,"ausente")</f>
        <v>0</v>
      </c>
      <c r="AQ29">
        <f t="shared" si="15"/>
        <v>0</v>
      </c>
      <c r="AR29">
        <f t="shared" si="15"/>
        <v>0</v>
      </c>
      <c r="AS29">
        <f t="shared" si="15"/>
        <v>0</v>
      </c>
      <c r="AT29">
        <f t="shared" si="15"/>
        <v>0</v>
      </c>
      <c r="AU29">
        <f t="shared" si="15"/>
        <v>0</v>
      </c>
      <c r="AV29">
        <f t="shared" si="15"/>
        <v>0</v>
      </c>
      <c r="AW29">
        <f t="shared" si="15"/>
        <v>0</v>
      </c>
      <c r="AX29">
        <f t="shared" si="15"/>
        <v>0</v>
      </c>
      <c r="AY29">
        <f t="shared" si="15"/>
        <v>0</v>
      </c>
      <c r="AZ29">
        <f t="shared" si="15"/>
        <v>0</v>
      </c>
      <c r="BA29">
        <f t="shared" si="15"/>
        <v>0</v>
      </c>
      <c r="BB29">
        <f t="shared" si="15"/>
        <v>0</v>
      </c>
      <c r="BC29">
        <f t="shared" si="15"/>
        <v>0</v>
      </c>
      <c r="BD29">
        <f t="shared" si="15"/>
        <v>0</v>
      </c>
      <c r="BE29">
        <f t="shared" si="15"/>
        <v>0</v>
      </c>
      <c r="BF29">
        <f t="shared" si="15"/>
        <v>0</v>
      </c>
      <c r="BG29">
        <f t="shared" si="15"/>
        <v>0</v>
      </c>
      <c r="BH29">
        <f t="shared" si="15"/>
        <v>0</v>
      </c>
      <c r="BI29">
        <f t="shared" si="15"/>
        <v>0</v>
      </c>
      <c r="BJ29">
        <f t="shared" si="15"/>
        <v>0</v>
      </c>
      <c r="BK29">
        <f t="shared" si="15"/>
        <v>0</v>
      </c>
      <c r="BL29">
        <f t="shared" si="15"/>
        <v>0</v>
      </c>
      <c r="BM29">
        <f t="shared" si="15"/>
        <v>0</v>
      </c>
      <c r="BN29">
        <f t="shared" si="15"/>
        <v>0</v>
      </c>
      <c r="BO29">
        <f t="shared" si="15"/>
        <v>0</v>
      </c>
      <c r="BP29">
        <f t="shared" si="15"/>
        <v>0</v>
      </c>
      <c r="BQ29">
        <f t="shared" si="15"/>
        <v>0</v>
      </c>
      <c r="BR29">
        <f t="shared" si="15"/>
        <v>0</v>
      </c>
      <c r="BS29">
        <f t="shared" si="15"/>
        <v>0</v>
      </c>
      <c r="BT29">
        <f t="shared" si="15"/>
        <v>0</v>
      </c>
      <c r="BU29">
        <f t="shared" si="15"/>
        <v>0</v>
      </c>
      <c r="BV29">
        <f t="shared" ref="BV29:DA29" si="16">COUNTIF(BV6:BV28,"ausente")</f>
        <v>0</v>
      </c>
      <c r="BW29">
        <f t="shared" si="16"/>
        <v>0</v>
      </c>
      <c r="BX29">
        <f t="shared" si="16"/>
        <v>0</v>
      </c>
      <c r="BY29">
        <f t="shared" si="16"/>
        <v>0</v>
      </c>
      <c r="BZ29">
        <f t="shared" si="16"/>
        <v>0</v>
      </c>
      <c r="CA29">
        <f t="shared" si="16"/>
        <v>0</v>
      </c>
      <c r="CB29">
        <f t="shared" si="16"/>
        <v>0</v>
      </c>
      <c r="CC29">
        <f t="shared" si="16"/>
        <v>0</v>
      </c>
      <c r="CD29">
        <f t="shared" si="16"/>
        <v>0</v>
      </c>
      <c r="CE29">
        <f t="shared" si="16"/>
        <v>0</v>
      </c>
      <c r="CF29">
        <f t="shared" si="16"/>
        <v>0</v>
      </c>
      <c r="CG29">
        <f t="shared" si="16"/>
        <v>0</v>
      </c>
      <c r="CH29">
        <f t="shared" si="16"/>
        <v>0</v>
      </c>
      <c r="CI29">
        <f t="shared" si="16"/>
        <v>0</v>
      </c>
      <c r="CJ29">
        <f t="shared" si="16"/>
        <v>0</v>
      </c>
      <c r="CK29">
        <f t="shared" si="16"/>
        <v>0</v>
      </c>
      <c r="CL29">
        <f t="shared" si="16"/>
        <v>0</v>
      </c>
      <c r="CM29">
        <f t="shared" si="16"/>
        <v>0</v>
      </c>
      <c r="CN29">
        <f t="shared" si="16"/>
        <v>0</v>
      </c>
      <c r="CO29">
        <f t="shared" si="16"/>
        <v>0</v>
      </c>
      <c r="CP29">
        <f t="shared" si="16"/>
        <v>0</v>
      </c>
      <c r="CQ29">
        <f t="shared" si="16"/>
        <v>0</v>
      </c>
      <c r="CR29">
        <f t="shared" si="16"/>
        <v>0</v>
      </c>
      <c r="CS29">
        <f t="shared" si="16"/>
        <v>0</v>
      </c>
      <c r="CT29">
        <f t="shared" si="16"/>
        <v>0</v>
      </c>
      <c r="CU29">
        <f t="shared" si="16"/>
        <v>0</v>
      </c>
      <c r="CV29">
        <f t="shared" si="16"/>
        <v>0</v>
      </c>
      <c r="CW29">
        <f t="shared" si="16"/>
        <v>0</v>
      </c>
      <c r="CX29">
        <f t="shared" si="16"/>
        <v>0</v>
      </c>
      <c r="CY29">
        <f t="shared" si="16"/>
        <v>0</v>
      </c>
      <c r="CZ29">
        <f t="shared" si="16"/>
        <v>0</v>
      </c>
      <c r="DA29">
        <f t="shared" si="16"/>
        <v>0</v>
      </c>
      <c r="DB29">
        <f t="shared" ref="DB29:DS29" si="17">COUNTIF(DB6:DB28,"ausente")</f>
        <v>0</v>
      </c>
      <c r="DC29">
        <f t="shared" si="17"/>
        <v>0</v>
      </c>
      <c r="DD29">
        <f t="shared" si="17"/>
        <v>0</v>
      </c>
      <c r="DE29">
        <f t="shared" si="17"/>
        <v>0</v>
      </c>
      <c r="DF29">
        <f t="shared" si="17"/>
        <v>0</v>
      </c>
      <c r="DG29">
        <f t="shared" si="17"/>
        <v>0</v>
      </c>
      <c r="DH29">
        <f t="shared" si="17"/>
        <v>0</v>
      </c>
      <c r="DI29">
        <f t="shared" si="17"/>
        <v>0</v>
      </c>
      <c r="DJ29">
        <f t="shared" si="17"/>
        <v>0</v>
      </c>
      <c r="DK29">
        <f t="shared" si="17"/>
        <v>0</v>
      </c>
      <c r="DL29">
        <f t="shared" si="17"/>
        <v>0</v>
      </c>
      <c r="DM29">
        <f t="shared" si="17"/>
        <v>0</v>
      </c>
      <c r="DN29">
        <f t="shared" si="17"/>
        <v>0</v>
      </c>
      <c r="DO29">
        <f t="shared" si="17"/>
        <v>0</v>
      </c>
      <c r="DP29">
        <f t="shared" si="17"/>
        <v>0</v>
      </c>
      <c r="DQ29">
        <f t="shared" si="17"/>
        <v>0</v>
      </c>
      <c r="DR29">
        <f t="shared" si="17"/>
        <v>0</v>
      </c>
      <c r="DS29">
        <f t="shared" si="17"/>
        <v>0</v>
      </c>
    </row>
    <row r="30" spans="1:123" s="20" customFormat="1" ht="15.75">
      <c r="A30" s="19" t="s">
        <v>20</v>
      </c>
      <c r="B30" s="20">
        <f t="shared" ref="B30" si="18">COUNTIF(B6:B26,"abstenção")</f>
        <v>0</v>
      </c>
      <c r="C30" s="106">
        <f t="shared" ref="C30" si="19">COUNTIF(C6:C26,"abstenção")</f>
        <v>0</v>
      </c>
      <c r="J30" s="20">
        <f t="shared" ref="J30:AO30" si="20">COUNTIF(J10:J29,"abstenção")</f>
        <v>0</v>
      </c>
      <c r="K30" s="20">
        <f t="shared" si="20"/>
        <v>0</v>
      </c>
      <c r="L30" s="20">
        <f t="shared" si="20"/>
        <v>0</v>
      </c>
      <c r="M30" s="20">
        <f t="shared" si="20"/>
        <v>0</v>
      </c>
      <c r="N30" s="20">
        <f t="shared" si="20"/>
        <v>0</v>
      </c>
      <c r="O30" s="20">
        <f t="shared" si="20"/>
        <v>0</v>
      </c>
      <c r="P30" s="20">
        <f t="shared" si="20"/>
        <v>0</v>
      </c>
      <c r="Q30" s="20">
        <f t="shared" si="20"/>
        <v>0</v>
      </c>
      <c r="R30" s="20">
        <f t="shared" si="20"/>
        <v>0</v>
      </c>
      <c r="S30" s="20">
        <f t="shared" si="20"/>
        <v>0</v>
      </c>
      <c r="T30" s="20">
        <f t="shared" si="20"/>
        <v>0</v>
      </c>
      <c r="U30" s="20">
        <f t="shared" si="20"/>
        <v>0</v>
      </c>
      <c r="V30" s="20">
        <f t="shared" si="20"/>
        <v>0</v>
      </c>
      <c r="W30" s="20">
        <f t="shared" si="20"/>
        <v>0</v>
      </c>
      <c r="X30" s="20">
        <f t="shared" si="20"/>
        <v>0</v>
      </c>
      <c r="Y30" s="20">
        <f t="shared" si="20"/>
        <v>0</v>
      </c>
      <c r="Z30" s="20">
        <f t="shared" si="20"/>
        <v>0</v>
      </c>
      <c r="AA30" s="20">
        <f t="shared" si="20"/>
        <v>0</v>
      </c>
      <c r="AB30" s="20">
        <f t="shared" si="20"/>
        <v>0</v>
      </c>
      <c r="AC30" s="20">
        <f t="shared" si="20"/>
        <v>0</v>
      </c>
      <c r="AD30" s="20">
        <f t="shared" si="20"/>
        <v>0</v>
      </c>
      <c r="AE30" s="20">
        <f t="shared" si="20"/>
        <v>0</v>
      </c>
      <c r="AF30" s="20">
        <f t="shared" si="20"/>
        <v>0</v>
      </c>
      <c r="AG30" s="20">
        <f t="shared" si="20"/>
        <v>0</v>
      </c>
      <c r="AH30" s="20">
        <f t="shared" si="20"/>
        <v>0</v>
      </c>
      <c r="AI30" s="20">
        <f t="shared" si="20"/>
        <v>0</v>
      </c>
      <c r="AJ30" s="20">
        <f t="shared" si="20"/>
        <v>0</v>
      </c>
      <c r="AK30" s="20">
        <f t="shared" si="20"/>
        <v>0</v>
      </c>
      <c r="AL30" s="20">
        <f t="shared" si="20"/>
        <v>0</v>
      </c>
      <c r="AM30" s="20">
        <f t="shared" si="20"/>
        <v>0</v>
      </c>
      <c r="AN30" s="20">
        <f t="shared" si="20"/>
        <v>0</v>
      </c>
      <c r="AO30" s="20">
        <f t="shared" si="20"/>
        <v>0</v>
      </c>
      <c r="AP30" s="20">
        <f t="shared" ref="AP30:BH30" si="21">COUNTIF(AP10:AP29,"abstenção")</f>
        <v>0</v>
      </c>
      <c r="AQ30" s="20">
        <f t="shared" si="21"/>
        <v>0</v>
      </c>
      <c r="AR30" s="20">
        <f t="shared" si="21"/>
        <v>0</v>
      </c>
      <c r="AS30" s="20">
        <f t="shared" si="21"/>
        <v>0</v>
      </c>
      <c r="AT30" s="20">
        <f t="shared" si="21"/>
        <v>0</v>
      </c>
      <c r="AU30" s="20">
        <f t="shared" si="21"/>
        <v>0</v>
      </c>
      <c r="AV30" s="20">
        <f t="shared" si="21"/>
        <v>0</v>
      </c>
      <c r="AW30" s="20">
        <f t="shared" si="21"/>
        <v>0</v>
      </c>
      <c r="AX30" s="20">
        <f t="shared" si="21"/>
        <v>0</v>
      </c>
      <c r="AY30" s="20">
        <f t="shared" si="21"/>
        <v>0</v>
      </c>
      <c r="AZ30" s="20">
        <f t="shared" si="21"/>
        <v>0</v>
      </c>
      <c r="BA30" s="20">
        <f t="shared" si="21"/>
        <v>0</v>
      </c>
      <c r="BB30" s="20">
        <f t="shared" si="21"/>
        <v>0</v>
      </c>
      <c r="BC30" s="20">
        <f t="shared" si="21"/>
        <v>0</v>
      </c>
      <c r="BD30" s="20">
        <f t="shared" si="21"/>
        <v>0</v>
      </c>
      <c r="BE30" s="20">
        <f t="shared" si="21"/>
        <v>0</v>
      </c>
      <c r="BF30" s="20">
        <f t="shared" si="21"/>
        <v>0</v>
      </c>
      <c r="BG30" s="20">
        <f t="shared" si="21"/>
        <v>0</v>
      </c>
      <c r="BH30" s="20">
        <f t="shared" si="21"/>
        <v>0</v>
      </c>
      <c r="BI30" s="20">
        <f t="shared" ref="BI30:DS30" si="22">COUNTIF(BI10:BI29,"abstenção")</f>
        <v>0</v>
      </c>
      <c r="BJ30" s="20">
        <f t="shared" si="22"/>
        <v>0</v>
      </c>
      <c r="BK30" s="20">
        <f t="shared" si="22"/>
        <v>0</v>
      </c>
      <c r="BL30" s="20">
        <f t="shared" si="22"/>
        <v>0</v>
      </c>
      <c r="BM30" s="20">
        <f t="shared" si="22"/>
        <v>0</v>
      </c>
      <c r="BN30" s="20">
        <f t="shared" si="22"/>
        <v>0</v>
      </c>
      <c r="BO30" s="20">
        <f t="shared" si="22"/>
        <v>0</v>
      </c>
      <c r="BP30" s="20">
        <f t="shared" si="22"/>
        <v>0</v>
      </c>
      <c r="BQ30" s="20">
        <f t="shared" si="22"/>
        <v>0</v>
      </c>
      <c r="BR30" s="20">
        <f t="shared" si="22"/>
        <v>0</v>
      </c>
      <c r="BS30" s="20">
        <f t="shared" si="22"/>
        <v>0</v>
      </c>
      <c r="BT30" s="20">
        <f t="shared" si="22"/>
        <v>0</v>
      </c>
      <c r="BU30" s="20">
        <f t="shared" si="22"/>
        <v>0</v>
      </c>
      <c r="BV30" s="20">
        <f t="shared" si="22"/>
        <v>0</v>
      </c>
      <c r="BW30" s="20">
        <f t="shared" si="22"/>
        <v>0</v>
      </c>
      <c r="BX30" s="20">
        <f t="shared" si="22"/>
        <v>0</v>
      </c>
      <c r="BY30" s="20">
        <f t="shared" si="22"/>
        <v>0</v>
      </c>
      <c r="BZ30" s="20">
        <f t="shared" si="22"/>
        <v>0</v>
      </c>
      <c r="CA30" s="20">
        <f t="shared" si="22"/>
        <v>0</v>
      </c>
      <c r="CB30" s="20">
        <f t="shared" si="22"/>
        <v>0</v>
      </c>
      <c r="CC30" s="20">
        <f t="shared" si="22"/>
        <v>0</v>
      </c>
      <c r="CD30" s="20">
        <f t="shared" si="22"/>
        <v>0</v>
      </c>
      <c r="CE30" s="20">
        <f t="shared" si="22"/>
        <v>0</v>
      </c>
      <c r="CF30" s="20">
        <f t="shared" si="22"/>
        <v>0</v>
      </c>
      <c r="CG30" s="20">
        <f t="shared" si="22"/>
        <v>0</v>
      </c>
      <c r="CH30" s="20">
        <f t="shared" si="22"/>
        <v>0</v>
      </c>
      <c r="CI30" s="20">
        <f t="shared" si="22"/>
        <v>0</v>
      </c>
      <c r="CJ30" s="20">
        <f t="shared" si="22"/>
        <v>0</v>
      </c>
      <c r="CK30" s="20">
        <f t="shared" si="22"/>
        <v>0</v>
      </c>
      <c r="CL30" s="20">
        <f t="shared" si="22"/>
        <v>0</v>
      </c>
      <c r="CM30" s="20">
        <f t="shared" si="22"/>
        <v>0</v>
      </c>
      <c r="CN30" s="20">
        <f t="shared" si="22"/>
        <v>0</v>
      </c>
      <c r="CO30" s="20">
        <f t="shared" si="22"/>
        <v>0</v>
      </c>
      <c r="CP30" s="20">
        <f t="shared" si="22"/>
        <v>0</v>
      </c>
      <c r="CQ30" s="20">
        <f t="shared" si="22"/>
        <v>0</v>
      </c>
      <c r="CR30" s="20">
        <f t="shared" si="22"/>
        <v>0</v>
      </c>
      <c r="CS30" s="20">
        <f t="shared" si="22"/>
        <v>0</v>
      </c>
      <c r="CT30" s="20">
        <f t="shared" si="22"/>
        <v>0</v>
      </c>
      <c r="CU30" s="20">
        <f t="shared" si="22"/>
        <v>0</v>
      </c>
      <c r="CV30" s="20">
        <f t="shared" si="22"/>
        <v>0</v>
      </c>
      <c r="CW30" s="20">
        <f t="shared" si="22"/>
        <v>0</v>
      </c>
      <c r="CX30" s="20">
        <f t="shared" si="22"/>
        <v>0</v>
      </c>
      <c r="CY30" s="20">
        <f t="shared" si="22"/>
        <v>0</v>
      </c>
      <c r="CZ30" s="20">
        <f t="shared" si="22"/>
        <v>0</v>
      </c>
      <c r="DA30" s="20">
        <f t="shared" si="22"/>
        <v>0</v>
      </c>
      <c r="DB30" s="20">
        <f t="shared" si="22"/>
        <v>0</v>
      </c>
      <c r="DC30" s="20">
        <f t="shared" si="22"/>
        <v>0</v>
      </c>
      <c r="DD30" s="20">
        <f t="shared" si="22"/>
        <v>0</v>
      </c>
      <c r="DE30" s="20">
        <f t="shared" si="22"/>
        <v>0</v>
      </c>
      <c r="DF30" s="20">
        <f t="shared" si="22"/>
        <v>0</v>
      </c>
      <c r="DG30" s="20">
        <f t="shared" si="22"/>
        <v>0</v>
      </c>
      <c r="DH30" s="20">
        <f t="shared" si="22"/>
        <v>0</v>
      </c>
      <c r="DI30" s="20">
        <f t="shared" si="22"/>
        <v>0</v>
      </c>
      <c r="DJ30" s="20">
        <f t="shared" si="22"/>
        <v>0</v>
      </c>
      <c r="DK30" s="20">
        <f t="shared" si="22"/>
        <v>0</v>
      </c>
      <c r="DL30" s="20">
        <f t="shared" si="22"/>
        <v>0</v>
      </c>
      <c r="DM30" s="20">
        <f t="shared" si="22"/>
        <v>0</v>
      </c>
      <c r="DN30" s="20">
        <f t="shared" si="22"/>
        <v>0</v>
      </c>
      <c r="DO30" s="20">
        <f t="shared" si="22"/>
        <v>0</v>
      </c>
      <c r="DP30" s="20">
        <f t="shared" si="22"/>
        <v>0</v>
      </c>
      <c r="DQ30" s="20">
        <f t="shared" si="22"/>
        <v>0</v>
      </c>
      <c r="DR30" s="20">
        <f t="shared" si="22"/>
        <v>0</v>
      </c>
      <c r="DS30" s="20">
        <f t="shared" si="22"/>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dimension ref="A1:C38"/>
  <sheetViews>
    <sheetView workbookViewId="0">
      <pane xSplit="1" topLeftCell="B1" activePane="topRight" state="frozen"/>
      <selection pane="topRight" activeCell="I12" sqref="I12"/>
    </sheetView>
  </sheetViews>
  <sheetFormatPr defaultRowHeight="15"/>
  <cols>
    <col min="1" max="1" width="49.7109375" customWidth="1"/>
    <col min="2" max="2" width="22.85546875" customWidth="1"/>
    <col min="3" max="3" width="28.5703125" customWidth="1"/>
  </cols>
  <sheetData>
    <row r="1" spans="1:3">
      <c r="A1" s="77" t="s">
        <v>8</v>
      </c>
      <c r="B1" s="2"/>
    </row>
    <row r="2" spans="1:3">
      <c r="A2" s="77" t="s">
        <v>103</v>
      </c>
      <c r="B2" s="2"/>
    </row>
    <row r="3" spans="1:3" ht="15.75" thickBot="1">
      <c r="A3" s="122" t="s">
        <v>104</v>
      </c>
      <c r="B3" s="2"/>
    </row>
    <row r="4" spans="1:3" ht="78.75" customHeight="1" thickBot="1">
      <c r="A4" s="121" t="s">
        <v>5</v>
      </c>
      <c r="B4" s="112" t="s">
        <v>21</v>
      </c>
      <c r="C4" s="142"/>
    </row>
    <row r="5" spans="1:3" s="6" customFormat="1" ht="60.75" customHeight="1">
      <c r="A5" s="123"/>
      <c r="B5" s="112"/>
      <c r="C5" s="114"/>
    </row>
    <row r="6" spans="1:3" ht="15.75">
      <c r="A6" s="128" t="s">
        <v>54</v>
      </c>
      <c r="C6" s="108"/>
    </row>
    <row r="7" spans="1:3" ht="15.75">
      <c r="A7" s="128" t="s">
        <v>97</v>
      </c>
      <c r="C7" s="108"/>
    </row>
    <row r="8" spans="1:3" ht="15.75">
      <c r="A8" s="128" t="s">
        <v>57</v>
      </c>
      <c r="C8" s="108"/>
    </row>
    <row r="9" spans="1:3" ht="15.75">
      <c r="A9" s="129" t="s">
        <v>58</v>
      </c>
      <c r="C9" s="108"/>
    </row>
    <row r="10" spans="1:3" ht="15.75">
      <c r="A10" s="128" t="s">
        <v>28</v>
      </c>
      <c r="C10" s="108"/>
    </row>
    <row r="11" spans="1:3" ht="15.75">
      <c r="A11" s="128" t="s">
        <v>59</v>
      </c>
      <c r="C11" s="108"/>
    </row>
    <row r="12" spans="1:3" ht="15.75">
      <c r="A12" s="128" t="s">
        <v>22</v>
      </c>
      <c r="C12" s="108"/>
    </row>
    <row r="13" spans="1:3" ht="15.75">
      <c r="A13" s="128" t="s">
        <v>23</v>
      </c>
      <c r="B13" s="141"/>
      <c r="C13" s="108"/>
    </row>
    <row r="14" spans="1:3" ht="15.75">
      <c r="A14" s="128" t="s">
        <v>24</v>
      </c>
      <c r="C14" s="108"/>
    </row>
    <row r="15" spans="1:3" ht="15.75">
      <c r="A15" s="128" t="s">
        <v>60</v>
      </c>
      <c r="C15" s="108"/>
    </row>
    <row r="16" spans="1:3" ht="15.75">
      <c r="A16" s="128" t="s">
        <v>61</v>
      </c>
      <c r="C16" s="108"/>
    </row>
    <row r="17" spans="1:3" ht="15.75">
      <c r="A17" s="128" t="s">
        <v>62</v>
      </c>
      <c r="C17" s="115"/>
    </row>
    <row r="18" spans="1:3" ht="15.75">
      <c r="A18" s="128" t="s">
        <v>25</v>
      </c>
      <c r="C18" s="108"/>
    </row>
    <row r="19" spans="1:3" ht="15.75">
      <c r="A19" s="128" t="s">
        <v>63</v>
      </c>
      <c r="C19" s="108"/>
    </row>
    <row r="20" spans="1:3" ht="15.75">
      <c r="A20" s="128" t="s">
        <v>98</v>
      </c>
      <c r="C20" s="108"/>
    </row>
    <row r="21" spans="1:3" ht="15.75">
      <c r="A21" s="128" t="s">
        <v>26</v>
      </c>
      <c r="C21" s="108"/>
    </row>
    <row r="22" spans="1:3" ht="15.75">
      <c r="A22" s="128" t="s">
        <v>64</v>
      </c>
      <c r="C22" s="108"/>
    </row>
    <row r="23" spans="1:3" ht="15.75">
      <c r="A23" s="128" t="s">
        <v>105</v>
      </c>
      <c r="C23" s="108"/>
    </row>
    <row r="24" spans="1:3" ht="15.75">
      <c r="A24" s="128" t="s">
        <v>52</v>
      </c>
      <c r="C24" s="108"/>
    </row>
    <row r="25" spans="1:3" ht="15.75">
      <c r="A25" s="128" t="s">
        <v>65</v>
      </c>
      <c r="C25" s="108"/>
    </row>
    <row r="26" spans="1:3" ht="15.75">
      <c r="A26" s="128" t="s">
        <v>66</v>
      </c>
      <c r="C26" s="108"/>
    </row>
    <row r="27" spans="1:3">
      <c r="C27" s="108"/>
    </row>
    <row r="28" spans="1:3" ht="15.75">
      <c r="A28" s="15" t="s">
        <v>18</v>
      </c>
      <c r="B28" s="16">
        <f>COUNTIF(B6:B26,"sim")</f>
        <v>0</v>
      </c>
      <c r="C28" s="104">
        <f t="shared" ref="C28" si="0">COUNTIF(C6:C26,"sim")</f>
        <v>0</v>
      </c>
    </row>
    <row r="29" spans="1:3" ht="15.75">
      <c r="A29" s="17" t="s">
        <v>19</v>
      </c>
      <c r="B29" s="18">
        <f>COUNTIF(B6:B26,"não")</f>
        <v>0</v>
      </c>
      <c r="C29" s="105">
        <f t="shared" ref="C29" si="1">COUNTIF(C6:C26,"não")</f>
        <v>0</v>
      </c>
    </row>
    <row r="30" spans="1:3" ht="15.75">
      <c r="A30" s="14" t="s">
        <v>11</v>
      </c>
      <c r="B30">
        <f>COUNTIF(B6:B26,"ausente")</f>
        <v>0</v>
      </c>
      <c r="C30" s="40">
        <f t="shared" ref="C30" si="2">COUNTIF(C6:C26,"ausente")</f>
        <v>0</v>
      </c>
    </row>
    <row r="31" spans="1:3" ht="15.75">
      <c r="A31" s="19" t="s">
        <v>20</v>
      </c>
      <c r="B31" s="20">
        <f>COUNTIF(B6:B26,"abstenção")</f>
        <v>0</v>
      </c>
      <c r="C31" s="106">
        <f t="shared" ref="C31" si="3">COUNTIF(C6:C26,"abstenção")</f>
        <v>0</v>
      </c>
    </row>
    <row r="34" spans="1:1" ht="24.75">
      <c r="A34" s="1" t="s">
        <v>0</v>
      </c>
    </row>
    <row r="35" spans="1:1" ht="72.75">
      <c r="A35" s="1" t="s">
        <v>1</v>
      </c>
    </row>
    <row r="36" spans="1:1" ht="48.75">
      <c r="A36" s="1" t="s">
        <v>2</v>
      </c>
    </row>
    <row r="37" spans="1:1" ht="36.75">
      <c r="A37" s="1" t="s">
        <v>3</v>
      </c>
    </row>
    <row r="38" spans="1:1" ht="72.75">
      <c r="A38" s="1" t="s">
        <v>4</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dimension ref="A1:I38"/>
  <sheetViews>
    <sheetView tabSelected="1" workbookViewId="0">
      <selection activeCell="A23" sqref="A23"/>
    </sheetView>
  </sheetViews>
  <sheetFormatPr defaultRowHeight="15"/>
  <cols>
    <col min="1" max="1" width="46.85546875" customWidth="1"/>
    <col min="2" max="2" width="22" customWidth="1"/>
    <col min="3" max="3" width="21.7109375" style="23" customWidth="1"/>
    <col min="4" max="4" width="17.42578125" style="23" customWidth="1"/>
    <col min="5" max="5" width="17.85546875" style="23" customWidth="1"/>
    <col min="6" max="6" width="17.5703125" style="23" customWidth="1"/>
    <col min="7" max="7" width="16" style="23" customWidth="1"/>
    <col min="8" max="8" width="17.28515625" style="23" customWidth="1"/>
    <col min="9" max="9" width="15.5703125" customWidth="1"/>
    <col min="10" max="10" width="18.28515625" customWidth="1"/>
  </cols>
  <sheetData>
    <row r="1" spans="1:9">
      <c r="A1" s="77" t="s">
        <v>8</v>
      </c>
      <c r="B1" s="2"/>
      <c r="C1" s="54"/>
      <c r="D1" s="54"/>
      <c r="E1" s="54"/>
    </row>
    <row r="2" spans="1:9">
      <c r="A2" s="77" t="s">
        <v>103</v>
      </c>
      <c r="B2" s="2"/>
      <c r="C2" s="54"/>
      <c r="D2" s="54"/>
      <c r="E2" s="54"/>
    </row>
    <row r="3" spans="1:9" ht="15.75" thickBot="1">
      <c r="A3" s="122" t="s">
        <v>104</v>
      </c>
      <c r="B3" s="2"/>
      <c r="C3" s="54"/>
      <c r="D3" s="54"/>
      <c r="E3" s="54"/>
    </row>
    <row r="4" spans="1:9" ht="78" customHeight="1" thickBot="1">
      <c r="A4" s="121" t="s">
        <v>5</v>
      </c>
      <c r="B4" s="124" t="s">
        <v>32</v>
      </c>
      <c r="C4" s="132" t="s">
        <v>40</v>
      </c>
      <c r="D4" s="132" t="s">
        <v>39</v>
      </c>
      <c r="E4" s="132" t="s">
        <v>41</v>
      </c>
      <c r="F4" s="132" t="s">
        <v>42</v>
      </c>
      <c r="G4" s="132" t="s">
        <v>43</v>
      </c>
      <c r="H4" s="132" t="s">
        <v>44</v>
      </c>
      <c r="I4" s="132" t="s">
        <v>67</v>
      </c>
    </row>
    <row r="5" spans="1:9" ht="60.75" customHeight="1">
      <c r="A5" s="48"/>
      <c r="B5" s="10"/>
      <c r="C5" s="133"/>
      <c r="D5" s="132"/>
      <c r="E5" s="132"/>
      <c r="F5" s="134"/>
      <c r="G5" s="135"/>
      <c r="H5" s="135"/>
      <c r="I5" s="40"/>
    </row>
    <row r="6" spans="1:9" ht="18">
      <c r="A6" s="130" t="s">
        <v>54</v>
      </c>
      <c r="C6" s="135"/>
      <c r="D6" s="135"/>
      <c r="E6" s="135"/>
      <c r="F6" s="135"/>
      <c r="G6" s="135"/>
      <c r="H6" s="135"/>
      <c r="I6" s="40"/>
    </row>
    <row r="7" spans="1:9" ht="18">
      <c r="A7" s="130" t="s">
        <v>97</v>
      </c>
      <c r="C7" s="135"/>
      <c r="D7" s="135"/>
      <c r="E7" s="135"/>
      <c r="F7" s="135"/>
      <c r="G7" s="135"/>
      <c r="H7" s="135"/>
      <c r="I7" s="40"/>
    </row>
    <row r="8" spans="1:9" ht="18">
      <c r="A8" s="130" t="s">
        <v>57</v>
      </c>
      <c r="C8" s="135"/>
      <c r="D8" s="135"/>
      <c r="E8" s="135"/>
      <c r="F8" s="135"/>
      <c r="G8" s="135"/>
      <c r="H8" s="135"/>
      <c r="I8" s="40"/>
    </row>
    <row r="9" spans="1:9" ht="18">
      <c r="A9" s="131" t="s">
        <v>58</v>
      </c>
      <c r="C9" s="135"/>
      <c r="D9" s="135"/>
      <c r="E9" s="135"/>
      <c r="F9" s="135"/>
      <c r="G9" s="135"/>
      <c r="H9" s="135"/>
      <c r="I9" s="40"/>
    </row>
    <row r="10" spans="1:9" ht="18">
      <c r="A10" s="130" t="s">
        <v>28</v>
      </c>
      <c r="C10" s="135"/>
      <c r="D10" s="135"/>
      <c r="E10" s="135"/>
      <c r="F10" s="135"/>
      <c r="G10" s="135"/>
      <c r="H10" s="135"/>
      <c r="I10" s="40"/>
    </row>
    <row r="11" spans="1:9" ht="18">
      <c r="A11" s="130" t="s">
        <v>59</v>
      </c>
      <c r="C11" s="135"/>
      <c r="D11" s="135"/>
      <c r="E11" s="135"/>
      <c r="F11" s="135"/>
      <c r="G11" s="135"/>
      <c r="H11" s="135"/>
      <c r="I11" s="40"/>
    </row>
    <row r="12" spans="1:9" ht="18">
      <c r="A12" s="130" t="s">
        <v>22</v>
      </c>
      <c r="C12" s="135"/>
      <c r="D12" s="135"/>
      <c r="E12" s="135"/>
      <c r="F12" s="135"/>
      <c r="G12" s="135"/>
      <c r="H12" s="135"/>
      <c r="I12" s="40"/>
    </row>
    <row r="13" spans="1:9" ht="18">
      <c r="A13" s="130" t="s">
        <v>23</v>
      </c>
      <c r="C13" s="135"/>
      <c r="D13" s="135"/>
      <c r="E13" s="135"/>
      <c r="F13" s="135"/>
      <c r="G13" s="135"/>
      <c r="H13" s="135"/>
      <c r="I13" s="40"/>
    </row>
    <row r="14" spans="1:9" ht="18">
      <c r="A14" s="130" t="s">
        <v>24</v>
      </c>
      <c r="C14" s="135"/>
      <c r="D14" s="135"/>
      <c r="E14" s="135"/>
      <c r="F14" s="135"/>
      <c r="G14" s="135"/>
      <c r="H14" s="135"/>
      <c r="I14" s="40"/>
    </row>
    <row r="15" spans="1:9" ht="18">
      <c r="A15" s="130" t="s">
        <v>60</v>
      </c>
      <c r="C15" s="135"/>
      <c r="D15" s="135"/>
      <c r="E15" s="135"/>
      <c r="F15" s="135"/>
      <c r="G15" s="135"/>
      <c r="H15" s="135"/>
      <c r="I15" s="40"/>
    </row>
    <row r="16" spans="1:9" ht="18">
      <c r="A16" s="130" t="s">
        <v>61</v>
      </c>
      <c r="C16" s="135"/>
      <c r="D16" s="135"/>
      <c r="E16" s="135"/>
      <c r="F16" s="135"/>
      <c r="G16" s="135"/>
      <c r="H16" s="135"/>
      <c r="I16" s="40"/>
    </row>
    <row r="17" spans="1:9" ht="18">
      <c r="A17" s="130" t="s">
        <v>62</v>
      </c>
      <c r="C17" s="135"/>
      <c r="D17" s="135"/>
      <c r="E17" s="135"/>
      <c r="F17" s="135"/>
      <c r="G17" s="135"/>
      <c r="H17" s="135"/>
      <c r="I17" s="40"/>
    </row>
    <row r="18" spans="1:9" ht="18">
      <c r="A18" s="130" t="s">
        <v>25</v>
      </c>
      <c r="C18" s="135"/>
      <c r="D18" s="135"/>
      <c r="E18" s="135"/>
      <c r="F18" s="135"/>
      <c r="G18" s="135"/>
      <c r="H18" s="135"/>
      <c r="I18" s="40"/>
    </row>
    <row r="19" spans="1:9" ht="18">
      <c r="A19" s="130" t="s">
        <v>63</v>
      </c>
      <c r="C19" s="135"/>
      <c r="D19" s="135"/>
      <c r="E19" s="135"/>
      <c r="F19" s="135"/>
      <c r="G19" s="135"/>
      <c r="H19" s="135"/>
      <c r="I19" s="40"/>
    </row>
    <row r="20" spans="1:9" ht="18">
      <c r="A20" s="130" t="s">
        <v>98</v>
      </c>
      <c r="C20" s="135"/>
      <c r="D20" s="135"/>
      <c r="E20" s="135"/>
      <c r="F20" s="135"/>
      <c r="G20" s="135"/>
      <c r="H20" s="135"/>
      <c r="I20" s="40"/>
    </row>
    <row r="21" spans="1:9" ht="18">
      <c r="A21" s="130" t="s">
        <v>26</v>
      </c>
      <c r="C21" s="135"/>
      <c r="D21" s="135"/>
      <c r="E21" s="135"/>
      <c r="F21" s="135"/>
      <c r="G21" s="135"/>
      <c r="H21" s="135"/>
      <c r="I21" s="40"/>
    </row>
    <row r="22" spans="1:9" ht="18">
      <c r="A22" s="130" t="s">
        <v>64</v>
      </c>
      <c r="C22" s="135"/>
      <c r="D22" s="135"/>
      <c r="E22" s="135"/>
      <c r="F22" s="135"/>
      <c r="G22" s="135"/>
      <c r="H22" s="135"/>
      <c r="I22" s="40"/>
    </row>
    <row r="23" spans="1:9" ht="18">
      <c r="A23" s="130" t="s">
        <v>105</v>
      </c>
      <c r="C23" s="135"/>
      <c r="D23" s="135"/>
      <c r="E23" s="135"/>
      <c r="F23" s="135"/>
      <c r="G23" s="135"/>
      <c r="H23" s="135"/>
      <c r="I23" s="40"/>
    </row>
    <row r="24" spans="1:9" ht="18">
      <c r="A24" s="130" t="s">
        <v>52</v>
      </c>
      <c r="C24" s="135"/>
      <c r="D24" s="135"/>
      <c r="E24" s="135"/>
      <c r="F24" s="135"/>
      <c r="G24" s="135"/>
      <c r="H24" s="135"/>
      <c r="I24" s="40"/>
    </row>
    <row r="25" spans="1:9" ht="18">
      <c r="A25" s="130" t="s">
        <v>65</v>
      </c>
      <c r="C25" s="135"/>
      <c r="D25" s="135"/>
      <c r="E25" s="135"/>
      <c r="F25" s="135"/>
      <c r="G25" s="135"/>
      <c r="H25" s="135"/>
      <c r="I25" s="40"/>
    </row>
    <row r="26" spans="1:9" ht="18">
      <c r="A26" s="130" t="s">
        <v>66</v>
      </c>
      <c r="C26" s="135"/>
      <c r="D26" s="135"/>
      <c r="E26" s="135"/>
      <c r="F26" s="135"/>
      <c r="G26" s="135"/>
      <c r="H26" s="135"/>
      <c r="I26" s="40"/>
    </row>
    <row r="27" spans="1:9">
      <c r="C27" s="135"/>
      <c r="D27" s="135"/>
      <c r="E27" s="135"/>
      <c r="F27" s="135"/>
      <c r="G27" s="135"/>
      <c r="H27" s="135"/>
      <c r="I27" s="40"/>
    </row>
    <row r="28" spans="1:9" ht="15.75">
      <c r="A28" s="15" t="s">
        <v>18</v>
      </c>
      <c r="B28" s="16"/>
      <c r="C28" s="136">
        <f t="shared" ref="C28:I28" si="0">COUNTIF(C6:C26,"sim")</f>
        <v>0</v>
      </c>
      <c r="D28" s="136">
        <f t="shared" si="0"/>
        <v>0</v>
      </c>
      <c r="E28" s="136">
        <f t="shared" si="0"/>
        <v>0</v>
      </c>
      <c r="F28" s="136">
        <f t="shared" si="0"/>
        <v>0</v>
      </c>
      <c r="G28" s="136">
        <f t="shared" si="0"/>
        <v>0</v>
      </c>
      <c r="H28" s="136">
        <f t="shared" si="0"/>
        <v>0</v>
      </c>
      <c r="I28" s="136">
        <f t="shared" si="0"/>
        <v>0</v>
      </c>
    </row>
    <row r="29" spans="1:9" ht="15.75">
      <c r="A29" s="17" t="s">
        <v>19</v>
      </c>
      <c r="B29" s="18"/>
      <c r="C29" s="137">
        <f t="shared" ref="C29:I29" si="1">COUNTIF(C6:C26,"não")</f>
        <v>0</v>
      </c>
      <c r="D29" s="137">
        <f t="shared" si="1"/>
        <v>0</v>
      </c>
      <c r="E29" s="137">
        <f t="shared" si="1"/>
        <v>0</v>
      </c>
      <c r="F29" s="137">
        <f t="shared" si="1"/>
        <v>0</v>
      </c>
      <c r="G29" s="137">
        <f t="shared" si="1"/>
        <v>0</v>
      </c>
      <c r="H29" s="137">
        <f t="shared" si="1"/>
        <v>0</v>
      </c>
      <c r="I29" s="137">
        <f t="shared" si="1"/>
        <v>0</v>
      </c>
    </row>
    <row r="30" spans="1:9" ht="15.75">
      <c r="A30" s="14" t="s">
        <v>11</v>
      </c>
      <c r="C30" s="135">
        <f t="shared" ref="C30:I30" si="2">COUNTIF(C6:C26,"ausente")</f>
        <v>0</v>
      </c>
      <c r="D30" s="135">
        <f t="shared" si="2"/>
        <v>0</v>
      </c>
      <c r="E30" s="135">
        <f t="shared" si="2"/>
        <v>0</v>
      </c>
      <c r="F30" s="135">
        <f t="shared" si="2"/>
        <v>0</v>
      </c>
      <c r="G30" s="135">
        <f t="shared" si="2"/>
        <v>0</v>
      </c>
      <c r="H30" s="135">
        <f t="shared" si="2"/>
        <v>0</v>
      </c>
      <c r="I30" s="135">
        <f t="shared" si="2"/>
        <v>0</v>
      </c>
    </row>
    <row r="31" spans="1:9" ht="15.75">
      <c r="A31" s="19" t="s">
        <v>20</v>
      </c>
      <c r="B31" s="20"/>
      <c r="C31" s="138">
        <f t="shared" ref="C31:I31" si="3">COUNTIF(C6:C26,"abstenção")</f>
        <v>0</v>
      </c>
      <c r="D31" s="138">
        <f t="shared" si="3"/>
        <v>0</v>
      </c>
      <c r="E31" s="138">
        <f t="shared" si="3"/>
        <v>0</v>
      </c>
      <c r="F31" s="138">
        <f t="shared" si="3"/>
        <v>0</v>
      </c>
      <c r="G31" s="138">
        <f t="shared" si="3"/>
        <v>0</v>
      </c>
      <c r="H31" s="138">
        <f t="shared" si="3"/>
        <v>0</v>
      </c>
      <c r="I31" s="138">
        <f t="shared" si="3"/>
        <v>0</v>
      </c>
    </row>
    <row r="34" spans="1:1" ht="24.75">
      <c r="A34" s="1" t="s">
        <v>0</v>
      </c>
    </row>
    <row r="35" spans="1:1" ht="72.75">
      <c r="A35" s="1" t="s">
        <v>1</v>
      </c>
    </row>
    <row r="36" spans="1:1" ht="48.75">
      <c r="A36" s="1" t="s">
        <v>2</v>
      </c>
    </row>
    <row r="37" spans="1:1" ht="36.75">
      <c r="A37" s="1" t="s">
        <v>3</v>
      </c>
    </row>
    <row r="38" spans="1:1" ht="84.75">
      <c r="A38" s="1" t="s">
        <v>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dimension ref="A1:Y37"/>
  <sheetViews>
    <sheetView zoomScale="90" zoomScaleNormal="90" workbookViewId="0">
      <selection activeCell="D16" sqref="D16"/>
    </sheetView>
  </sheetViews>
  <sheetFormatPr defaultRowHeight="15"/>
  <cols>
    <col min="1" max="1" width="46.85546875" customWidth="1"/>
    <col min="2" max="2" width="25.28515625" customWidth="1"/>
    <col min="3" max="3" width="21.140625" customWidth="1"/>
    <col min="4" max="4" width="23.5703125" customWidth="1"/>
    <col min="5" max="5" width="22" customWidth="1"/>
    <col min="6" max="6" width="22.140625" customWidth="1"/>
    <col min="7" max="7" width="22.7109375" customWidth="1"/>
    <col min="8" max="8" width="21" customWidth="1"/>
    <col min="9" max="25" width="24.5703125" customWidth="1"/>
  </cols>
  <sheetData>
    <row r="1" spans="1:25">
      <c r="A1" s="77" t="s">
        <v>8</v>
      </c>
      <c r="B1" s="2"/>
    </row>
    <row r="2" spans="1:25">
      <c r="A2" s="77" t="s">
        <v>103</v>
      </c>
      <c r="B2" s="2"/>
    </row>
    <row r="3" spans="1:25">
      <c r="A3" s="77" t="s">
        <v>104</v>
      </c>
      <c r="B3" s="2"/>
    </row>
    <row r="4" spans="1:25" ht="60.75" customHeight="1" thickBot="1">
      <c r="A4" s="52" t="s">
        <v>5</v>
      </c>
      <c r="B4" s="111" t="s">
        <v>33</v>
      </c>
      <c r="C4" s="107" t="s">
        <v>38</v>
      </c>
      <c r="D4" s="107" t="s">
        <v>68</v>
      </c>
      <c r="E4" s="107" t="s">
        <v>69</v>
      </c>
      <c r="F4" s="107" t="s">
        <v>70</v>
      </c>
      <c r="G4" s="107" t="s">
        <v>71</v>
      </c>
      <c r="H4" s="107" t="s">
        <v>72</v>
      </c>
      <c r="I4" s="107" t="s">
        <v>73</v>
      </c>
      <c r="J4" s="107" t="s">
        <v>74</v>
      </c>
      <c r="K4" s="107" t="s">
        <v>75</v>
      </c>
      <c r="L4" s="107" t="s">
        <v>76</v>
      </c>
      <c r="M4" s="107" t="s">
        <v>77</v>
      </c>
      <c r="N4" s="107" t="s">
        <v>78</v>
      </c>
      <c r="O4" s="107" t="s">
        <v>79</v>
      </c>
      <c r="P4" s="107" t="s">
        <v>80</v>
      </c>
      <c r="Q4" s="107" t="s">
        <v>81</v>
      </c>
      <c r="R4" s="107" t="s">
        <v>82</v>
      </c>
      <c r="S4" s="107" t="s">
        <v>83</v>
      </c>
      <c r="T4" s="107" t="s">
        <v>84</v>
      </c>
      <c r="U4" s="107" t="s">
        <v>85</v>
      </c>
      <c r="V4" s="107" t="s">
        <v>86</v>
      </c>
      <c r="W4" s="107" t="s">
        <v>87</v>
      </c>
      <c r="X4" s="107" t="s">
        <v>88</v>
      </c>
      <c r="Y4" s="107" t="s">
        <v>89</v>
      </c>
    </row>
    <row r="5" spans="1:25" ht="60.75" customHeight="1">
      <c r="A5" s="48"/>
      <c r="B5" s="11"/>
      <c r="C5" s="139"/>
      <c r="D5" s="40"/>
      <c r="E5" s="40"/>
      <c r="F5" s="40"/>
      <c r="G5" s="40"/>
      <c r="H5" s="40"/>
      <c r="I5" s="40"/>
      <c r="J5" s="40"/>
      <c r="K5" s="40"/>
      <c r="L5" s="40"/>
      <c r="M5" s="40"/>
      <c r="N5" s="40"/>
      <c r="O5" s="40"/>
      <c r="P5" s="40"/>
      <c r="Q5" s="40"/>
      <c r="R5" s="40"/>
      <c r="S5" s="40"/>
      <c r="T5" s="40"/>
      <c r="U5" s="40"/>
      <c r="V5" s="40"/>
      <c r="W5" s="40"/>
      <c r="X5" s="40"/>
      <c r="Y5" s="40"/>
    </row>
    <row r="6" spans="1:25" ht="15.75">
      <c r="A6" s="128" t="s">
        <v>54</v>
      </c>
    </row>
    <row r="7" spans="1:25" ht="15.75">
      <c r="A7" s="128" t="s">
        <v>97</v>
      </c>
    </row>
    <row r="8" spans="1:25" ht="15.75">
      <c r="A8" s="128" t="s">
        <v>57</v>
      </c>
    </row>
    <row r="9" spans="1:25" ht="15.75">
      <c r="A9" s="129" t="s">
        <v>58</v>
      </c>
    </row>
    <row r="10" spans="1:25" ht="15.75">
      <c r="A10" s="128" t="s">
        <v>28</v>
      </c>
    </row>
    <row r="11" spans="1:25" ht="15.75">
      <c r="A11" s="128" t="s">
        <v>59</v>
      </c>
    </row>
    <row r="12" spans="1:25" ht="15.75">
      <c r="A12" s="128" t="s">
        <v>22</v>
      </c>
    </row>
    <row r="13" spans="1:25" ht="15.75">
      <c r="A13" s="128" t="s">
        <v>23</v>
      </c>
    </row>
    <row r="14" spans="1:25" ht="15.75">
      <c r="A14" s="128" t="s">
        <v>24</v>
      </c>
    </row>
    <row r="15" spans="1:25" ht="15.75">
      <c r="A15" s="128" t="s">
        <v>60</v>
      </c>
    </row>
    <row r="16" spans="1:25" ht="15.75">
      <c r="A16" s="128" t="s">
        <v>61</v>
      </c>
    </row>
    <row r="17" spans="1:25" ht="15.75">
      <c r="A17" s="128" t="s">
        <v>62</v>
      </c>
    </row>
    <row r="18" spans="1:25" ht="15.75">
      <c r="A18" s="128" t="s">
        <v>25</v>
      </c>
    </row>
    <row r="19" spans="1:25" ht="15.75">
      <c r="A19" s="128" t="s">
        <v>63</v>
      </c>
    </row>
    <row r="20" spans="1:25" ht="15.75">
      <c r="A20" s="128" t="s">
        <v>98</v>
      </c>
    </row>
    <row r="21" spans="1:25" ht="15.75">
      <c r="A21" s="128" t="s">
        <v>26</v>
      </c>
    </row>
    <row r="22" spans="1:25" ht="15.75">
      <c r="A22" s="128" t="s">
        <v>64</v>
      </c>
    </row>
    <row r="23" spans="1:25" ht="15.75">
      <c r="A23" s="128" t="s">
        <v>105</v>
      </c>
    </row>
    <row r="24" spans="1:25" ht="15.75">
      <c r="A24" s="128" t="s">
        <v>52</v>
      </c>
    </row>
    <row r="25" spans="1:25" ht="15.75">
      <c r="A25" s="128" t="s">
        <v>65</v>
      </c>
    </row>
    <row r="26" spans="1:25" ht="15.75">
      <c r="A26" s="128" t="s">
        <v>66</v>
      </c>
    </row>
    <row r="27" spans="1:25" ht="15.75">
      <c r="A27" s="15" t="s">
        <v>18</v>
      </c>
      <c r="B27" s="16">
        <f t="shared" ref="B27:I27" si="0">COUNTIF(B6:B25,"sim")</f>
        <v>0</v>
      </c>
      <c r="C27" s="16">
        <f t="shared" si="0"/>
        <v>0</v>
      </c>
      <c r="D27" s="16">
        <f t="shared" si="0"/>
        <v>0</v>
      </c>
      <c r="E27" s="16">
        <f t="shared" si="0"/>
        <v>0</v>
      </c>
      <c r="F27" s="16">
        <f t="shared" si="0"/>
        <v>0</v>
      </c>
      <c r="G27" s="16">
        <f t="shared" si="0"/>
        <v>0</v>
      </c>
      <c r="H27" s="16">
        <f t="shared" si="0"/>
        <v>0</v>
      </c>
      <c r="I27" s="16">
        <f t="shared" si="0"/>
        <v>0</v>
      </c>
      <c r="J27" s="16">
        <f t="shared" ref="J27:Y27" si="1">COUNTIF(J6:J25,"sim")</f>
        <v>0</v>
      </c>
      <c r="K27" s="16">
        <f t="shared" si="1"/>
        <v>0</v>
      </c>
      <c r="L27" s="16">
        <f t="shared" si="1"/>
        <v>0</v>
      </c>
      <c r="M27" s="16">
        <f t="shared" si="1"/>
        <v>0</v>
      </c>
      <c r="N27" s="16">
        <f t="shared" si="1"/>
        <v>0</v>
      </c>
      <c r="O27" s="16">
        <f t="shared" si="1"/>
        <v>0</v>
      </c>
      <c r="P27" s="16">
        <f t="shared" si="1"/>
        <v>0</v>
      </c>
      <c r="Q27" s="16">
        <f t="shared" si="1"/>
        <v>0</v>
      </c>
      <c r="R27" s="16">
        <f t="shared" si="1"/>
        <v>0</v>
      </c>
      <c r="S27" s="16">
        <f t="shared" si="1"/>
        <v>0</v>
      </c>
      <c r="T27" s="16">
        <f t="shared" si="1"/>
        <v>0</v>
      </c>
      <c r="U27" s="16">
        <f t="shared" si="1"/>
        <v>0</v>
      </c>
      <c r="V27" s="16">
        <f t="shared" si="1"/>
        <v>0</v>
      </c>
      <c r="W27" s="16">
        <f t="shared" si="1"/>
        <v>0</v>
      </c>
      <c r="X27" s="16">
        <f t="shared" si="1"/>
        <v>0</v>
      </c>
      <c r="Y27" s="16">
        <f t="shared" si="1"/>
        <v>0</v>
      </c>
    </row>
    <row r="28" spans="1:25" ht="15.75">
      <c r="A28" s="17" t="s">
        <v>19</v>
      </c>
      <c r="B28" s="18">
        <f t="shared" ref="B28:I28" si="2">COUNTIF(B6:B25,"não")</f>
        <v>0</v>
      </c>
      <c r="C28" s="18">
        <f t="shared" si="2"/>
        <v>0</v>
      </c>
      <c r="D28" s="18">
        <f t="shared" si="2"/>
        <v>0</v>
      </c>
      <c r="E28" s="18">
        <f t="shared" si="2"/>
        <v>0</v>
      </c>
      <c r="F28" s="18">
        <f t="shared" si="2"/>
        <v>0</v>
      </c>
      <c r="G28" s="18">
        <f t="shared" si="2"/>
        <v>0</v>
      </c>
      <c r="H28" s="18">
        <f t="shared" si="2"/>
        <v>0</v>
      </c>
      <c r="I28" s="18">
        <f t="shared" si="2"/>
        <v>0</v>
      </c>
      <c r="J28" s="18">
        <f t="shared" ref="J28:Y28" si="3">COUNTIF(J6:J25,"não")</f>
        <v>0</v>
      </c>
      <c r="K28" s="18">
        <f t="shared" si="3"/>
        <v>0</v>
      </c>
      <c r="L28" s="18">
        <f t="shared" si="3"/>
        <v>0</v>
      </c>
      <c r="M28" s="18">
        <f t="shared" si="3"/>
        <v>0</v>
      </c>
      <c r="N28" s="18">
        <f t="shared" si="3"/>
        <v>0</v>
      </c>
      <c r="O28" s="18">
        <f t="shared" si="3"/>
        <v>0</v>
      </c>
      <c r="P28" s="18">
        <f t="shared" si="3"/>
        <v>0</v>
      </c>
      <c r="Q28" s="18">
        <f t="shared" si="3"/>
        <v>0</v>
      </c>
      <c r="R28" s="18">
        <f t="shared" si="3"/>
        <v>0</v>
      </c>
      <c r="S28" s="18">
        <f t="shared" si="3"/>
        <v>0</v>
      </c>
      <c r="T28" s="18">
        <f t="shared" si="3"/>
        <v>0</v>
      </c>
      <c r="U28" s="18">
        <f t="shared" si="3"/>
        <v>0</v>
      </c>
      <c r="V28" s="18">
        <f t="shared" si="3"/>
        <v>0</v>
      </c>
      <c r="W28" s="18">
        <f t="shared" si="3"/>
        <v>0</v>
      </c>
      <c r="X28" s="18">
        <f t="shared" si="3"/>
        <v>0</v>
      </c>
      <c r="Y28" s="18">
        <f t="shared" si="3"/>
        <v>0</v>
      </c>
    </row>
    <row r="29" spans="1:25" ht="15.75">
      <c r="A29" s="14" t="s">
        <v>11</v>
      </c>
      <c r="B29">
        <f t="shared" ref="B29:I29" si="4">COUNTIF(B6:B25,"ausente")</f>
        <v>0</v>
      </c>
      <c r="C29">
        <f t="shared" si="4"/>
        <v>0</v>
      </c>
      <c r="D29">
        <f t="shared" si="4"/>
        <v>0</v>
      </c>
      <c r="E29">
        <f t="shared" si="4"/>
        <v>0</v>
      </c>
      <c r="F29">
        <f t="shared" si="4"/>
        <v>0</v>
      </c>
      <c r="G29">
        <f t="shared" si="4"/>
        <v>0</v>
      </c>
      <c r="H29">
        <f t="shared" si="4"/>
        <v>0</v>
      </c>
      <c r="I29">
        <f t="shared" si="4"/>
        <v>0</v>
      </c>
      <c r="J29">
        <f t="shared" ref="J29:Y29" si="5">COUNTIF(J6:J25,"ausente")</f>
        <v>0</v>
      </c>
      <c r="K29">
        <f t="shared" si="5"/>
        <v>0</v>
      </c>
      <c r="L29">
        <f t="shared" si="5"/>
        <v>0</v>
      </c>
      <c r="M29">
        <f t="shared" si="5"/>
        <v>0</v>
      </c>
      <c r="N29">
        <f t="shared" si="5"/>
        <v>0</v>
      </c>
      <c r="O29">
        <f t="shared" si="5"/>
        <v>0</v>
      </c>
      <c r="P29">
        <f t="shared" si="5"/>
        <v>0</v>
      </c>
      <c r="Q29">
        <f t="shared" si="5"/>
        <v>0</v>
      </c>
      <c r="R29">
        <f t="shared" si="5"/>
        <v>0</v>
      </c>
      <c r="S29">
        <f t="shared" si="5"/>
        <v>0</v>
      </c>
      <c r="T29">
        <f t="shared" si="5"/>
        <v>0</v>
      </c>
      <c r="U29">
        <f t="shared" si="5"/>
        <v>0</v>
      </c>
      <c r="V29">
        <f t="shared" si="5"/>
        <v>0</v>
      </c>
      <c r="W29">
        <f t="shared" si="5"/>
        <v>0</v>
      </c>
      <c r="X29">
        <f t="shared" si="5"/>
        <v>0</v>
      </c>
      <c r="Y29">
        <f t="shared" si="5"/>
        <v>0</v>
      </c>
    </row>
    <row r="30" spans="1:25" ht="15.75">
      <c r="A30" s="19" t="s">
        <v>20</v>
      </c>
      <c r="B30" s="20">
        <f t="shared" ref="B30:I30" si="6">COUNTIF(B6:B25,"abstenção")</f>
        <v>0</v>
      </c>
      <c r="C30" s="20">
        <f t="shared" si="6"/>
        <v>0</v>
      </c>
      <c r="D30" s="20">
        <f t="shared" si="6"/>
        <v>0</v>
      </c>
      <c r="E30" s="20">
        <f t="shared" si="6"/>
        <v>0</v>
      </c>
      <c r="F30" s="20">
        <f t="shared" si="6"/>
        <v>0</v>
      </c>
      <c r="G30" s="20">
        <f t="shared" si="6"/>
        <v>0</v>
      </c>
      <c r="H30" s="20">
        <f t="shared" si="6"/>
        <v>0</v>
      </c>
      <c r="I30" s="20">
        <f t="shared" si="6"/>
        <v>0</v>
      </c>
      <c r="J30" s="20">
        <f t="shared" ref="J30:Y30" si="7">COUNTIF(J6:J25,"abstenção")</f>
        <v>0</v>
      </c>
      <c r="K30" s="20">
        <f t="shared" si="7"/>
        <v>0</v>
      </c>
      <c r="L30" s="20">
        <f t="shared" si="7"/>
        <v>0</v>
      </c>
      <c r="M30" s="20">
        <f t="shared" si="7"/>
        <v>0</v>
      </c>
      <c r="N30" s="20">
        <f t="shared" si="7"/>
        <v>0</v>
      </c>
      <c r="O30" s="20">
        <f t="shared" si="7"/>
        <v>0</v>
      </c>
      <c r="P30" s="20">
        <f t="shared" si="7"/>
        <v>0</v>
      </c>
      <c r="Q30" s="20">
        <f t="shared" si="7"/>
        <v>0</v>
      </c>
      <c r="R30" s="20">
        <f t="shared" si="7"/>
        <v>0</v>
      </c>
      <c r="S30" s="20">
        <f t="shared" si="7"/>
        <v>0</v>
      </c>
      <c r="T30" s="20">
        <f t="shared" si="7"/>
        <v>0</v>
      </c>
      <c r="U30" s="20">
        <f t="shared" si="7"/>
        <v>0</v>
      </c>
      <c r="V30" s="20">
        <f t="shared" si="7"/>
        <v>0</v>
      </c>
      <c r="W30" s="20">
        <f t="shared" si="7"/>
        <v>0</v>
      </c>
      <c r="X30" s="20">
        <f t="shared" si="7"/>
        <v>0</v>
      </c>
      <c r="Y30" s="20">
        <f t="shared" si="7"/>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PRESENÇA</vt:lpstr>
      <vt:lpstr>MOÇÃO E REQUERIMENTO</vt:lpstr>
      <vt:lpstr>VETO E SEGUNDA DISCUSSÃO</vt:lpstr>
      <vt:lpstr>PRIMEIRA DISCUSSÃO</vt:lpstr>
      <vt:lpstr>DISCUSSÃO ÚNICA</vt:lpstr>
      <vt:lpstr>RECURSOS- DISCUSSÃO ÚNICA</vt:lpstr>
      <vt:lpstr>DISCUSSÃO ÚNICA – REQUERIMENTOS</vt:lpstr>
      <vt:lpstr>VEREADORES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cmo-andre</dc:creator>
  <cp:lastModifiedBy>Rafael Cardoso</cp:lastModifiedBy>
  <cp:lastPrinted>2025-06-06T19:35:45Z</cp:lastPrinted>
  <dcterms:created xsi:type="dcterms:W3CDTF">2017-05-08T13:43:49Z</dcterms:created>
  <dcterms:modified xsi:type="dcterms:W3CDTF">2025-08-08T20:32:27Z</dcterms:modified>
</cp:coreProperties>
</file>