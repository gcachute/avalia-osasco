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B8B6CB3-849D-4A6E-AAE8-0374A52E520C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PRESENÇA" sheetId="7" r:id="rId1"/>
    <sheet name="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N6" i="7"/>
  <c r="P6" i="7"/>
  <c r="J7" i="7"/>
  <c r="N7" i="7"/>
  <c r="P7" i="7"/>
  <c r="J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D27" i="2" l="1"/>
  <c r="D28" i="2" s="1"/>
  <c r="D29" i="2" s="1"/>
  <c r="E27" i="2"/>
  <c r="E28" i="2" s="1"/>
  <c r="E29" i="2" s="1"/>
  <c r="F27" i="2"/>
  <c r="F28" i="2" s="1"/>
  <c r="F29" i="2" s="1"/>
  <c r="F30" i="2" s="1"/>
  <c r="E30" i="2" l="1"/>
  <c r="D30" i="2"/>
  <c r="G27" i="2"/>
  <c r="G28" i="2" s="1"/>
  <c r="G30" i="2" l="1"/>
  <c r="G5" i="7" l="1"/>
  <c r="H27" i="2" l="1"/>
  <c r="H28" i="2" s="1"/>
  <c r="H30" i="2" l="1"/>
  <c r="O27" i="2" l="1"/>
  <c r="O28" i="2" s="1"/>
  <c r="O29" i="2" l="1"/>
  <c r="O30" i="2" s="1"/>
  <c r="I27" i="2" l="1"/>
  <c r="J27" i="2"/>
  <c r="K27" i="2"/>
  <c r="L27" i="2"/>
  <c r="M27" i="2"/>
  <c r="M28" i="2" s="1"/>
  <c r="N27" i="2"/>
  <c r="P27" i="2"/>
  <c r="Q27" i="2"/>
  <c r="R27" i="2"/>
  <c r="S27" i="2"/>
  <c r="S28" i="2" s="1"/>
  <c r="T27" i="2"/>
  <c r="U27" i="2"/>
  <c r="V27" i="2"/>
  <c r="W27" i="2"/>
  <c r="W28" i="2" s="1"/>
  <c r="W29" i="2" s="1"/>
  <c r="X27" i="2"/>
  <c r="Y27" i="2"/>
  <c r="Z27" i="2"/>
  <c r="Z28" i="2" s="1"/>
  <c r="AA27" i="2"/>
  <c r="AB27" i="2"/>
  <c r="AC27" i="2"/>
  <c r="AD27" i="2"/>
  <c r="AD28" i="2" s="1"/>
  <c r="AE27" i="2"/>
  <c r="AE28" i="2" s="1"/>
  <c r="AE29" i="2" s="1"/>
  <c r="AF27" i="2"/>
  <c r="AF28" i="2" s="1"/>
  <c r="AG27" i="2"/>
  <c r="AH27" i="2"/>
  <c r="AH28" i="2" s="1"/>
  <c r="AI27" i="2"/>
  <c r="AJ27" i="2"/>
  <c r="AK27" i="2"/>
  <c r="AL27" i="2"/>
  <c r="AM27" i="2"/>
  <c r="AM28" i="2" s="1"/>
  <c r="AM29" i="2" s="1"/>
  <c r="AN27" i="2"/>
  <c r="AO27" i="2"/>
  <c r="AP27" i="2"/>
  <c r="AP28" i="2" s="1"/>
  <c r="AQ27" i="2"/>
  <c r="AQ28" i="2" s="1"/>
  <c r="AR27" i="2"/>
  <c r="AR28" i="2" s="1"/>
  <c r="AR29" i="2" s="1"/>
  <c r="AR30" i="2" s="1"/>
  <c r="AS27" i="2"/>
  <c r="AT27" i="2"/>
  <c r="AT28" i="2" s="1"/>
  <c r="AU27" i="2"/>
  <c r="AV27" i="2"/>
  <c r="AW27" i="2"/>
  <c r="AX27" i="2"/>
  <c r="AX28" i="2" s="1"/>
  <c r="AY27" i="2"/>
  <c r="AY28" i="2" s="1"/>
  <c r="AY29" i="2" s="1"/>
  <c r="AZ27" i="2"/>
  <c r="BA27" i="2"/>
  <c r="BB27" i="2"/>
  <c r="BC27" i="2"/>
  <c r="BC28" i="2" s="1"/>
  <c r="BD27" i="2"/>
  <c r="BE27" i="2"/>
  <c r="BF27" i="2"/>
  <c r="BF28" i="2" s="1"/>
  <c r="BG27" i="2"/>
  <c r="BG28" i="2" s="1"/>
  <c r="BH27" i="2"/>
  <c r="BI27" i="2"/>
  <c r="BJ27" i="2"/>
  <c r="BJ28" i="2" s="1"/>
  <c r="BK27" i="2"/>
  <c r="BK28" i="2" s="1"/>
  <c r="BK29" i="2" s="1"/>
  <c r="BL27" i="2"/>
  <c r="BL28" i="2" s="1"/>
  <c r="BM27" i="2"/>
  <c r="BN27" i="2"/>
  <c r="BO27" i="2"/>
  <c r="BO28" i="2" s="1"/>
  <c r="BP27" i="2"/>
  <c r="BQ27" i="2"/>
  <c r="BR27" i="2"/>
  <c r="BS27" i="2"/>
  <c r="BS28" i="2" s="1"/>
  <c r="BT27" i="2"/>
  <c r="BT28" i="2" s="1"/>
  <c r="BU27" i="2"/>
  <c r="BV27" i="2"/>
  <c r="BV28" i="2" s="1"/>
  <c r="BW27" i="2"/>
  <c r="BW28" i="2" s="1"/>
  <c r="BW29" i="2" s="1"/>
  <c r="BX27" i="2"/>
  <c r="BX28" i="2" s="1"/>
  <c r="BY27" i="2"/>
  <c r="BZ27" i="2"/>
  <c r="BZ28" i="2" s="1"/>
  <c r="CA27" i="2"/>
  <c r="CA28" i="2" s="1"/>
  <c r="CB27" i="2"/>
  <c r="CC27" i="2"/>
  <c r="CD27" i="2"/>
  <c r="CE27" i="2"/>
  <c r="CE28" i="2" s="1"/>
  <c r="CF27" i="2"/>
  <c r="CG27" i="2"/>
  <c r="CH27" i="2"/>
  <c r="CI27" i="2"/>
  <c r="CI28" i="2" s="1"/>
  <c r="CI29" i="2" s="1"/>
  <c r="CJ27" i="2"/>
  <c r="CK27" i="2"/>
  <c r="CL27" i="2"/>
  <c r="CL28" i="2" s="1"/>
  <c r="CM27" i="2"/>
  <c r="CN27" i="2"/>
  <c r="CO27" i="2"/>
  <c r="CP27" i="2"/>
  <c r="CP28" i="2" s="1"/>
  <c r="CQ27" i="2"/>
  <c r="CQ28" i="2" s="1"/>
  <c r="CQ29" i="2" s="1"/>
  <c r="CR27" i="2"/>
  <c r="CS27" i="2"/>
  <c r="CT27" i="2"/>
  <c r="CT28" i="2" s="1"/>
  <c r="CU27" i="2"/>
  <c r="CU28" i="2" s="1"/>
  <c r="CV27" i="2"/>
  <c r="CV28" i="2" s="1"/>
  <c r="CW27" i="2"/>
  <c r="CX27" i="2"/>
  <c r="CY27" i="2"/>
  <c r="CY28" i="2" s="1"/>
  <c r="CY29" i="2" s="1"/>
  <c r="CY30" i="2" s="1"/>
  <c r="CZ27" i="2"/>
  <c r="DA27" i="2"/>
  <c r="DB27" i="2"/>
  <c r="DB28" i="2" s="1"/>
  <c r="DC27" i="2"/>
  <c r="DC28" i="2" s="1"/>
  <c r="DD27" i="2"/>
  <c r="DE27" i="2"/>
  <c r="DF27" i="2"/>
  <c r="DF28" i="2" s="1"/>
  <c r="DG27" i="2"/>
  <c r="DH27" i="2"/>
  <c r="DI27" i="2"/>
  <c r="DJ27" i="2"/>
  <c r="DK27" i="2"/>
  <c r="DK28" i="2" s="1"/>
  <c r="DL27" i="2"/>
  <c r="DM27" i="2"/>
  <c r="DN27" i="2"/>
  <c r="DO27" i="2"/>
  <c r="DO28" i="2" s="1"/>
  <c r="DO29" i="2" s="1"/>
  <c r="DP27" i="2"/>
  <c r="DP28" i="2" s="1"/>
  <c r="DQ27" i="2"/>
  <c r="DR27" i="2"/>
  <c r="DS27" i="2"/>
  <c r="DS28" i="2" s="1"/>
  <c r="DT27" i="2"/>
  <c r="DU27" i="2"/>
  <c r="DV27" i="2"/>
  <c r="DV28" i="2" s="1"/>
  <c r="DW27" i="2"/>
  <c r="DX27" i="2"/>
  <c r="DY27" i="2"/>
  <c r="DZ27" i="2"/>
  <c r="AI28" i="2"/>
  <c r="AI29" i="2" s="1"/>
  <c r="BX29" i="2" l="1"/>
  <c r="BX30" i="2" s="1"/>
  <c r="AQ29" i="2"/>
  <c r="AQ30" i="2" s="1"/>
  <c r="BG29" i="2"/>
  <c r="BG30" i="2" s="1"/>
  <c r="DC29" i="2"/>
  <c r="DC30" i="2" s="1"/>
  <c r="DW28" i="2"/>
  <c r="DW29" i="2" s="1"/>
  <c r="M29" i="2"/>
  <c r="M30" i="2" s="1"/>
  <c r="DL28" i="2"/>
  <c r="DL29" i="2" s="1"/>
  <c r="DL30" i="2" s="1"/>
  <c r="CV29" i="2"/>
  <c r="CV30" i="2" s="1"/>
  <c r="CJ28" i="2"/>
  <c r="AZ28" i="2"/>
  <c r="AZ29" i="2" s="1"/>
  <c r="AZ30" i="2" s="1"/>
  <c r="AN28" i="2"/>
  <c r="AN29" i="2" s="1"/>
  <c r="AN30" i="2" s="1"/>
  <c r="AB28" i="2"/>
  <c r="AB29" i="2" s="1"/>
  <c r="AB30" i="2" s="1"/>
  <c r="T28" i="2"/>
  <c r="T29" i="2" s="1"/>
  <c r="T30" i="2" s="1"/>
  <c r="P28" i="2"/>
  <c r="P29" i="2" s="1"/>
  <c r="P30" i="2" s="1"/>
  <c r="I28" i="2"/>
  <c r="I30" i="2" s="1"/>
  <c r="DX28" i="2"/>
  <c r="DX29" i="2" s="1"/>
  <c r="DX30" i="2" s="1"/>
  <c r="DS29" i="2"/>
  <c r="DS30" i="2" s="1"/>
  <c r="CA29" i="2"/>
  <c r="CA30" i="2" s="1"/>
  <c r="DT28" i="2"/>
  <c r="DT29" i="2" s="1"/>
  <c r="DT30" i="2" s="1"/>
  <c r="CR28" i="2"/>
  <c r="CF28" i="2"/>
  <c r="CF29" i="2" s="1"/>
  <c r="CF30" i="2" s="1"/>
  <c r="CB28" i="2"/>
  <c r="CB29" i="2" s="1"/>
  <c r="CB30" i="2" s="1"/>
  <c r="BP28" i="2"/>
  <c r="BP29" i="2" s="1"/>
  <c r="BP30" i="2" s="1"/>
  <c r="BD28" i="2"/>
  <c r="BD29" i="2" s="1"/>
  <c r="BL29" i="2"/>
  <c r="BL30" i="2" s="1"/>
  <c r="AF29" i="2"/>
  <c r="AF30" i="2" s="1"/>
  <c r="DD28" i="2"/>
  <c r="DD29" i="2" s="1"/>
  <c r="DH28" i="2"/>
  <c r="CZ28" i="2"/>
  <c r="CN28" i="2"/>
  <c r="CN29" i="2" s="1"/>
  <c r="BT29" i="2"/>
  <c r="BT30" i="2" s="1"/>
  <c r="BH28" i="2"/>
  <c r="BH29" i="2" s="1"/>
  <c r="BH30" i="2" s="1"/>
  <c r="AV28" i="2"/>
  <c r="AV29" i="2" s="1"/>
  <c r="AV30" i="2" s="1"/>
  <c r="X28" i="2"/>
  <c r="X29" i="2" s="1"/>
  <c r="X30" i="2" s="1"/>
  <c r="J28" i="2"/>
  <c r="J30" i="2" s="1"/>
  <c r="DP29" i="2"/>
  <c r="DP30" i="2" s="1"/>
  <c r="AJ28" i="2"/>
  <c r="AJ29" i="2" s="1"/>
  <c r="AJ30" i="2" s="1"/>
  <c r="DG28" i="2"/>
  <c r="DG29" i="2" s="1"/>
  <c r="DG30" i="2" s="1"/>
  <c r="AA28" i="2"/>
  <c r="AA29" i="2" s="1"/>
  <c r="AA30" i="2" s="1"/>
  <c r="CM28" i="2"/>
  <c r="CM29" i="2" s="1"/>
  <c r="AU28" i="2"/>
  <c r="AU29" i="2" s="1"/>
  <c r="AU30" i="2" s="1"/>
  <c r="CQ30" i="2"/>
  <c r="CP29" i="2"/>
  <c r="CP30" i="2" s="1"/>
  <c r="BZ29" i="2"/>
  <c r="BZ30" i="2" s="1"/>
  <c r="BJ29" i="2"/>
  <c r="BJ30" i="2" s="1"/>
  <c r="AT29" i="2"/>
  <c r="AT30" i="2" s="1"/>
  <c r="AD29" i="2"/>
  <c r="AD30" i="2" s="1"/>
  <c r="DK29" i="2"/>
  <c r="DK30" i="2" s="1"/>
  <c r="CU29" i="2"/>
  <c r="CU30" i="2" s="1"/>
  <c r="CE29" i="2"/>
  <c r="CE30" i="2" s="1"/>
  <c r="BO29" i="2"/>
  <c r="BO30" i="2" s="1"/>
  <c r="S29" i="2"/>
  <c r="S30" i="2" s="1"/>
  <c r="DZ28" i="2"/>
  <c r="DZ29" i="2" s="1"/>
  <c r="DZ30" i="2" s="1"/>
  <c r="DJ28" i="2"/>
  <c r="DJ29" i="2" s="1"/>
  <c r="DU28" i="2"/>
  <c r="DU29" i="2" s="1"/>
  <c r="DM28" i="2"/>
  <c r="DM29" i="2" s="1"/>
  <c r="DE28" i="2"/>
  <c r="DE29" i="2" s="1"/>
  <c r="DE30" i="2" s="1"/>
  <c r="CW28" i="2"/>
  <c r="CW29" i="2" s="1"/>
  <c r="CO28" i="2"/>
  <c r="CO29" i="2" s="1"/>
  <c r="CG28" i="2"/>
  <c r="CG29" i="2" s="1"/>
  <c r="BY28" i="2"/>
  <c r="BY29" i="2" s="1"/>
  <c r="BQ28" i="2"/>
  <c r="BQ29" i="2" s="1"/>
  <c r="BI28" i="2"/>
  <c r="BI29" i="2" s="1"/>
  <c r="BA28" i="2"/>
  <c r="BA29" i="2" s="1"/>
  <c r="AS28" i="2"/>
  <c r="AS29" i="2" s="1"/>
  <c r="AK28" i="2"/>
  <c r="AK29" i="2" s="1"/>
  <c r="AC28" i="2"/>
  <c r="AC29" i="2" s="1"/>
  <c r="U28" i="2"/>
  <c r="U29" i="2" s="1"/>
  <c r="N28" i="2"/>
  <c r="N29" i="2" s="1"/>
  <c r="DO30" i="2"/>
  <c r="BS29" i="2"/>
  <c r="BS30" i="2" s="1"/>
  <c r="BC29" i="2"/>
  <c r="BC30" i="2" s="1"/>
  <c r="DR28" i="2"/>
  <c r="DR29" i="2" s="1"/>
  <c r="BK30" i="2"/>
  <c r="AE30" i="2"/>
  <c r="L28" i="2"/>
  <c r="L29" i="2" s="1"/>
  <c r="AY30" i="2"/>
  <c r="AI30" i="2"/>
  <c r="DV29" i="2"/>
  <c r="DV30" i="2" s="1"/>
  <c r="DF29" i="2"/>
  <c r="DF30" i="2" s="1"/>
  <c r="DB29" i="2"/>
  <c r="DB30" i="2" s="1"/>
  <c r="CT29" i="2"/>
  <c r="CT30" i="2" s="1"/>
  <c r="CL29" i="2"/>
  <c r="CL30" i="2" s="1"/>
  <c r="BV29" i="2"/>
  <c r="BV30" i="2" s="1"/>
  <c r="BF29" i="2"/>
  <c r="BF30" i="2" s="1"/>
  <c r="AX29" i="2"/>
  <c r="AX30" i="2" s="1"/>
  <c r="AP29" i="2"/>
  <c r="AP30" i="2" s="1"/>
  <c r="AH29" i="2"/>
  <c r="AH30" i="2" s="1"/>
  <c r="Z29" i="2"/>
  <c r="Z30" i="2" s="1"/>
  <c r="CI30" i="2"/>
  <c r="CD28" i="2"/>
  <c r="CD29" i="2" s="1"/>
  <c r="BN28" i="2"/>
  <c r="BN29" i="2" s="1"/>
  <c r="AM30" i="2"/>
  <c r="W30" i="2"/>
  <c r="R28" i="2"/>
  <c r="R29" i="2" s="1"/>
  <c r="DY28" i="2"/>
  <c r="DY29" i="2" s="1"/>
  <c r="DQ28" i="2"/>
  <c r="DQ29" i="2" s="1"/>
  <c r="DI28" i="2"/>
  <c r="DI29" i="2" s="1"/>
  <c r="DA28" i="2"/>
  <c r="DA29" i="2" s="1"/>
  <c r="CS28" i="2"/>
  <c r="CS29" i="2" s="1"/>
  <c r="CK28" i="2"/>
  <c r="CK29" i="2" s="1"/>
  <c r="CK30" i="2" s="1"/>
  <c r="CC28" i="2"/>
  <c r="CC29" i="2" s="1"/>
  <c r="CC30" i="2" s="1"/>
  <c r="BU28" i="2"/>
  <c r="BU29" i="2" s="1"/>
  <c r="BM28" i="2"/>
  <c r="BM29" i="2" s="1"/>
  <c r="BE28" i="2"/>
  <c r="BE29" i="2" s="1"/>
  <c r="BE30" i="2" s="1"/>
  <c r="AW28" i="2"/>
  <c r="AO28" i="2"/>
  <c r="AG28" i="2"/>
  <c r="AG29" i="2" s="1"/>
  <c r="Y28" i="2"/>
  <c r="Y29" i="2" s="1"/>
  <c r="Y30" i="2" s="1"/>
  <c r="Q28" i="2"/>
  <c r="Q29" i="2" s="1"/>
  <c r="Q30" i="2" s="1"/>
  <c r="K28" i="2"/>
  <c r="K29" i="2" s="1"/>
  <c r="DN28" i="2"/>
  <c r="DN29" i="2" s="1"/>
  <c r="DN30" i="2" s="1"/>
  <c r="CX28" i="2"/>
  <c r="CX29" i="2" s="1"/>
  <c r="CX30" i="2" s="1"/>
  <c r="CH28" i="2"/>
  <c r="CH29" i="2" s="1"/>
  <c r="BW30" i="2"/>
  <c r="BR28" i="2"/>
  <c r="BR29" i="2" s="1"/>
  <c r="BB28" i="2"/>
  <c r="BB29" i="2" s="1"/>
  <c r="AL28" i="2"/>
  <c r="AL29" i="2" s="1"/>
  <c r="V28" i="2"/>
  <c r="V29" i="2" s="1"/>
  <c r="BD30" i="2" l="1"/>
  <c r="DW30" i="2"/>
  <c r="BR30" i="2"/>
  <c r="AO29" i="2"/>
  <c r="AO30" i="2" s="1"/>
  <c r="AG30" i="2"/>
  <c r="BN30" i="2"/>
  <c r="AL30" i="2"/>
  <c r="CR29" i="2"/>
  <c r="CR30" i="2" s="1"/>
  <c r="BU30" i="2"/>
  <c r="DA30" i="2"/>
  <c r="CO30" i="2"/>
  <c r="CM30" i="2"/>
  <c r="CN30" i="2"/>
  <c r="DH29" i="2"/>
  <c r="DH30" i="2" s="1"/>
  <c r="DD30" i="2"/>
  <c r="BM30" i="2"/>
  <c r="AW29" i="2"/>
  <c r="AW30" i="2" s="1"/>
  <c r="CJ29" i="2"/>
  <c r="CJ30" i="2" s="1"/>
  <c r="CZ29" i="2"/>
  <c r="CZ30" i="2" s="1"/>
  <c r="L30" i="2"/>
  <c r="K30" i="2"/>
  <c r="V30" i="2"/>
  <c r="BB30" i="2"/>
  <c r="CH30" i="2"/>
  <c r="DQ30" i="2"/>
  <c r="N30" i="2"/>
  <c r="AS30" i="2"/>
  <c r="BI30" i="2"/>
  <c r="CS30" i="2"/>
  <c r="DI30" i="2"/>
  <c r="DY30" i="2"/>
  <c r="DR30" i="2"/>
  <c r="U30" i="2"/>
  <c r="AK30" i="2"/>
  <c r="BA30" i="2"/>
  <c r="BQ30" i="2"/>
  <c r="CG30" i="2"/>
  <c r="CW30" i="2"/>
  <c r="DM30" i="2"/>
  <c r="R30" i="2"/>
  <c r="CD30" i="2"/>
  <c r="AC30" i="2"/>
  <c r="BY30" i="2"/>
  <c r="DU30" i="2"/>
  <c r="DJ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<sst xmlns="http://schemas.openxmlformats.org/spreadsheetml/2006/main" count="145" uniqueCount="59">
  <si>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</si>
  <si>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</si>
  <si>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</si>
  <si>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</si>
  <si>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</si>
  <si>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</si>
  <si>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</si>
  <si>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</si>
  <si>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</si>
  <si>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</si>
  <si>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</si>
  <si>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</si>
  <si>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</si>
  <si>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</si>
  <si>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</si>
  <si>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</si>
  <si>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</si>
  <si>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</si>
  <si>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</si>
  <si>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</si>
  <si>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</si>
  <si>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</si>
  <si>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</si>
  <si>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</si>
  <si>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</si>
  <si>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Josias da Juco</t>
  </si>
  <si>
    <t>Ralfi Silva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</si>
  <si>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</si>
  <si>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</si>
  <si>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</si>
  <si>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</si>
  <si>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</si>
  <si>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</si>
  <si>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</si>
  <si>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Presente</t>
  </si>
  <si>
    <t>ausente</t>
  </si>
  <si>
    <t>sim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</si>
  <si>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</si>
  <si>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</si>
  <si>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</si>
  <si>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</si>
  <si>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</si>
  <si>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</si>
  <si>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</si>
  <si>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</si>
  <si>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Stephane Rossi</t>
  </si>
  <si>
    <t>Batista Comunidade</t>
  </si>
  <si>
    <t>Sergio Fontellas</t>
  </si>
  <si>
    <t>Lúcia da Saúde</t>
  </si>
  <si>
    <t>Ivanildo Eventos</t>
  </si>
  <si>
    <t>Julião</t>
  </si>
  <si>
    <t>Fábio Chirinhan</t>
  </si>
  <si>
    <t xml:space="preserve"> 8ª SESSÃO  EXTRAORDINÁRIA</t>
  </si>
  <si>
    <t>DIA 1º DE OUTUBRO DE 2026 - QUINTA–FEIRA</t>
  </si>
  <si>
    <t>Alexandre Capriotti</t>
  </si>
  <si>
    <t>Pedrinho Cantagessi</t>
  </si>
  <si>
    <r>
      <t xml:space="preserve">8ª </t>
    </r>
    <r>
      <rPr>
        <b/>
        <sz val="12"/>
        <color theme="1"/>
        <rFont val="Arial"/>
        <family val="2"/>
      </rPr>
      <t>SESSÃO EXTRAORDINÁRIA</t>
    </r>
  </si>
  <si>
    <r>
      <t xml:space="preserve">PROJETO DE LEI Nº 193/2026 – PREFEITO DO MUNICÍPIO DE OSASCO - </t>
    </r>
    <r>
      <rPr>
        <sz val="12"/>
        <color theme="1"/>
        <rFont val="Arial"/>
        <family val="2"/>
      </rPr>
      <t xml:space="preserve">Autoriza o Poder Executivo a doar áreas de propriedade municipal ao Fundo de Arrendamento Residencial - FAR, representado pela Caixa Econômica Federal, para fins de construção de moradias destinadas à alienação no âmbito do Programa Minha Casa Minha Vida – PMCMV. </t>
    </r>
  </si>
  <si>
    <r>
      <t xml:space="preserve">PROJETO DE LEI Nº 194/2026 – PREFEITO DO MUNICÍPIO DE OSASCO - </t>
    </r>
    <r>
      <rPr>
        <sz val="12"/>
        <color theme="1"/>
        <rFont val="Arial"/>
        <family val="2"/>
      </rPr>
      <t>Autoriza o Poder Executivo a doar área de propriedade municipal às entidades privadas sem fins lucrativos, habilitadas e credenciadas, nos termos do Decreto nº 14.872, de 23 de outubro de 2025, para desenvolvimento de projetos habitacionais no âmbito do Programa Minha Casa Minha Vida Entidades – PMCMV-E.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</si>
</sst>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6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3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4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justify" vertical="top"/>
    </xf>
    <xf numFmtId="0" fontId="2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7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5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0" fontId="5" fillId="4" borderId="0" xfId="0" applyFont="1" applyFill="1"/>
    <xf numFmtId="0" fontId="0" fillId="3" borderId="7" xfId="0" applyFill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5" fillId="8" borderId="0" xfId="0" applyFont="1" applyFill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zoomScaleNormal="100" workbookViewId="0">
      <selection activeCell="B24" sqref="B24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5</v>
      </c>
      <c r="C1" s="15"/>
      <c r="D1" s="15"/>
      <c r="E1" s="3"/>
      <c r="F1" s="3"/>
      <c r="O1">
        <v>1</v>
      </c>
      <c r="P1" s="23" t="s">
        <v>8</v>
      </c>
      <c r="U1" s="14" t="s">
        <v>14</v>
      </c>
    </row>
    <row r="2" spans="1:26" ht="23.25" customHeight="1" thickBot="1">
      <c r="B2" s="15" t="s">
        <v>52</v>
      </c>
      <c r="C2" s="15"/>
      <c r="D2" s="74" t="s">
        <v>56</v>
      </c>
      <c r="E2" s="75"/>
      <c r="F2" s="75"/>
      <c r="G2" s="76"/>
      <c r="L2" s="77" t="s">
        <v>31</v>
      </c>
      <c r="M2" s="75"/>
      <c r="N2" s="75"/>
      <c r="O2" s="76"/>
      <c r="P2" s="23" t="s">
        <v>9</v>
      </c>
      <c r="U2" s="14" t="s">
        <v>15</v>
      </c>
    </row>
    <row r="3" spans="1:26" ht="35.25" customHeight="1">
      <c r="B3" s="15" t="s">
        <v>53</v>
      </c>
      <c r="C3" s="15"/>
      <c r="D3" s="15"/>
      <c r="E3" s="3"/>
      <c r="F3" s="3"/>
      <c r="O3" s="6">
        <v>3</v>
      </c>
      <c r="P3" s="23" t="s">
        <v>10</v>
      </c>
    </row>
    <row r="4" spans="1:26" ht="45.75">
      <c r="B4" s="26" t="s">
        <v>20</v>
      </c>
      <c r="D4" s="44" t="s">
        <v>6</v>
      </c>
      <c r="E4" s="7"/>
      <c r="F4" s="23" t="s">
        <v>21</v>
      </c>
      <c r="G4" s="44" t="s">
        <v>29</v>
      </c>
      <c r="H4" s="8"/>
      <c r="I4" s="38" t="s">
        <v>22</v>
      </c>
      <c r="K4" s="8"/>
      <c r="L4" s="44" t="s">
        <v>27</v>
      </c>
      <c r="M4" s="9"/>
      <c r="N4" s="23"/>
      <c r="P4" s="23" t="s">
        <v>7</v>
      </c>
      <c r="S4" s="23" t="s">
        <v>12</v>
      </c>
      <c r="T4" s="23" t="s">
        <v>16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39" t="s">
        <v>54</v>
      </c>
      <c r="C6" s="19">
        <v>1</v>
      </c>
      <c r="D6" s="68" t="s">
        <v>34</v>
      </c>
      <c r="E6" s="11"/>
      <c r="F6" s="36"/>
      <c r="G6" s="68"/>
      <c r="H6" s="11"/>
      <c r="I6" s="36"/>
      <c r="J6" s="23" t="str">
        <f t="shared" ref="J6:J26" si="1">IF(H6="","",VLOOKUP(H6,O$1:P$3,2))</f>
        <v/>
      </c>
      <c r="K6" s="11"/>
      <c r="L6" s="68"/>
      <c r="M6" s="11"/>
      <c r="N6" s="41" t="str">
        <f t="shared" ref="N6:N26" si="2">IF(M6="","",VLOOKUP(M6,$O$1:$P$3,2))</f>
        <v/>
      </c>
      <c r="O6" s="10"/>
      <c r="P6" s="17" t="str">
        <f t="shared" ref="P6" si="3">IF(O6="","",VLOOKUP(O6,$O$1:$P$3,2))</f>
        <v/>
      </c>
      <c r="S6" s="7"/>
    </row>
    <row r="7" spans="1:26" ht="18" customHeight="1">
      <c r="A7" s="6">
        <v>2</v>
      </c>
      <c r="B7" s="39" t="s">
        <v>46</v>
      </c>
      <c r="C7" s="19">
        <v>1</v>
      </c>
      <c r="D7" s="68" t="s">
        <v>34</v>
      </c>
      <c r="E7" s="11"/>
      <c r="F7" s="36"/>
      <c r="G7" s="70"/>
      <c r="H7" s="11"/>
      <c r="I7" s="36"/>
      <c r="J7" s="23" t="str">
        <f t="shared" si="1"/>
        <v/>
      </c>
      <c r="K7" s="12"/>
      <c r="L7" s="70"/>
      <c r="M7" s="12"/>
      <c r="N7" s="41" t="str">
        <f t="shared" si="2"/>
        <v/>
      </c>
      <c r="O7" s="10"/>
      <c r="P7" s="17" t="str">
        <f t="shared" ref="P7" si="4">IF(O7="","",VLOOKUP(O7,$O$1:$P$3,2))</f>
        <v/>
      </c>
      <c r="S7" s="7"/>
    </row>
    <row r="8" spans="1:26" ht="18" customHeight="1">
      <c r="A8" s="6">
        <v>3</v>
      </c>
      <c r="B8" s="39" t="s">
        <v>37</v>
      </c>
      <c r="C8" s="19">
        <v>1</v>
      </c>
      <c r="D8" s="68" t="s">
        <v>34</v>
      </c>
      <c r="E8" s="11"/>
      <c r="F8" s="36"/>
      <c r="G8" s="70"/>
      <c r="H8" s="11"/>
      <c r="I8" s="36"/>
      <c r="J8" s="23" t="str">
        <f t="shared" si="1"/>
        <v/>
      </c>
      <c r="K8" s="12"/>
      <c r="L8" s="68"/>
      <c r="M8" s="12"/>
      <c r="N8" s="41" t="str">
        <f t="shared" si="2"/>
        <v/>
      </c>
      <c r="O8" s="10"/>
      <c r="P8" s="17" t="str">
        <f t="shared" ref="P8" si="5">IF(O8="","",VLOOKUP(O8,$O$1:$P$3,2))</f>
        <v/>
      </c>
      <c r="S8" s="7"/>
    </row>
    <row r="9" spans="1:26" ht="18" customHeight="1">
      <c r="A9" s="6">
        <v>4</v>
      </c>
      <c r="B9" s="39" t="s">
        <v>38</v>
      </c>
      <c r="C9" s="19">
        <v>1</v>
      </c>
      <c r="D9" s="68" t="s">
        <v>34</v>
      </c>
      <c r="E9" s="11"/>
      <c r="F9" s="36"/>
      <c r="G9" s="47"/>
      <c r="H9" s="11"/>
      <c r="I9" s="36"/>
      <c r="J9" s="23"/>
      <c r="K9" s="12"/>
      <c r="L9" s="70"/>
      <c r="M9" s="12"/>
      <c r="N9" s="41"/>
      <c r="O9" s="10"/>
      <c r="P9" s="17"/>
      <c r="S9" s="7"/>
    </row>
    <row r="10" spans="1:26" ht="18" customHeight="1">
      <c r="A10" s="6">
        <v>5</v>
      </c>
      <c r="B10" s="39" t="s">
        <v>39</v>
      </c>
      <c r="C10" s="19">
        <v>1</v>
      </c>
      <c r="D10" s="68" t="s">
        <v>34</v>
      </c>
      <c r="E10" s="11"/>
      <c r="F10" s="36"/>
      <c r="G10" s="47"/>
      <c r="H10" s="11"/>
      <c r="I10" s="36"/>
      <c r="J10" s="23"/>
      <c r="K10" s="12"/>
      <c r="L10" s="69"/>
      <c r="M10" s="12"/>
      <c r="N10" s="41"/>
      <c r="O10" s="10"/>
      <c r="P10" s="17"/>
      <c r="S10" s="7"/>
    </row>
    <row r="11" spans="1:26" ht="18" customHeight="1">
      <c r="A11" s="6">
        <v>6</v>
      </c>
      <c r="B11" s="39" t="s">
        <v>40</v>
      </c>
      <c r="C11" s="19">
        <v>2</v>
      </c>
      <c r="D11" s="70" t="s">
        <v>35</v>
      </c>
      <c r="E11" s="11"/>
      <c r="F11" s="36"/>
      <c r="G11" s="70"/>
      <c r="H11" s="11"/>
      <c r="I11" s="36"/>
      <c r="J11" s="23" t="str">
        <f t="shared" si="1"/>
        <v/>
      </c>
      <c r="K11" s="12"/>
      <c r="L11" s="69" t="str">
        <f t="shared" ref="L11:L26" si="6">IF(K11="","",VLOOKUP(K11,O$1:P$3,2))</f>
        <v/>
      </c>
      <c r="M11" s="12"/>
      <c r="N11" s="41" t="str">
        <f t="shared" si="2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39" t="s">
        <v>23</v>
      </c>
      <c r="C12" s="19">
        <v>1</v>
      </c>
      <c r="D12" s="68" t="s">
        <v>34</v>
      </c>
      <c r="E12" s="11"/>
      <c r="F12" s="36"/>
      <c r="G12" s="47"/>
      <c r="H12" s="11"/>
      <c r="I12" s="36"/>
      <c r="J12" s="23" t="str">
        <f t="shared" si="1"/>
        <v/>
      </c>
      <c r="K12" s="12"/>
      <c r="L12" s="42" t="str">
        <f t="shared" si="6"/>
        <v/>
      </c>
      <c r="M12" s="12"/>
      <c r="N12" s="41" t="str">
        <f t="shared" si="2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39" t="s">
        <v>24</v>
      </c>
      <c r="C13" s="19">
        <v>2</v>
      </c>
      <c r="D13" s="70" t="s">
        <v>35</v>
      </c>
      <c r="E13" s="11"/>
      <c r="F13" s="36"/>
      <c r="G13" s="47"/>
      <c r="H13" s="11"/>
      <c r="I13" s="36"/>
      <c r="J13" s="23" t="str">
        <f t="shared" si="1"/>
        <v/>
      </c>
      <c r="K13" s="12"/>
      <c r="L13" s="42" t="str">
        <f t="shared" si="6"/>
        <v/>
      </c>
      <c r="M13" s="12"/>
      <c r="N13" s="41" t="str">
        <f t="shared" si="2"/>
        <v/>
      </c>
      <c r="O13" s="10"/>
      <c r="P13" s="24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39" t="s">
        <v>49</v>
      </c>
      <c r="C14" s="19">
        <v>1</v>
      </c>
      <c r="D14" s="68" t="s">
        <v>34</v>
      </c>
      <c r="E14" s="11"/>
      <c r="F14" s="36"/>
      <c r="G14" s="47"/>
      <c r="H14" s="11"/>
      <c r="I14" s="36"/>
      <c r="J14" s="23" t="str">
        <f t="shared" si="1"/>
        <v/>
      </c>
      <c r="K14" s="12"/>
      <c r="L14" s="42" t="str">
        <f t="shared" si="6"/>
        <v/>
      </c>
      <c r="M14" s="12"/>
      <c r="N14" s="41" t="str">
        <f t="shared" si="2"/>
        <v/>
      </c>
      <c r="O14" s="10"/>
      <c r="P14" s="23" t="str">
        <f t="shared" ref="P14" si="10">IF(O14="","",VLOOKUP(O14,$O$1:$P$3,2))</f>
        <v/>
      </c>
      <c r="S14" s="7"/>
      <c r="Z14" s="23"/>
    </row>
    <row r="15" spans="1:26" ht="18" customHeight="1">
      <c r="A15" s="6">
        <v>10</v>
      </c>
      <c r="B15" s="39" t="s">
        <v>41</v>
      </c>
      <c r="C15" s="19">
        <v>1</v>
      </c>
      <c r="D15" s="68" t="s">
        <v>34</v>
      </c>
      <c r="E15" s="11"/>
      <c r="F15" s="36"/>
      <c r="G15" s="47"/>
      <c r="H15" s="11"/>
      <c r="I15" s="36"/>
      <c r="J15" s="23" t="str">
        <f t="shared" si="1"/>
        <v/>
      </c>
      <c r="K15" s="12"/>
      <c r="L15" s="42" t="str">
        <f t="shared" si="6"/>
        <v/>
      </c>
      <c r="M15" s="12"/>
      <c r="N15" s="41" t="str">
        <f t="shared" si="2"/>
        <v/>
      </c>
      <c r="O15" s="10"/>
      <c r="P15" s="23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39" t="s">
        <v>42</v>
      </c>
      <c r="C16" s="19">
        <v>1</v>
      </c>
      <c r="D16" s="68" t="s">
        <v>34</v>
      </c>
      <c r="E16" s="11"/>
      <c r="F16" s="36"/>
      <c r="G16" s="47"/>
      <c r="H16" s="11"/>
      <c r="I16" s="36"/>
      <c r="J16" s="23" t="str">
        <f t="shared" si="1"/>
        <v/>
      </c>
      <c r="K16" s="12"/>
      <c r="L16" s="42" t="str">
        <f t="shared" si="6"/>
        <v/>
      </c>
      <c r="M16" s="12"/>
      <c r="N16" s="41" t="str">
        <f t="shared" si="2"/>
        <v/>
      </c>
      <c r="O16" s="10"/>
      <c r="P16" s="23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39" t="s">
        <v>43</v>
      </c>
      <c r="C17" s="19">
        <v>1</v>
      </c>
      <c r="D17" s="68" t="s">
        <v>34</v>
      </c>
      <c r="E17" s="11"/>
      <c r="F17" s="36"/>
      <c r="G17" s="47"/>
      <c r="H17" s="11"/>
      <c r="I17" s="36"/>
      <c r="J17" s="23" t="str">
        <f t="shared" si="1"/>
        <v/>
      </c>
      <c r="K17" s="12"/>
      <c r="L17" s="42" t="str">
        <f t="shared" si="6"/>
        <v/>
      </c>
      <c r="M17" s="12"/>
      <c r="N17" s="41" t="str">
        <f t="shared" si="2"/>
        <v/>
      </c>
      <c r="O17" s="10"/>
      <c r="P17" s="23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39" t="s">
        <v>25</v>
      </c>
      <c r="C18" s="19">
        <v>1</v>
      </c>
      <c r="D18" s="68" t="s">
        <v>34</v>
      </c>
      <c r="E18" s="11"/>
      <c r="F18" s="36"/>
      <c r="G18" s="47"/>
      <c r="H18" s="11"/>
      <c r="I18" s="36"/>
      <c r="J18" s="23" t="str">
        <f t="shared" si="1"/>
        <v/>
      </c>
      <c r="K18" s="12"/>
      <c r="L18" s="42" t="str">
        <f t="shared" si="6"/>
        <v/>
      </c>
      <c r="M18" s="12"/>
      <c r="N18" s="41" t="str">
        <f t="shared" si="2"/>
        <v/>
      </c>
      <c r="O18" s="10"/>
      <c r="P18" s="23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39" t="s">
        <v>44</v>
      </c>
      <c r="C19" s="19">
        <v>1</v>
      </c>
      <c r="D19" s="68" t="s">
        <v>34</v>
      </c>
      <c r="E19" s="11"/>
      <c r="F19" s="36"/>
      <c r="G19" s="47"/>
      <c r="H19" s="11"/>
      <c r="I19" s="36"/>
      <c r="J19" s="23" t="str">
        <f t="shared" si="1"/>
        <v/>
      </c>
      <c r="K19" s="12"/>
      <c r="L19" s="42" t="str">
        <f t="shared" si="6"/>
        <v/>
      </c>
      <c r="M19" s="12"/>
      <c r="N19" s="41" t="str">
        <f t="shared" si="2"/>
        <v/>
      </c>
      <c r="O19" s="10"/>
      <c r="P19" s="23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39" t="s">
        <v>48</v>
      </c>
      <c r="C20" s="19">
        <v>1</v>
      </c>
      <c r="D20" s="68" t="s">
        <v>34</v>
      </c>
      <c r="E20" s="11"/>
      <c r="F20" s="36"/>
      <c r="G20" s="47"/>
      <c r="H20" s="11"/>
      <c r="I20" s="36"/>
      <c r="J20" s="23" t="str">
        <f t="shared" si="1"/>
        <v/>
      </c>
      <c r="K20" s="12"/>
      <c r="L20" s="42" t="str">
        <f t="shared" si="6"/>
        <v/>
      </c>
      <c r="M20" s="12"/>
      <c r="N20" s="41" t="str">
        <f t="shared" si="2"/>
        <v/>
      </c>
      <c r="O20" s="10"/>
      <c r="P20" s="23" t="str">
        <f t="shared" ref="P20" si="16">IF(O20="","",VLOOKUP(O20,$O$1:$P$3,2))</f>
        <v/>
      </c>
      <c r="S20" s="24"/>
    </row>
    <row r="21" spans="1:20" ht="18" customHeight="1">
      <c r="A21" s="6">
        <v>16</v>
      </c>
      <c r="B21" s="39" t="s">
        <v>51</v>
      </c>
      <c r="C21" s="19">
        <v>1</v>
      </c>
      <c r="D21" s="68" t="s">
        <v>34</v>
      </c>
      <c r="E21" s="11"/>
      <c r="F21" s="36"/>
      <c r="G21" s="47"/>
      <c r="H21" s="11"/>
      <c r="I21" s="36"/>
      <c r="J21" s="23" t="str">
        <f t="shared" si="1"/>
        <v/>
      </c>
      <c r="K21" s="12"/>
      <c r="L21" s="42" t="str">
        <f t="shared" si="6"/>
        <v/>
      </c>
      <c r="M21" s="12"/>
      <c r="N21" s="41" t="str">
        <f t="shared" si="2"/>
        <v/>
      </c>
      <c r="O21" s="10"/>
      <c r="P21" s="23" t="str">
        <f t="shared" ref="P21" si="17">IF(O21="","",VLOOKUP(O21,$O$1:$P$3,2))</f>
        <v/>
      </c>
      <c r="S21" s="23"/>
    </row>
    <row r="22" spans="1:20" ht="18" customHeight="1">
      <c r="A22" s="6">
        <v>17</v>
      </c>
      <c r="B22" s="39" t="s">
        <v>55</v>
      </c>
      <c r="C22" s="22">
        <v>1</v>
      </c>
      <c r="D22" s="68" t="s">
        <v>34</v>
      </c>
      <c r="E22" s="11"/>
      <c r="F22" s="36"/>
      <c r="G22" s="47"/>
      <c r="H22" s="11"/>
      <c r="I22" s="36"/>
      <c r="J22" s="23" t="str">
        <f t="shared" si="1"/>
        <v/>
      </c>
      <c r="K22" s="12"/>
      <c r="L22" s="42" t="str">
        <f t="shared" si="6"/>
        <v/>
      </c>
      <c r="M22" s="12"/>
      <c r="N22" s="41" t="str">
        <f t="shared" si="2"/>
        <v/>
      </c>
      <c r="O22" s="10"/>
      <c r="P22" s="23" t="str">
        <f t="shared" ref="P22" si="18">IF(O22="","",VLOOKUP(O22,$O$1:$P$3,2))</f>
        <v/>
      </c>
      <c r="S22" s="23"/>
    </row>
    <row r="23" spans="1:20" ht="18" customHeight="1">
      <c r="A23" s="6">
        <v>18</v>
      </c>
      <c r="B23" s="39" t="s">
        <v>26</v>
      </c>
      <c r="C23" s="22">
        <v>1</v>
      </c>
      <c r="D23" s="68" t="s">
        <v>34</v>
      </c>
      <c r="E23" s="11"/>
      <c r="F23" s="36"/>
      <c r="G23" s="47"/>
      <c r="H23" s="11"/>
      <c r="I23" s="36"/>
      <c r="J23" s="23" t="str">
        <f t="shared" si="1"/>
        <v/>
      </c>
      <c r="K23" s="12"/>
      <c r="L23" s="42" t="str">
        <f t="shared" si="6"/>
        <v/>
      </c>
      <c r="M23" s="12"/>
      <c r="N23" s="41" t="str">
        <f t="shared" si="2"/>
        <v/>
      </c>
      <c r="O23" s="10"/>
      <c r="P23" s="23" t="str">
        <f t="shared" ref="P23" si="19">IF(O23="","",VLOOKUP(O23,$O$1:$P$3,2))</f>
        <v/>
      </c>
      <c r="S23" s="23"/>
    </row>
    <row r="24" spans="1:20" ht="18" customHeight="1">
      <c r="A24" s="6">
        <v>19</v>
      </c>
      <c r="B24" s="39" t="s">
        <v>50</v>
      </c>
      <c r="C24" s="22">
        <v>2</v>
      </c>
      <c r="D24" s="70" t="s">
        <v>35</v>
      </c>
      <c r="E24" s="11"/>
      <c r="F24" s="36"/>
      <c r="G24" s="47"/>
      <c r="H24" s="11"/>
      <c r="I24" s="36"/>
      <c r="J24" s="23" t="str">
        <f t="shared" si="1"/>
        <v/>
      </c>
      <c r="K24" s="12"/>
      <c r="L24" s="42" t="str">
        <f t="shared" si="6"/>
        <v/>
      </c>
      <c r="M24" s="12"/>
      <c r="N24" s="41" t="str">
        <f t="shared" si="2"/>
        <v/>
      </c>
      <c r="O24" s="10"/>
      <c r="P24" s="23" t="str">
        <f t="shared" ref="P24" si="20">IF(O24="","",VLOOKUP(O24,$O$1:$P$3,2))</f>
        <v/>
      </c>
      <c r="S24" s="23"/>
      <c r="T24" s="24"/>
    </row>
    <row r="25" spans="1:20" ht="18" customHeight="1">
      <c r="A25" s="6">
        <v>20</v>
      </c>
      <c r="B25" s="39" t="s">
        <v>47</v>
      </c>
      <c r="C25" s="22">
        <v>1</v>
      </c>
      <c r="D25" s="68" t="s">
        <v>34</v>
      </c>
      <c r="E25" s="11"/>
      <c r="F25" s="36"/>
      <c r="G25" s="47"/>
      <c r="H25" s="11"/>
      <c r="I25" s="36"/>
      <c r="J25" s="24" t="str">
        <f t="shared" si="1"/>
        <v/>
      </c>
      <c r="K25" s="12"/>
      <c r="L25" s="42" t="str">
        <f t="shared" si="6"/>
        <v/>
      </c>
      <c r="M25" s="12"/>
      <c r="N25" s="41" t="str">
        <f t="shared" si="2"/>
        <v/>
      </c>
      <c r="O25" s="10"/>
      <c r="P25" s="23" t="str">
        <f t="shared" ref="P25" si="21">IF(O25="","",VLOOKUP(O25,$O$1:$P$3,2))</f>
        <v/>
      </c>
      <c r="S25" s="23"/>
      <c r="T25" s="23"/>
    </row>
    <row r="26" spans="1:20" ht="18" customHeight="1">
      <c r="A26" s="6">
        <v>21</v>
      </c>
      <c r="B26" s="39" t="s">
        <v>45</v>
      </c>
      <c r="C26" s="22">
        <v>1</v>
      </c>
      <c r="D26" s="68" t="s">
        <v>34</v>
      </c>
      <c r="E26" s="11"/>
      <c r="F26" s="36"/>
      <c r="G26" s="67"/>
      <c r="H26" s="21"/>
      <c r="I26" s="37"/>
      <c r="J26" s="23" t="str">
        <f t="shared" si="1"/>
        <v/>
      </c>
      <c r="K26" s="12"/>
      <c r="L26" s="42" t="str">
        <f t="shared" si="6"/>
        <v/>
      </c>
      <c r="M26" s="66"/>
      <c r="N26" s="51" t="str">
        <f t="shared" si="2"/>
        <v/>
      </c>
      <c r="O26" s="10"/>
      <c r="P26" s="23" t="str">
        <f t="shared" ref="P26" si="22">IF(O26="","",VLOOKUP(O26,$O$1:$P$3,2))</f>
        <v/>
      </c>
      <c r="S26" s="23"/>
      <c r="T26" s="23"/>
    </row>
    <row r="27" spans="1:20" ht="30.75" customHeight="1">
      <c r="B27"/>
      <c r="C27" s="19">
        <v>18</v>
      </c>
      <c r="D27" s="52" t="s">
        <v>32</v>
      </c>
      <c r="G27" s="43"/>
      <c r="J27" s="13"/>
      <c r="L27" s="13"/>
      <c r="N27" s="13"/>
      <c r="P27" s="23"/>
      <c r="S27" s="23"/>
      <c r="T27" s="23"/>
    </row>
    <row r="28" spans="1:20" ht="15.75">
      <c r="B28"/>
      <c r="D28" s="13"/>
      <c r="G28" s="13"/>
      <c r="J28" s="13"/>
      <c r="L28" s="13"/>
      <c r="N28" s="13"/>
      <c r="P28" s="13"/>
      <c r="S28" s="23"/>
      <c r="T28" s="23"/>
    </row>
    <row r="29" spans="1:20" ht="18.75">
      <c r="B29" s="16" t="s">
        <v>11</v>
      </c>
      <c r="C29" s="16"/>
      <c r="D29" s="16"/>
      <c r="E29" s="16"/>
      <c r="F29" s="16"/>
      <c r="G29" s="16"/>
      <c r="S29" s="23"/>
      <c r="T29" s="23"/>
    </row>
    <row r="30" spans="1:20" ht="15.75">
      <c r="B30"/>
      <c r="S30" s="23"/>
      <c r="T30" s="23"/>
    </row>
    <row r="31" spans="1:20" ht="15.75">
      <c r="B31" t="s">
        <v>13</v>
      </c>
      <c r="S31" s="23"/>
      <c r="T31" s="23"/>
    </row>
    <row r="32" spans="1:20" ht="15.75">
      <c r="B32" s="65"/>
      <c r="C32"/>
      <c r="O32" s="13"/>
      <c r="S32" s="23"/>
      <c r="T32" s="23"/>
    </row>
    <row r="33" spans="2:20" ht="15.75">
      <c r="B33" s="65"/>
      <c r="S33" s="23"/>
      <c r="T33" s="23"/>
    </row>
    <row r="34" spans="2:20" ht="15.75">
      <c r="B34" s="65"/>
      <c r="S34" s="23"/>
      <c r="T34" s="23"/>
    </row>
    <row r="35" spans="2:20" ht="15.75">
      <c r="B35" s="65"/>
      <c r="S35" s="24"/>
      <c r="T35" s="23"/>
    </row>
    <row r="36" spans="2:20" ht="15.75">
      <c r="B36" s="65"/>
      <c r="S36" s="24"/>
      <c r="T36" s="23"/>
    </row>
    <row r="37" spans="2:20" ht="18">
      <c r="B37" s="33"/>
      <c r="S37" s="24"/>
      <c r="T37" s="23"/>
    </row>
    <row r="38" spans="2:20" ht="15.75">
      <c r="B38" s="71"/>
      <c r="S38" s="23"/>
      <c r="T38" s="23"/>
    </row>
    <row r="39" spans="2:20" ht="15.75">
      <c r="B39" s="34" t="s">
        <v>28</v>
      </c>
      <c r="S39" s="23"/>
      <c r="T39" s="23"/>
    </row>
    <row r="40" spans="2:20" ht="18">
      <c r="B40" s="33"/>
      <c r="S40" s="23"/>
      <c r="T40" s="23"/>
    </row>
    <row r="41" spans="2:20" ht="18">
      <c r="B41" s="33"/>
      <c r="C41" s="14"/>
      <c r="S41" s="23"/>
      <c r="T41" s="24"/>
    </row>
    <row r="42" spans="2:20" ht="18">
      <c r="B42" s="33"/>
      <c r="T42" s="23"/>
    </row>
    <row r="43" spans="2:20" ht="18.75">
      <c r="B43" s="32"/>
      <c r="T43" s="23"/>
    </row>
    <row r="44" spans="2:20" ht="18.75">
      <c r="B44" s="32"/>
      <c r="T44" s="23"/>
    </row>
    <row r="45" spans="2:20" ht="18.75">
      <c r="B45" s="32"/>
      <c r="L45"/>
      <c r="T45" s="23"/>
    </row>
    <row r="46" spans="2:20" ht="18.75">
      <c r="B46" s="32"/>
      <c r="L46"/>
    </row>
    <row r="47" spans="2:20" ht="15.75" customHeight="1">
      <c r="B47" s="30"/>
    </row>
    <row r="48" spans="2:20" ht="18.75">
      <c r="B48" s="32"/>
    </row>
    <row r="49" spans="2:2" ht="18">
      <c r="B49" s="33"/>
    </row>
    <row r="50" spans="2:2" ht="18">
      <c r="B50" s="33"/>
    </row>
    <row r="51" spans="2:2" ht="18">
      <c r="B51" s="33"/>
    </row>
    <row r="52" spans="2:2" ht="18.75">
      <c r="B52" s="32"/>
    </row>
    <row r="53" spans="2:2" ht="18.75">
      <c r="B53" s="32"/>
    </row>
  </sheetData>
  <mergeCells count="2">
    <mergeCell ref="D2:G2"/>
    <mergeCell ref="L2:O2"/>
  </mergeCells>
  <dataValidations count="1">
    <dataValidation type="list" allowBlank="1" showInputMessage="1" showErrorMessage="1" sqref="B48:B53 B40:B46 B32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Z36"/>
  <sheetViews>
    <sheetView zoomScaleNormal="100" workbookViewId="0">
      <pane xSplit="2" topLeftCell="C1" activePane="topRight" state="frozen"/>
      <selection pane="topRight" activeCell="E1" sqref="E1"/>
    </sheetView>
  </sheetViews>
  <sheetFormatPr defaultRowHeight="15"/>
  <cols>
    <col min="1" max="1" width="4.42578125" customWidth="1"/>
    <col min="2" max="2" width="63.140625" customWidth="1"/>
    <col min="3" max="3" width="27.85546875" customWidth="1"/>
    <col min="4" max="7" width="34" customWidth="1"/>
    <col min="8" max="8" width="27.5703125" customWidth="1"/>
    <col min="9" max="9" width="28.85546875" customWidth="1"/>
    <col min="10" max="10" width="27" customWidth="1"/>
    <col min="11" max="11" width="30.85546875" customWidth="1"/>
    <col min="12" max="12" width="28.5703125" customWidth="1"/>
    <col min="13" max="13" width="32.42578125" customWidth="1"/>
    <col min="14" max="14" width="33.85546875" customWidth="1"/>
    <col min="15" max="15" width="27.5703125" customWidth="1"/>
    <col min="16" max="103" width="36.7109375" customWidth="1"/>
  </cols>
  <sheetData>
    <row r="1" spans="1:103" ht="23.25" customHeight="1">
      <c r="B1" s="73" t="s">
        <v>5</v>
      </c>
      <c r="C1" s="3"/>
      <c r="D1" s="3"/>
      <c r="E1" s="3"/>
      <c r="F1" s="3"/>
      <c r="G1" s="3"/>
      <c r="H1" s="3"/>
      <c r="I1" s="2"/>
    </row>
    <row r="2" spans="1:103" ht="23.25" customHeight="1">
      <c r="B2" s="73" t="s">
        <v>52</v>
      </c>
      <c r="C2" s="3"/>
      <c r="D2" s="3"/>
      <c r="E2" s="3"/>
      <c r="F2" s="3"/>
      <c r="G2" s="3"/>
      <c r="H2" s="3"/>
      <c r="I2" s="2"/>
      <c r="J2" s="35"/>
    </row>
    <row r="3" spans="1:103" ht="23.25" customHeight="1">
      <c r="B3" s="73" t="s">
        <v>53</v>
      </c>
      <c r="C3" s="3"/>
      <c r="D3" s="40"/>
      <c r="E3" s="40"/>
      <c r="F3" s="40"/>
      <c r="G3" s="3"/>
      <c r="H3" s="3"/>
      <c r="I3" s="2"/>
    </row>
    <row r="4" spans="1:103" ht="108" customHeight="1">
      <c r="B4" s="57"/>
      <c r="C4" s="31" t="s">
        <v>30</v>
      </c>
      <c r="D4" s="53" t="s">
        <v>57</v>
      </c>
      <c r="E4" s="53" t="s">
        <v>58</v>
      </c>
      <c r="F4" s="49"/>
      <c r="G4" s="49"/>
      <c r="H4" s="49"/>
      <c r="I4" s="49"/>
      <c r="J4" s="49"/>
      <c r="K4" s="49"/>
      <c r="L4" s="20"/>
      <c r="M4" s="18"/>
      <c r="N4" s="25"/>
      <c r="O4" s="2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4"/>
      <c r="CY4" s="4"/>
    </row>
    <row r="5" spans="1:103" ht="48" customHeight="1">
      <c r="D5" s="72" t="s">
        <v>33</v>
      </c>
      <c r="E5" s="72" t="s">
        <v>33</v>
      </c>
      <c r="F5" s="48"/>
      <c r="G5" s="48"/>
      <c r="H5" s="48"/>
      <c r="I5" s="48"/>
      <c r="J5" s="48"/>
      <c r="K5" s="30"/>
      <c r="L5" s="30"/>
      <c r="M5" s="30"/>
      <c r="N5" s="30"/>
      <c r="O5" s="30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4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4"/>
      <c r="CY5" s="4"/>
    </row>
    <row r="6" spans="1:103" ht="20.25">
      <c r="A6" s="57">
        <v>1</v>
      </c>
      <c r="B6" s="59" t="s">
        <v>54</v>
      </c>
      <c r="D6" s="54" t="s">
        <v>36</v>
      </c>
      <c r="E6" s="54" t="s">
        <v>36</v>
      </c>
      <c r="F6" s="45"/>
      <c r="G6" s="45"/>
      <c r="H6" s="45"/>
      <c r="I6" s="45"/>
      <c r="J6" s="45"/>
      <c r="K6" s="14"/>
      <c r="L6" s="14"/>
      <c r="M6" s="14"/>
      <c r="N6" s="14"/>
      <c r="O6" s="14"/>
    </row>
    <row r="7" spans="1:103" ht="20.25">
      <c r="A7" s="57">
        <v>2</v>
      </c>
      <c r="B7" s="59" t="s">
        <v>46</v>
      </c>
      <c r="D7" s="54" t="s">
        <v>36</v>
      </c>
      <c r="E7" s="54" t="s">
        <v>36</v>
      </c>
      <c r="F7" s="45"/>
      <c r="G7" s="45"/>
      <c r="H7" s="45"/>
      <c r="I7" s="45"/>
      <c r="J7" s="45"/>
      <c r="K7" s="14"/>
      <c r="L7" s="14"/>
      <c r="M7" s="14"/>
      <c r="N7" s="14"/>
      <c r="O7" s="14"/>
    </row>
    <row r="8" spans="1:103" ht="20.25">
      <c r="A8" s="57">
        <v>3</v>
      </c>
      <c r="B8" s="59" t="s">
        <v>37</v>
      </c>
      <c r="D8" s="54" t="s">
        <v>36</v>
      </c>
      <c r="E8" s="54" t="s">
        <v>36</v>
      </c>
      <c r="F8" s="46"/>
      <c r="G8" s="46"/>
      <c r="H8" s="46"/>
      <c r="I8" s="46"/>
      <c r="J8" s="46"/>
      <c r="K8" s="14"/>
      <c r="L8" s="14"/>
      <c r="M8" s="14"/>
      <c r="N8" s="14"/>
      <c r="O8" s="14"/>
    </row>
    <row r="9" spans="1:103" ht="20.25">
      <c r="A9" s="57">
        <v>4</v>
      </c>
      <c r="B9" s="59" t="s">
        <v>38</v>
      </c>
      <c r="D9" s="54" t="s">
        <v>36</v>
      </c>
      <c r="E9" s="54" t="s">
        <v>36</v>
      </c>
      <c r="F9" s="45"/>
      <c r="G9" s="45"/>
      <c r="H9" s="45"/>
      <c r="I9" s="45"/>
      <c r="J9" s="45"/>
      <c r="K9" s="14"/>
      <c r="L9" s="14"/>
      <c r="M9" s="14"/>
      <c r="N9" s="14"/>
      <c r="O9" s="14"/>
    </row>
    <row r="10" spans="1:103" ht="20.25">
      <c r="A10" s="57">
        <v>5</v>
      </c>
      <c r="B10" s="59" t="s">
        <v>39</v>
      </c>
      <c r="D10" s="54" t="s">
        <v>36</v>
      </c>
      <c r="E10" s="54" t="s">
        <v>36</v>
      </c>
      <c r="F10" s="45"/>
      <c r="G10" s="45"/>
      <c r="H10" s="45"/>
      <c r="I10" s="45"/>
      <c r="J10" s="45"/>
      <c r="K10" s="14"/>
      <c r="L10" s="14"/>
      <c r="M10" s="14"/>
      <c r="N10" s="14"/>
      <c r="O10" s="14"/>
    </row>
    <row r="11" spans="1:103" ht="20.25">
      <c r="A11" s="57">
        <v>6</v>
      </c>
      <c r="B11" s="59" t="s">
        <v>40</v>
      </c>
      <c r="D11" s="64" t="s">
        <v>35</v>
      </c>
      <c r="E11" s="64" t="s">
        <v>35</v>
      </c>
      <c r="F11" s="50"/>
      <c r="G11" s="45"/>
      <c r="H11" s="45"/>
      <c r="I11" s="45"/>
      <c r="J11" s="45"/>
      <c r="K11" s="14"/>
      <c r="L11" s="14"/>
      <c r="M11" s="14"/>
      <c r="N11" s="14"/>
      <c r="O11" s="14"/>
    </row>
    <row r="12" spans="1:103" ht="20.25">
      <c r="A12" s="57">
        <v>7</v>
      </c>
      <c r="B12" s="59" t="s">
        <v>23</v>
      </c>
      <c r="D12" s="54" t="s">
        <v>36</v>
      </c>
      <c r="E12" s="54" t="s">
        <v>36</v>
      </c>
      <c r="F12" s="50"/>
      <c r="G12" s="50"/>
      <c r="H12" s="50"/>
      <c r="I12" s="50"/>
      <c r="J12" s="50"/>
      <c r="K12" s="14"/>
      <c r="L12" s="14"/>
      <c r="M12" s="14"/>
      <c r="N12" s="14"/>
      <c r="O12" s="14"/>
    </row>
    <row r="13" spans="1:103" ht="20.25">
      <c r="A13" s="57">
        <v>8</v>
      </c>
      <c r="B13" s="59" t="s">
        <v>24</v>
      </c>
      <c r="D13" s="64" t="s">
        <v>35</v>
      </c>
      <c r="E13" s="64" t="s">
        <v>35</v>
      </c>
      <c r="F13" s="45"/>
      <c r="G13" s="45"/>
      <c r="H13" s="45"/>
      <c r="I13" s="45"/>
      <c r="J13" s="45"/>
      <c r="K13" s="14"/>
      <c r="L13" s="14"/>
      <c r="M13" s="14"/>
      <c r="N13" s="14"/>
      <c r="O13" s="14"/>
    </row>
    <row r="14" spans="1:103" ht="20.25">
      <c r="A14" s="57">
        <v>9</v>
      </c>
      <c r="B14" s="59" t="s">
        <v>49</v>
      </c>
      <c r="D14" s="54" t="s">
        <v>36</v>
      </c>
      <c r="E14" s="54" t="s">
        <v>36</v>
      </c>
      <c r="F14" s="45"/>
      <c r="G14" s="45"/>
      <c r="H14" s="45"/>
      <c r="I14" s="45"/>
      <c r="J14" s="45"/>
      <c r="K14" s="14"/>
      <c r="L14" s="14"/>
      <c r="M14" s="14"/>
      <c r="N14" s="14"/>
      <c r="O14" s="14"/>
    </row>
    <row r="15" spans="1:103" ht="20.25">
      <c r="A15" s="57">
        <v>10</v>
      </c>
      <c r="B15" s="59" t="s">
        <v>41</v>
      </c>
      <c r="D15" s="54" t="s">
        <v>36</v>
      </c>
      <c r="E15" s="54" t="s">
        <v>36</v>
      </c>
      <c r="F15" s="45"/>
      <c r="G15" s="45"/>
      <c r="H15" s="45"/>
      <c r="I15" s="45"/>
      <c r="J15" s="45"/>
      <c r="K15" s="14"/>
      <c r="L15" s="14"/>
      <c r="M15" s="14"/>
      <c r="N15" s="14"/>
      <c r="O15" s="14"/>
    </row>
    <row r="16" spans="1:103" ht="20.25">
      <c r="A16" s="57">
        <v>11</v>
      </c>
      <c r="B16" s="59" t="s">
        <v>42</v>
      </c>
      <c r="D16" s="54" t="s">
        <v>36</v>
      </c>
      <c r="E16" s="54" t="s">
        <v>36</v>
      </c>
      <c r="F16" s="45"/>
      <c r="G16" s="45"/>
      <c r="H16" s="45"/>
      <c r="I16" s="45"/>
      <c r="J16" s="45"/>
      <c r="K16" s="14"/>
      <c r="L16" s="14"/>
      <c r="M16" s="14"/>
      <c r="N16" s="14"/>
      <c r="O16" s="14"/>
    </row>
    <row r="17" spans="1:130" ht="20.25">
      <c r="A17" s="57">
        <v>12</v>
      </c>
      <c r="B17" s="59" t="s">
        <v>43</v>
      </c>
      <c r="D17" s="54" t="s">
        <v>36</v>
      </c>
      <c r="E17" s="54" t="s">
        <v>36</v>
      </c>
      <c r="F17" s="50"/>
      <c r="G17" s="50"/>
      <c r="H17" s="50"/>
      <c r="I17" s="50"/>
      <c r="J17" s="50"/>
      <c r="K17" s="14"/>
      <c r="L17" s="14"/>
      <c r="M17" s="14"/>
      <c r="N17" s="14"/>
      <c r="O17" s="14"/>
    </row>
    <row r="18" spans="1:130" ht="20.25">
      <c r="A18" s="57">
        <v>13</v>
      </c>
      <c r="B18" s="59" t="s">
        <v>25</v>
      </c>
      <c r="D18" s="54" t="s">
        <v>36</v>
      </c>
      <c r="E18" s="54" t="s">
        <v>36</v>
      </c>
      <c r="F18" s="45"/>
      <c r="G18" s="45"/>
      <c r="H18" s="45"/>
      <c r="I18" s="45"/>
      <c r="J18" s="45"/>
      <c r="K18" s="14"/>
      <c r="L18" s="14"/>
      <c r="M18" s="14"/>
      <c r="N18" s="14"/>
      <c r="O18" s="14"/>
    </row>
    <row r="19" spans="1:130" ht="20.25">
      <c r="A19" s="57">
        <v>14</v>
      </c>
      <c r="B19" s="59" t="s">
        <v>44</v>
      </c>
      <c r="D19" s="54" t="s">
        <v>36</v>
      </c>
      <c r="E19" s="54" t="s">
        <v>36</v>
      </c>
      <c r="F19" s="45"/>
      <c r="G19" s="45"/>
      <c r="H19" s="45"/>
      <c r="I19" s="45"/>
      <c r="J19" s="45"/>
      <c r="K19" s="14"/>
      <c r="L19" s="14"/>
      <c r="M19" s="14"/>
      <c r="N19" s="14"/>
      <c r="O19" s="14"/>
    </row>
    <row r="20" spans="1:130" ht="20.25">
      <c r="A20" s="57">
        <v>15</v>
      </c>
      <c r="B20" s="59" t="s">
        <v>48</v>
      </c>
      <c r="D20" s="54" t="s">
        <v>36</v>
      </c>
      <c r="E20" s="54" t="s">
        <v>36</v>
      </c>
      <c r="F20" s="45"/>
      <c r="G20" s="45"/>
      <c r="H20" s="45"/>
      <c r="I20" s="45"/>
      <c r="J20" s="45"/>
      <c r="K20" s="14"/>
      <c r="L20" s="14"/>
      <c r="M20" s="14"/>
      <c r="N20" s="14"/>
      <c r="O20" s="14"/>
    </row>
    <row r="21" spans="1:130" ht="20.25">
      <c r="A21" s="57">
        <v>16</v>
      </c>
      <c r="B21" s="59" t="s">
        <v>51</v>
      </c>
      <c r="D21" s="54" t="s">
        <v>36</v>
      </c>
      <c r="E21" s="54" t="s">
        <v>36</v>
      </c>
      <c r="F21" s="50"/>
      <c r="G21" s="50"/>
      <c r="H21" s="50"/>
      <c r="I21" s="50"/>
      <c r="J21" s="50"/>
      <c r="K21" s="14"/>
      <c r="L21" s="14"/>
      <c r="M21" s="14"/>
      <c r="N21" s="14"/>
      <c r="O21" s="14"/>
    </row>
    <row r="22" spans="1:130" ht="20.25">
      <c r="A22" s="57">
        <v>17</v>
      </c>
      <c r="B22" s="59" t="s">
        <v>55</v>
      </c>
      <c r="D22" s="54" t="s">
        <v>36</v>
      </c>
      <c r="E22" s="54" t="s">
        <v>36</v>
      </c>
      <c r="F22" s="45"/>
      <c r="G22" s="45"/>
      <c r="H22" s="45"/>
      <c r="I22" s="45"/>
      <c r="J22" s="45"/>
      <c r="K22" s="14"/>
      <c r="L22" s="14"/>
      <c r="M22" s="14"/>
      <c r="N22" s="14"/>
      <c r="O22" s="14"/>
    </row>
    <row r="23" spans="1:130" ht="20.25">
      <c r="A23" s="57">
        <v>18</v>
      </c>
      <c r="B23" s="59" t="s">
        <v>26</v>
      </c>
      <c r="D23" s="64" t="s">
        <v>35</v>
      </c>
      <c r="E23" s="64" t="s">
        <v>35</v>
      </c>
      <c r="F23" s="45"/>
      <c r="G23" s="45"/>
      <c r="H23" s="45"/>
      <c r="I23" s="45"/>
      <c r="J23" s="45"/>
      <c r="K23" s="14"/>
      <c r="L23" s="14"/>
      <c r="M23" s="14"/>
      <c r="N23" s="14"/>
      <c r="O23" s="14"/>
    </row>
    <row r="24" spans="1:130" ht="20.25">
      <c r="A24" s="57">
        <v>19</v>
      </c>
      <c r="B24" s="59" t="s">
        <v>50</v>
      </c>
      <c r="D24" s="64" t="s">
        <v>35</v>
      </c>
      <c r="E24" s="64" t="s">
        <v>35</v>
      </c>
      <c r="F24" s="50"/>
      <c r="G24" s="50"/>
      <c r="H24" s="50"/>
      <c r="I24" s="50"/>
      <c r="J24" s="50"/>
      <c r="K24" s="14"/>
      <c r="L24" s="14"/>
      <c r="M24" s="14"/>
      <c r="N24" s="14"/>
      <c r="O24" s="14"/>
    </row>
    <row r="25" spans="1:130" ht="20.25">
      <c r="A25" s="57">
        <v>20</v>
      </c>
      <c r="B25" s="59" t="s">
        <v>47</v>
      </c>
      <c r="D25" s="54" t="s">
        <v>36</v>
      </c>
      <c r="E25" s="54" t="s">
        <v>36</v>
      </c>
      <c r="F25" s="45"/>
      <c r="G25" s="45"/>
      <c r="H25" s="45"/>
      <c r="I25" s="45"/>
      <c r="J25" s="45"/>
      <c r="K25" s="14"/>
      <c r="L25" s="14"/>
      <c r="M25" s="14"/>
      <c r="N25" s="14"/>
      <c r="O25" s="14"/>
    </row>
    <row r="26" spans="1:130" ht="20.25">
      <c r="A26" s="57">
        <v>21</v>
      </c>
      <c r="B26" s="39" t="s">
        <v>45</v>
      </c>
      <c r="D26" s="54" t="s">
        <v>36</v>
      </c>
      <c r="E26" s="54" t="s">
        <v>36</v>
      </c>
      <c r="F26" s="50"/>
      <c r="G26" s="50"/>
      <c r="H26" s="50"/>
      <c r="I26" s="50"/>
      <c r="J26" s="50"/>
      <c r="K26" s="14"/>
      <c r="L26" s="14"/>
      <c r="M26" s="14"/>
      <c r="N26" s="14"/>
      <c r="O26" s="14"/>
    </row>
    <row r="27" spans="1:130" s="27" customFormat="1" ht="15.75">
      <c r="A27" s="55"/>
      <c r="B27" s="60" t="s">
        <v>17</v>
      </c>
      <c r="D27" s="55">
        <f>COUNTIF(D6:D26,"sim")</f>
        <v>17</v>
      </c>
      <c r="E27" s="55">
        <f>COUNTIF(E6:E26,"sim")</f>
        <v>17</v>
      </c>
      <c r="F27" s="27">
        <f t="shared" ref="F27:AK27" si="0">COUNTIF(F6:F26,"sim")</f>
        <v>0</v>
      </c>
      <c r="G27" s="27">
        <f t="shared" si="0"/>
        <v>0</v>
      </c>
      <c r="H27" s="27">
        <f t="shared" si="0"/>
        <v>0</v>
      </c>
      <c r="I27" s="27">
        <f t="shared" si="0"/>
        <v>0</v>
      </c>
      <c r="J27" s="27">
        <f t="shared" si="0"/>
        <v>0</v>
      </c>
      <c r="K27" s="27">
        <f t="shared" si="0"/>
        <v>0</v>
      </c>
      <c r="L27" s="27">
        <f t="shared" si="0"/>
        <v>0</v>
      </c>
      <c r="M27" s="27">
        <f t="shared" si="0"/>
        <v>0</v>
      </c>
      <c r="N27" s="27">
        <f t="shared" si="0"/>
        <v>0</v>
      </c>
      <c r="O27" s="27">
        <f t="shared" si="0"/>
        <v>0</v>
      </c>
      <c r="P27" s="27">
        <f t="shared" si="0"/>
        <v>0</v>
      </c>
      <c r="Q27" s="27">
        <f t="shared" si="0"/>
        <v>0</v>
      </c>
      <c r="R27" s="27">
        <f t="shared" si="0"/>
        <v>0</v>
      </c>
      <c r="S27" s="27">
        <f t="shared" si="0"/>
        <v>0</v>
      </c>
      <c r="T27" s="27">
        <f t="shared" si="0"/>
        <v>0</v>
      </c>
      <c r="U27" s="27">
        <f t="shared" si="0"/>
        <v>0</v>
      </c>
      <c r="V27" s="27">
        <f t="shared" si="0"/>
        <v>0</v>
      </c>
      <c r="W27" s="27">
        <f t="shared" si="0"/>
        <v>0</v>
      </c>
      <c r="X27" s="27">
        <f t="shared" si="0"/>
        <v>0</v>
      </c>
      <c r="Y27" s="27">
        <f t="shared" si="0"/>
        <v>0</v>
      </c>
      <c r="Z27" s="27">
        <f t="shared" si="0"/>
        <v>0</v>
      </c>
      <c r="AA27" s="27">
        <f t="shared" si="0"/>
        <v>0</v>
      </c>
      <c r="AB27" s="27">
        <f t="shared" si="0"/>
        <v>0</v>
      </c>
      <c r="AC27" s="27">
        <f t="shared" si="0"/>
        <v>0</v>
      </c>
      <c r="AD27" s="27">
        <f t="shared" si="0"/>
        <v>0</v>
      </c>
      <c r="AE27" s="27">
        <f t="shared" si="0"/>
        <v>0</v>
      </c>
      <c r="AF27" s="27">
        <f t="shared" si="0"/>
        <v>0</v>
      </c>
      <c r="AG27" s="27">
        <f t="shared" si="0"/>
        <v>0</v>
      </c>
      <c r="AH27" s="27">
        <f t="shared" si="0"/>
        <v>0</v>
      </c>
      <c r="AI27" s="27">
        <f t="shared" si="0"/>
        <v>0</v>
      </c>
      <c r="AJ27" s="27">
        <f t="shared" si="0"/>
        <v>0</v>
      </c>
      <c r="AK27" s="27">
        <f t="shared" si="0"/>
        <v>0</v>
      </c>
      <c r="AL27" s="27">
        <f t="shared" ref="AL27:BQ27" si="1">COUNTIF(AL6:AL26,"sim")</f>
        <v>0</v>
      </c>
      <c r="AM27" s="27">
        <f t="shared" si="1"/>
        <v>0</v>
      </c>
      <c r="AN27" s="27">
        <f t="shared" si="1"/>
        <v>0</v>
      </c>
      <c r="AO27" s="27">
        <f t="shared" si="1"/>
        <v>0</v>
      </c>
      <c r="AP27" s="27">
        <f t="shared" si="1"/>
        <v>0</v>
      </c>
      <c r="AQ27" s="27">
        <f t="shared" si="1"/>
        <v>0</v>
      </c>
      <c r="AR27" s="27">
        <f t="shared" si="1"/>
        <v>0</v>
      </c>
      <c r="AS27" s="27">
        <f t="shared" si="1"/>
        <v>0</v>
      </c>
      <c r="AT27" s="27">
        <f t="shared" si="1"/>
        <v>0</v>
      </c>
      <c r="AU27" s="27">
        <f t="shared" si="1"/>
        <v>0</v>
      </c>
      <c r="AV27" s="27">
        <f t="shared" si="1"/>
        <v>0</v>
      </c>
      <c r="AW27" s="27">
        <f t="shared" si="1"/>
        <v>0</v>
      </c>
      <c r="AX27" s="27">
        <f t="shared" si="1"/>
        <v>0</v>
      </c>
      <c r="AY27" s="27">
        <f t="shared" si="1"/>
        <v>0</v>
      </c>
      <c r="AZ27" s="27">
        <f t="shared" si="1"/>
        <v>0</v>
      </c>
      <c r="BA27" s="27">
        <f t="shared" si="1"/>
        <v>0</v>
      </c>
      <c r="BB27" s="27">
        <f t="shared" si="1"/>
        <v>0</v>
      </c>
      <c r="BC27" s="27">
        <f t="shared" si="1"/>
        <v>0</v>
      </c>
      <c r="BD27" s="27">
        <f t="shared" si="1"/>
        <v>0</v>
      </c>
      <c r="BE27" s="27">
        <f t="shared" si="1"/>
        <v>0</v>
      </c>
      <c r="BF27" s="27">
        <f t="shared" si="1"/>
        <v>0</v>
      </c>
      <c r="BG27" s="27">
        <f t="shared" si="1"/>
        <v>0</v>
      </c>
      <c r="BH27" s="27">
        <f t="shared" si="1"/>
        <v>0</v>
      </c>
      <c r="BI27" s="27">
        <f t="shared" si="1"/>
        <v>0</v>
      </c>
      <c r="BJ27" s="27">
        <f t="shared" si="1"/>
        <v>0</v>
      </c>
      <c r="BK27" s="27">
        <f t="shared" si="1"/>
        <v>0</v>
      </c>
      <c r="BL27" s="27">
        <f t="shared" si="1"/>
        <v>0</v>
      </c>
      <c r="BM27" s="27">
        <f t="shared" si="1"/>
        <v>0</v>
      </c>
      <c r="BN27" s="27">
        <f t="shared" si="1"/>
        <v>0</v>
      </c>
      <c r="BO27" s="27">
        <f t="shared" si="1"/>
        <v>0</v>
      </c>
      <c r="BP27" s="27">
        <f t="shared" si="1"/>
        <v>0</v>
      </c>
      <c r="BQ27" s="27">
        <f t="shared" si="1"/>
        <v>0</v>
      </c>
      <c r="BR27" s="27">
        <f t="shared" ref="BR27:CW27" si="2">COUNTIF(BR6:BR26,"sim")</f>
        <v>0</v>
      </c>
      <c r="BS27" s="27">
        <f t="shared" si="2"/>
        <v>0</v>
      </c>
      <c r="BT27" s="27">
        <f t="shared" si="2"/>
        <v>0</v>
      </c>
      <c r="BU27" s="27">
        <f t="shared" si="2"/>
        <v>0</v>
      </c>
      <c r="BV27" s="27">
        <f t="shared" si="2"/>
        <v>0</v>
      </c>
      <c r="BW27" s="27">
        <f t="shared" si="2"/>
        <v>0</v>
      </c>
      <c r="BX27" s="27">
        <f t="shared" si="2"/>
        <v>0</v>
      </c>
      <c r="BY27" s="27">
        <f t="shared" si="2"/>
        <v>0</v>
      </c>
      <c r="BZ27" s="27">
        <f t="shared" si="2"/>
        <v>0</v>
      </c>
      <c r="CA27" s="27">
        <f t="shared" si="2"/>
        <v>0</v>
      </c>
      <c r="CB27" s="27">
        <f t="shared" si="2"/>
        <v>0</v>
      </c>
      <c r="CC27" s="27">
        <f t="shared" si="2"/>
        <v>0</v>
      </c>
      <c r="CD27" s="27">
        <f t="shared" si="2"/>
        <v>0</v>
      </c>
      <c r="CE27" s="27">
        <f t="shared" si="2"/>
        <v>0</v>
      </c>
      <c r="CF27" s="27">
        <f t="shared" si="2"/>
        <v>0</v>
      </c>
      <c r="CG27" s="27">
        <f t="shared" si="2"/>
        <v>0</v>
      </c>
      <c r="CH27" s="27">
        <f t="shared" si="2"/>
        <v>0</v>
      </c>
      <c r="CI27" s="27">
        <f t="shared" si="2"/>
        <v>0</v>
      </c>
      <c r="CJ27" s="27">
        <f t="shared" si="2"/>
        <v>0</v>
      </c>
      <c r="CK27" s="27">
        <f t="shared" si="2"/>
        <v>0</v>
      </c>
      <c r="CL27" s="27">
        <f t="shared" si="2"/>
        <v>0</v>
      </c>
      <c r="CM27" s="27">
        <f t="shared" si="2"/>
        <v>0</v>
      </c>
      <c r="CN27" s="27">
        <f t="shared" si="2"/>
        <v>0</v>
      </c>
      <c r="CO27" s="27">
        <f t="shared" si="2"/>
        <v>0</v>
      </c>
      <c r="CP27" s="27">
        <f t="shared" si="2"/>
        <v>0</v>
      </c>
      <c r="CQ27" s="27">
        <f t="shared" si="2"/>
        <v>0</v>
      </c>
      <c r="CR27" s="27">
        <f t="shared" si="2"/>
        <v>0</v>
      </c>
      <c r="CS27" s="27">
        <f t="shared" si="2"/>
        <v>0</v>
      </c>
      <c r="CT27" s="27">
        <f t="shared" si="2"/>
        <v>0</v>
      </c>
      <c r="CU27" s="27">
        <f t="shared" si="2"/>
        <v>0</v>
      </c>
      <c r="CV27" s="27">
        <f t="shared" si="2"/>
        <v>0</v>
      </c>
      <c r="CW27" s="27">
        <f t="shared" si="2"/>
        <v>0</v>
      </c>
      <c r="CX27" s="27">
        <f t="shared" ref="CX27:DZ27" si="3">COUNTIF(CX6:CX26,"sim")</f>
        <v>0</v>
      </c>
      <c r="CY27" s="27">
        <f t="shared" si="3"/>
        <v>0</v>
      </c>
      <c r="CZ27" s="27">
        <f t="shared" si="3"/>
        <v>0</v>
      </c>
      <c r="DA27" s="27">
        <f t="shared" si="3"/>
        <v>0</v>
      </c>
      <c r="DB27" s="27">
        <f t="shared" si="3"/>
        <v>0</v>
      </c>
      <c r="DC27" s="27">
        <f t="shared" si="3"/>
        <v>0</v>
      </c>
      <c r="DD27" s="27">
        <f t="shared" si="3"/>
        <v>0</v>
      </c>
      <c r="DE27" s="27">
        <f t="shared" si="3"/>
        <v>0</v>
      </c>
      <c r="DF27" s="27">
        <f t="shared" si="3"/>
        <v>0</v>
      </c>
      <c r="DG27" s="27">
        <f t="shared" si="3"/>
        <v>0</v>
      </c>
      <c r="DH27" s="27">
        <f t="shared" si="3"/>
        <v>0</v>
      </c>
      <c r="DI27" s="27">
        <f t="shared" si="3"/>
        <v>0</v>
      </c>
      <c r="DJ27" s="27">
        <f t="shared" si="3"/>
        <v>0</v>
      </c>
      <c r="DK27" s="27">
        <f t="shared" si="3"/>
        <v>0</v>
      </c>
      <c r="DL27" s="27">
        <f t="shared" si="3"/>
        <v>0</v>
      </c>
      <c r="DM27" s="27">
        <f t="shared" si="3"/>
        <v>0</v>
      </c>
      <c r="DN27" s="27">
        <f t="shared" si="3"/>
        <v>0</v>
      </c>
      <c r="DO27" s="27">
        <f t="shared" si="3"/>
        <v>0</v>
      </c>
      <c r="DP27" s="27">
        <f t="shared" si="3"/>
        <v>0</v>
      </c>
      <c r="DQ27" s="27">
        <f t="shared" si="3"/>
        <v>0</v>
      </c>
      <c r="DR27" s="27">
        <f t="shared" si="3"/>
        <v>0</v>
      </c>
      <c r="DS27" s="27">
        <f t="shared" si="3"/>
        <v>0</v>
      </c>
      <c r="DT27" s="27">
        <f t="shared" si="3"/>
        <v>0</v>
      </c>
      <c r="DU27" s="27">
        <f t="shared" si="3"/>
        <v>0</v>
      </c>
      <c r="DV27" s="27">
        <f t="shared" si="3"/>
        <v>0</v>
      </c>
      <c r="DW27" s="27">
        <f t="shared" si="3"/>
        <v>0</v>
      </c>
      <c r="DX27" s="27">
        <f t="shared" si="3"/>
        <v>0</v>
      </c>
      <c r="DY27" s="27">
        <f t="shared" si="3"/>
        <v>0</v>
      </c>
      <c r="DZ27" s="27">
        <f t="shared" si="3"/>
        <v>0</v>
      </c>
    </row>
    <row r="28" spans="1:130" s="28" customFormat="1" ht="15.75">
      <c r="A28" s="56"/>
      <c r="B28" s="61" t="s">
        <v>18</v>
      </c>
      <c r="D28" s="56">
        <f>COUNTIF(D6:D27,"não")</f>
        <v>0</v>
      </c>
      <c r="E28" s="56">
        <f>COUNTIF(E6:E27,"não")</f>
        <v>0</v>
      </c>
      <c r="F28" s="28">
        <f t="shared" ref="F28:AK28" si="4">COUNTIF(F6:F27,"não")</f>
        <v>0</v>
      </c>
      <c r="G28" s="28">
        <f t="shared" si="4"/>
        <v>0</v>
      </c>
      <c r="H28" s="28">
        <f t="shared" si="4"/>
        <v>0</v>
      </c>
      <c r="I28" s="28">
        <f t="shared" si="4"/>
        <v>0</v>
      </c>
      <c r="J28" s="28">
        <f t="shared" si="4"/>
        <v>0</v>
      </c>
      <c r="K28" s="28">
        <f t="shared" si="4"/>
        <v>0</v>
      </c>
      <c r="L28" s="28">
        <f t="shared" si="4"/>
        <v>0</v>
      </c>
      <c r="M28" s="28">
        <f t="shared" si="4"/>
        <v>0</v>
      </c>
      <c r="N28" s="28">
        <f t="shared" si="4"/>
        <v>0</v>
      </c>
      <c r="O28" s="28">
        <f t="shared" si="4"/>
        <v>0</v>
      </c>
      <c r="P28" s="28">
        <f t="shared" si="4"/>
        <v>0</v>
      </c>
      <c r="Q28" s="28">
        <f t="shared" si="4"/>
        <v>0</v>
      </c>
      <c r="R28" s="28">
        <f t="shared" si="4"/>
        <v>0</v>
      </c>
      <c r="S28" s="28">
        <f t="shared" si="4"/>
        <v>0</v>
      </c>
      <c r="T28" s="28">
        <f t="shared" si="4"/>
        <v>0</v>
      </c>
      <c r="U28" s="28">
        <f t="shared" si="4"/>
        <v>0</v>
      </c>
      <c r="V28" s="28">
        <f t="shared" si="4"/>
        <v>0</v>
      </c>
      <c r="W28" s="28">
        <f t="shared" si="4"/>
        <v>0</v>
      </c>
      <c r="X28" s="28">
        <f t="shared" si="4"/>
        <v>0</v>
      </c>
      <c r="Y28" s="28">
        <f t="shared" si="4"/>
        <v>0</v>
      </c>
      <c r="Z28" s="28">
        <f t="shared" si="4"/>
        <v>0</v>
      </c>
      <c r="AA28" s="28">
        <f t="shared" si="4"/>
        <v>0</v>
      </c>
      <c r="AB28" s="28">
        <f t="shared" si="4"/>
        <v>0</v>
      </c>
      <c r="AC28" s="28">
        <f t="shared" si="4"/>
        <v>0</v>
      </c>
      <c r="AD28" s="28">
        <f t="shared" si="4"/>
        <v>0</v>
      </c>
      <c r="AE28" s="28">
        <f t="shared" si="4"/>
        <v>0</v>
      </c>
      <c r="AF28" s="28">
        <f t="shared" si="4"/>
        <v>0</v>
      </c>
      <c r="AG28" s="28">
        <f t="shared" si="4"/>
        <v>0</v>
      </c>
      <c r="AH28" s="28">
        <f t="shared" si="4"/>
        <v>0</v>
      </c>
      <c r="AI28" s="28">
        <f t="shared" si="4"/>
        <v>0</v>
      </c>
      <c r="AJ28" s="28">
        <f t="shared" si="4"/>
        <v>0</v>
      </c>
      <c r="AK28" s="28">
        <f t="shared" si="4"/>
        <v>0</v>
      </c>
      <c r="AL28" s="28">
        <f t="shared" ref="AL28:BQ28" si="5">COUNTIF(AL6:AL27,"não")</f>
        <v>0</v>
      </c>
      <c r="AM28" s="28">
        <f t="shared" si="5"/>
        <v>0</v>
      </c>
      <c r="AN28" s="28">
        <f t="shared" si="5"/>
        <v>0</v>
      </c>
      <c r="AO28" s="28">
        <f t="shared" si="5"/>
        <v>0</v>
      </c>
      <c r="AP28" s="28">
        <f t="shared" si="5"/>
        <v>0</v>
      </c>
      <c r="AQ28" s="28">
        <f t="shared" si="5"/>
        <v>0</v>
      </c>
      <c r="AR28" s="28">
        <f t="shared" si="5"/>
        <v>0</v>
      </c>
      <c r="AS28" s="28">
        <f t="shared" si="5"/>
        <v>0</v>
      </c>
      <c r="AT28" s="28">
        <f t="shared" si="5"/>
        <v>0</v>
      </c>
      <c r="AU28" s="28">
        <f t="shared" si="5"/>
        <v>0</v>
      </c>
      <c r="AV28" s="28">
        <f t="shared" si="5"/>
        <v>0</v>
      </c>
      <c r="AW28" s="28">
        <f t="shared" si="5"/>
        <v>0</v>
      </c>
      <c r="AX28" s="28">
        <f t="shared" si="5"/>
        <v>0</v>
      </c>
      <c r="AY28" s="28">
        <f t="shared" si="5"/>
        <v>0</v>
      </c>
      <c r="AZ28" s="28">
        <f t="shared" si="5"/>
        <v>0</v>
      </c>
      <c r="BA28" s="28">
        <f t="shared" si="5"/>
        <v>0</v>
      </c>
      <c r="BB28" s="28">
        <f t="shared" si="5"/>
        <v>0</v>
      </c>
      <c r="BC28" s="28">
        <f t="shared" si="5"/>
        <v>0</v>
      </c>
      <c r="BD28" s="28">
        <f t="shared" si="5"/>
        <v>0</v>
      </c>
      <c r="BE28" s="28">
        <f t="shared" si="5"/>
        <v>0</v>
      </c>
      <c r="BF28" s="28">
        <f t="shared" si="5"/>
        <v>0</v>
      </c>
      <c r="BG28" s="28">
        <f t="shared" si="5"/>
        <v>0</v>
      </c>
      <c r="BH28" s="28">
        <f t="shared" si="5"/>
        <v>0</v>
      </c>
      <c r="BI28" s="28">
        <f t="shared" si="5"/>
        <v>0</v>
      </c>
      <c r="BJ28" s="28">
        <f t="shared" si="5"/>
        <v>0</v>
      </c>
      <c r="BK28" s="28">
        <f t="shared" si="5"/>
        <v>0</v>
      </c>
      <c r="BL28" s="28">
        <f t="shared" si="5"/>
        <v>0</v>
      </c>
      <c r="BM28" s="28">
        <f t="shared" si="5"/>
        <v>0</v>
      </c>
      <c r="BN28" s="28">
        <f t="shared" si="5"/>
        <v>0</v>
      </c>
      <c r="BO28" s="28">
        <f t="shared" si="5"/>
        <v>0</v>
      </c>
      <c r="BP28" s="28">
        <f t="shared" si="5"/>
        <v>0</v>
      </c>
      <c r="BQ28" s="28">
        <f t="shared" si="5"/>
        <v>0</v>
      </c>
      <c r="BR28" s="28">
        <f t="shared" ref="BR28:CW28" si="6">COUNTIF(BR6:BR27,"não")</f>
        <v>0</v>
      </c>
      <c r="BS28" s="28">
        <f t="shared" si="6"/>
        <v>0</v>
      </c>
      <c r="BT28" s="28">
        <f t="shared" si="6"/>
        <v>0</v>
      </c>
      <c r="BU28" s="28">
        <f t="shared" si="6"/>
        <v>0</v>
      </c>
      <c r="BV28" s="28">
        <f t="shared" si="6"/>
        <v>0</v>
      </c>
      <c r="BW28" s="28">
        <f t="shared" si="6"/>
        <v>0</v>
      </c>
      <c r="BX28" s="28">
        <f t="shared" si="6"/>
        <v>0</v>
      </c>
      <c r="BY28" s="28">
        <f t="shared" si="6"/>
        <v>0</v>
      </c>
      <c r="BZ28" s="28">
        <f t="shared" si="6"/>
        <v>0</v>
      </c>
      <c r="CA28" s="28">
        <f t="shared" si="6"/>
        <v>0</v>
      </c>
      <c r="CB28" s="28">
        <f t="shared" si="6"/>
        <v>0</v>
      </c>
      <c r="CC28" s="28">
        <f t="shared" si="6"/>
        <v>0</v>
      </c>
      <c r="CD28" s="28">
        <f t="shared" si="6"/>
        <v>0</v>
      </c>
      <c r="CE28" s="28">
        <f t="shared" si="6"/>
        <v>0</v>
      </c>
      <c r="CF28" s="28">
        <f t="shared" si="6"/>
        <v>0</v>
      </c>
      <c r="CG28" s="28">
        <f t="shared" si="6"/>
        <v>0</v>
      </c>
      <c r="CH28" s="28">
        <f t="shared" si="6"/>
        <v>0</v>
      </c>
      <c r="CI28" s="28">
        <f t="shared" si="6"/>
        <v>0</v>
      </c>
      <c r="CJ28" s="28">
        <f t="shared" si="6"/>
        <v>0</v>
      </c>
      <c r="CK28" s="28">
        <f t="shared" si="6"/>
        <v>0</v>
      </c>
      <c r="CL28" s="28">
        <f t="shared" si="6"/>
        <v>0</v>
      </c>
      <c r="CM28" s="28">
        <f t="shared" si="6"/>
        <v>0</v>
      </c>
      <c r="CN28" s="28">
        <f t="shared" si="6"/>
        <v>0</v>
      </c>
      <c r="CO28" s="28">
        <f t="shared" si="6"/>
        <v>0</v>
      </c>
      <c r="CP28" s="28">
        <f t="shared" si="6"/>
        <v>0</v>
      </c>
      <c r="CQ28" s="28">
        <f t="shared" si="6"/>
        <v>0</v>
      </c>
      <c r="CR28" s="28">
        <f t="shared" si="6"/>
        <v>0</v>
      </c>
      <c r="CS28" s="28">
        <f t="shared" si="6"/>
        <v>0</v>
      </c>
      <c r="CT28" s="28">
        <f t="shared" si="6"/>
        <v>0</v>
      </c>
      <c r="CU28" s="28">
        <f t="shared" si="6"/>
        <v>0</v>
      </c>
      <c r="CV28" s="28">
        <f t="shared" si="6"/>
        <v>0</v>
      </c>
      <c r="CW28" s="28">
        <f t="shared" si="6"/>
        <v>0</v>
      </c>
      <c r="CX28" s="28">
        <f t="shared" ref="CX28:DZ28" si="7">COUNTIF(CX6:CX27,"não")</f>
        <v>0</v>
      </c>
      <c r="CY28" s="28">
        <f t="shared" si="7"/>
        <v>0</v>
      </c>
      <c r="CZ28" s="28">
        <f t="shared" si="7"/>
        <v>0</v>
      </c>
      <c r="DA28" s="28">
        <f t="shared" si="7"/>
        <v>0</v>
      </c>
      <c r="DB28" s="28">
        <f t="shared" si="7"/>
        <v>0</v>
      </c>
      <c r="DC28" s="28">
        <f t="shared" si="7"/>
        <v>0</v>
      </c>
      <c r="DD28" s="28">
        <f t="shared" si="7"/>
        <v>0</v>
      </c>
      <c r="DE28" s="28">
        <f t="shared" si="7"/>
        <v>0</v>
      </c>
      <c r="DF28" s="28">
        <f t="shared" si="7"/>
        <v>0</v>
      </c>
      <c r="DG28" s="28">
        <f t="shared" si="7"/>
        <v>0</v>
      </c>
      <c r="DH28" s="28">
        <f t="shared" si="7"/>
        <v>0</v>
      </c>
      <c r="DI28" s="28">
        <f t="shared" si="7"/>
        <v>0</v>
      </c>
      <c r="DJ28" s="28">
        <f t="shared" si="7"/>
        <v>0</v>
      </c>
      <c r="DK28" s="28">
        <f t="shared" si="7"/>
        <v>0</v>
      </c>
      <c r="DL28" s="28">
        <f t="shared" si="7"/>
        <v>0</v>
      </c>
      <c r="DM28" s="28">
        <f t="shared" si="7"/>
        <v>0</v>
      </c>
      <c r="DN28" s="28">
        <f t="shared" si="7"/>
        <v>0</v>
      </c>
      <c r="DO28" s="28">
        <f t="shared" si="7"/>
        <v>0</v>
      </c>
      <c r="DP28" s="28">
        <f t="shared" si="7"/>
        <v>0</v>
      </c>
      <c r="DQ28" s="28">
        <f t="shared" si="7"/>
        <v>0</v>
      </c>
      <c r="DR28" s="28">
        <f t="shared" si="7"/>
        <v>0</v>
      </c>
      <c r="DS28" s="28">
        <f t="shared" si="7"/>
        <v>0</v>
      </c>
      <c r="DT28" s="28">
        <f t="shared" si="7"/>
        <v>0</v>
      </c>
      <c r="DU28" s="28">
        <f t="shared" si="7"/>
        <v>0</v>
      </c>
      <c r="DV28" s="28">
        <f t="shared" si="7"/>
        <v>0</v>
      </c>
      <c r="DW28" s="28">
        <f t="shared" si="7"/>
        <v>0</v>
      </c>
      <c r="DX28" s="28">
        <f t="shared" si="7"/>
        <v>0</v>
      </c>
      <c r="DY28" s="28">
        <f t="shared" si="7"/>
        <v>0</v>
      </c>
      <c r="DZ28" s="28">
        <f t="shared" si="7"/>
        <v>0</v>
      </c>
    </row>
    <row r="29" spans="1:130" ht="15.75">
      <c r="A29" s="57"/>
      <c r="B29" s="62" t="s">
        <v>9</v>
      </c>
      <c r="D29" s="57">
        <f>COUNTIF(D7:D28,"ausente")</f>
        <v>4</v>
      </c>
      <c r="E29" s="57">
        <f>COUNTIF(E7:E28,"ausente")</f>
        <v>4</v>
      </c>
      <c r="F29">
        <f>COUNTIF(F7:F28,"ausente")</f>
        <v>0</v>
      </c>
      <c r="G29">
        <v>6</v>
      </c>
      <c r="H29">
        <v>6</v>
      </c>
      <c r="I29">
        <v>6</v>
      </c>
      <c r="J29">
        <v>6</v>
      </c>
      <c r="K29">
        <f t="shared" ref="K29:AP29" si="8">COUNTIF(K7:K28,"ausente")</f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ref="AQ29:BV29" si="9">COUNTIF(AQ7:AQ28,"ausente")</f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si="9"/>
        <v>0</v>
      </c>
      <c r="BW29">
        <f t="shared" ref="BW29:DB29" si="10">COUNTIF(BW7:BW28,"ausente")</f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si="10"/>
        <v>0</v>
      </c>
      <c r="DC29">
        <f t="shared" ref="DC29:DZ29" si="11">COUNTIF(DC7:DC28,"ausente")</f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  <c r="DT29">
        <f t="shared" si="11"/>
        <v>0</v>
      </c>
      <c r="DU29">
        <f t="shared" si="11"/>
        <v>0</v>
      </c>
      <c r="DV29">
        <f t="shared" si="11"/>
        <v>0</v>
      </c>
      <c r="DW29">
        <f t="shared" si="11"/>
        <v>0</v>
      </c>
      <c r="DX29">
        <f t="shared" si="11"/>
        <v>0</v>
      </c>
      <c r="DY29">
        <f t="shared" si="11"/>
        <v>0</v>
      </c>
      <c r="DZ29">
        <f t="shared" si="11"/>
        <v>0</v>
      </c>
    </row>
    <row r="30" spans="1:130" s="29" customFormat="1" ht="15.75">
      <c r="A30" s="58"/>
      <c r="B30" s="63" t="s">
        <v>19</v>
      </c>
      <c r="D30" s="58">
        <f>COUNTIF(D8:D29,"abstenção")</f>
        <v>0</v>
      </c>
      <c r="E30" s="58">
        <f>COUNTIF(E8:E29,"abstenção")</f>
        <v>0</v>
      </c>
      <c r="F30" s="29">
        <f t="shared" ref="F30:AK30" si="12">COUNTIF(F8:F29,"abstenção")</f>
        <v>0</v>
      </c>
      <c r="G30" s="29">
        <f t="shared" si="12"/>
        <v>0</v>
      </c>
      <c r="H30" s="29">
        <f t="shared" si="12"/>
        <v>0</v>
      </c>
      <c r="I30" s="29">
        <f t="shared" si="12"/>
        <v>0</v>
      </c>
      <c r="J30" s="29">
        <f t="shared" si="12"/>
        <v>0</v>
      </c>
      <c r="K30" s="29">
        <f t="shared" si="12"/>
        <v>0</v>
      </c>
      <c r="L30" s="29">
        <f t="shared" si="12"/>
        <v>0</v>
      </c>
      <c r="M30" s="29">
        <f t="shared" si="12"/>
        <v>0</v>
      </c>
      <c r="N30" s="29">
        <f t="shared" si="12"/>
        <v>0</v>
      </c>
      <c r="O30" s="29">
        <f t="shared" si="12"/>
        <v>0</v>
      </c>
      <c r="P30" s="29">
        <f t="shared" si="12"/>
        <v>0</v>
      </c>
      <c r="Q30" s="29">
        <f t="shared" si="12"/>
        <v>0</v>
      </c>
      <c r="R30" s="29">
        <f t="shared" si="12"/>
        <v>0</v>
      </c>
      <c r="S30" s="29">
        <f t="shared" si="12"/>
        <v>0</v>
      </c>
      <c r="T30" s="29">
        <f t="shared" si="12"/>
        <v>0</v>
      </c>
      <c r="U30" s="29">
        <f t="shared" si="12"/>
        <v>0</v>
      </c>
      <c r="V30" s="29">
        <f t="shared" si="12"/>
        <v>0</v>
      </c>
      <c r="W30" s="29">
        <f t="shared" si="12"/>
        <v>0</v>
      </c>
      <c r="X30" s="29">
        <f t="shared" si="12"/>
        <v>0</v>
      </c>
      <c r="Y30" s="29">
        <f t="shared" si="12"/>
        <v>0</v>
      </c>
      <c r="Z30" s="29">
        <f t="shared" si="12"/>
        <v>0</v>
      </c>
      <c r="AA30" s="29">
        <f t="shared" si="12"/>
        <v>0</v>
      </c>
      <c r="AB30" s="29">
        <f t="shared" si="12"/>
        <v>0</v>
      </c>
      <c r="AC30" s="29">
        <f t="shared" si="12"/>
        <v>0</v>
      </c>
      <c r="AD30" s="29">
        <f t="shared" si="12"/>
        <v>0</v>
      </c>
      <c r="AE30" s="29">
        <f t="shared" si="12"/>
        <v>0</v>
      </c>
      <c r="AF30" s="29">
        <f t="shared" si="12"/>
        <v>0</v>
      </c>
      <c r="AG30" s="29">
        <f t="shared" si="12"/>
        <v>0</v>
      </c>
      <c r="AH30" s="29">
        <f t="shared" si="12"/>
        <v>0</v>
      </c>
      <c r="AI30" s="29">
        <f t="shared" si="12"/>
        <v>0</v>
      </c>
      <c r="AJ30" s="29">
        <f t="shared" si="12"/>
        <v>0</v>
      </c>
      <c r="AK30" s="29">
        <f t="shared" si="12"/>
        <v>0</v>
      </c>
      <c r="AL30" s="29">
        <f t="shared" ref="AL30:BO30" si="13">COUNTIF(AL8:AL29,"abstenção")</f>
        <v>0</v>
      </c>
      <c r="AM30" s="29">
        <f t="shared" si="13"/>
        <v>0</v>
      </c>
      <c r="AN30" s="29">
        <f t="shared" si="13"/>
        <v>0</v>
      </c>
      <c r="AO30" s="29">
        <f t="shared" si="13"/>
        <v>0</v>
      </c>
      <c r="AP30" s="29">
        <f t="shared" si="13"/>
        <v>0</v>
      </c>
      <c r="AQ30" s="29">
        <f t="shared" si="13"/>
        <v>0</v>
      </c>
      <c r="AR30" s="29">
        <f t="shared" si="13"/>
        <v>0</v>
      </c>
      <c r="AS30" s="29">
        <f t="shared" si="13"/>
        <v>0</v>
      </c>
      <c r="AT30" s="29">
        <f t="shared" si="13"/>
        <v>0</v>
      </c>
      <c r="AU30" s="29">
        <f t="shared" si="13"/>
        <v>0</v>
      </c>
      <c r="AV30" s="29">
        <f t="shared" si="13"/>
        <v>0</v>
      </c>
      <c r="AW30" s="29">
        <f t="shared" si="13"/>
        <v>0</v>
      </c>
      <c r="AX30" s="29">
        <f t="shared" si="13"/>
        <v>0</v>
      </c>
      <c r="AY30" s="29">
        <f t="shared" si="13"/>
        <v>0</v>
      </c>
      <c r="AZ30" s="29">
        <f t="shared" si="13"/>
        <v>0</v>
      </c>
      <c r="BA30" s="29">
        <f t="shared" si="13"/>
        <v>0</v>
      </c>
      <c r="BB30" s="29">
        <f t="shared" si="13"/>
        <v>0</v>
      </c>
      <c r="BC30" s="29">
        <f t="shared" si="13"/>
        <v>0</v>
      </c>
      <c r="BD30" s="29">
        <f t="shared" si="13"/>
        <v>0</v>
      </c>
      <c r="BE30" s="29">
        <f t="shared" si="13"/>
        <v>0</v>
      </c>
      <c r="BF30" s="29">
        <f t="shared" si="13"/>
        <v>0</v>
      </c>
      <c r="BG30" s="29">
        <f t="shared" si="13"/>
        <v>0</v>
      </c>
      <c r="BH30" s="29">
        <f t="shared" si="13"/>
        <v>0</v>
      </c>
      <c r="BI30" s="29">
        <f t="shared" si="13"/>
        <v>0</v>
      </c>
      <c r="BJ30" s="29">
        <f t="shared" si="13"/>
        <v>0</v>
      </c>
      <c r="BK30" s="29">
        <f t="shared" si="13"/>
        <v>0</v>
      </c>
      <c r="BL30" s="29">
        <f t="shared" si="13"/>
        <v>0</v>
      </c>
      <c r="BM30" s="29">
        <f t="shared" si="13"/>
        <v>0</v>
      </c>
      <c r="BN30" s="29">
        <f t="shared" si="13"/>
        <v>0</v>
      </c>
      <c r="BO30" s="29">
        <f t="shared" si="13"/>
        <v>0</v>
      </c>
      <c r="BP30" s="29">
        <f t="shared" ref="BP30:DZ30" si="14">COUNTIF(BP8:BP29,"abstenção")</f>
        <v>0</v>
      </c>
      <c r="BQ30" s="29">
        <f t="shared" si="14"/>
        <v>0</v>
      </c>
      <c r="BR30" s="29">
        <f t="shared" si="14"/>
        <v>0</v>
      </c>
      <c r="BS30" s="29">
        <f t="shared" si="14"/>
        <v>0</v>
      </c>
      <c r="BT30" s="29">
        <f t="shared" si="14"/>
        <v>0</v>
      </c>
      <c r="BU30" s="29">
        <f t="shared" si="14"/>
        <v>0</v>
      </c>
      <c r="BV30" s="29">
        <f t="shared" si="14"/>
        <v>0</v>
      </c>
      <c r="BW30" s="29">
        <f t="shared" si="14"/>
        <v>0</v>
      </c>
      <c r="BX30" s="29">
        <f t="shared" si="14"/>
        <v>0</v>
      </c>
      <c r="BY30" s="29">
        <f t="shared" si="14"/>
        <v>0</v>
      </c>
      <c r="BZ30" s="29">
        <f t="shared" si="14"/>
        <v>0</v>
      </c>
      <c r="CA30" s="29">
        <f t="shared" si="14"/>
        <v>0</v>
      </c>
      <c r="CB30" s="29">
        <f t="shared" si="14"/>
        <v>0</v>
      </c>
      <c r="CC30" s="29">
        <f t="shared" si="14"/>
        <v>0</v>
      </c>
      <c r="CD30" s="29">
        <f t="shared" si="14"/>
        <v>0</v>
      </c>
      <c r="CE30" s="29">
        <f t="shared" si="14"/>
        <v>0</v>
      </c>
      <c r="CF30" s="29">
        <f t="shared" si="14"/>
        <v>0</v>
      </c>
      <c r="CG30" s="29">
        <f t="shared" si="14"/>
        <v>0</v>
      </c>
      <c r="CH30" s="29">
        <f t="shared" si="14"/>
        <v>0</v>
      </c>
      <c r="CI30" s="29">
        <f t="shared" si="14"/>
        <v>0</v>
      </c>
      <c r="CJ30" s="29">
        <f t="shared" si="14"/>
        <v>0</v>
      </c>
      <c r="CK30" s="29">
        <f t="shared" si="14"/>
        <v>0</v>
      </c>
      <c r="CL30" s="29">
        <f t="shared" si="14"/>
        <v>0</v>
      </c>
      <c r="CM30" s="29">
        <f t="shared" si="14"/>
        <v>0</v>
      </c>
      <c r="CN30" s="29">
        <f t="shared" si="14"/>
        <v>0</v>
      </c>
      <c r="CO30" s="29">
        <f t="shared" si="14"/>
        <v>0</v>
      </c>
      <c r="CP30" s="29">
        <f t="shared" si="14"/>
        <v>0</v>
      </c>
      <c r="CQ30" s="29">
        <f t="shared" si="14"/>
        <v>0</v>
      </c>
      <c r="CR30" s="29">
        <f t="shared" si="14"/>
        <v>0</v>
      </c>
      <c r="CS30" s="29">
        <f t="shared" si="14"/>
        <v>0</v>
      </c>
      <c r="CT30" s="29">
        <f t="shared" si="14"/>
        <v>0</v>
      </c>
      <c r="CU30" s="29">
        <f t="shared" si="14"/>
        <v>0</v>
      </c>
      <c r="CV30" s="29">
        <f t="shared" si="14"/>
        <v>0</v>
      </c>
      <c r="CW30" s="29">
        <f t="shared" si="14"/>
        <v>0</v>
      </c>
      <c r="CX30" s="29">
        <f t="shared" si="14"/>
        <v>0</v>
      </c>
      <c r="CY30" s="29">
        <f t="shared" si="14"/>
        <v>0</v>
      </c>
      <c r="CZ30" s="29">
        <f t="shared" si="14"/>
        <v>0</v>
      </c>
      <c r="DA30" s="29">
        <f t="shared" si="14"/>
        <v>0</v>
      </c>
      <c r="DB30" s="29">
        <f t="shared" si="14"/>
        <v>0</v>
      </c>
      <c r="DC30" s="29">
        <f t="shared" si="14"/>
        <v>0</v>
      </c>
      <c r="DD30" s="29">
        <f t="shared" si="14"/>
        <v>0</v>
      </c>
      <c r="DE30" s="29">
        <f t="shared" si="14"/>
        <v>0</v>
      </c>
      <c r="DF30" s="29">
        <f t="shared" si="14"/>
        <v>0</v>
      </c>
      <c r="DG30" s="29">
        <f t="shared" si="14"/>
        <v>0</v>
      </c>
      <c r="DH30" s="29">
        <f t="shared" si="14"/>
        <v>0</v>
      </c>
      <c r="DI30" s="29">
        <f t="shared" si="14"/>
        <v>0</v>
      </c>
      <c r="DJ30" s="29">
        <f t="shared" si="14"/>
        <v>0</v>
      </c>
      <c r="DK30" s="29">
        <f t="shared" si="14"/>
        <v>0</v>
      </c>
      <c r="DL30" s="29">
        <f t="shared" si="14"/>
        <v>0</v>
      </c>
      <c r="DM30" s="29">
        <f t="shared" si="14"/>
        <v>0</v>
      </c>
      <c r="DN30" s="29">
        <f t="shared" si="14"/>
        <v>0</v>
      </c>
      <c r="DO30" s="29">
        <f t="shared" si="14"/>
        <v>0</v>
      </c>
      <c r="DP30" s="29">
        <f t="shared" si="14"/>
        <v>0</v>
      </c>
      <c r="DQ30" s="29">
        <f t="shared" si="14"/>
        <v>0</v>
      </c>
      <c r="DR30" s="29">
        <f t="shared" si="14"/>
        <v>0</v>
      </c>
      <c r="DS30" s="29">
        <f t="shared" si="14"/>
        <v>0</v>
      </c>
      <c r="DT30" s="29">
        <f t="shared" si="14"/>
        <v>0</v>
      </c>
      <c r="DU30" s="29">
        <f t="shared" si="14"/>
        <v>0</v>
      </c>
      <c r="DV30" s="29">
        <f t="shared" si="14"/>
        <v>0</v>
      </c>
      <c r="DW30" s="29">
        <f t="shared" si="14"/>
        <v>0</v>
      </c>
      <c r="DX30" s="29">
        <f t="shared" si="14"/>
        <v>0</v>
      </c>
      <c r="DY30" s="29">
        <f t="shared" si="14"/>
        <v>0</v>
      </c>
      <c r="DZ30" s="29">
        <f t="shared" si="14"/>
        <v>0</v>
      </c>
    </row>
    <row r="32" spans="1:130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2026-10-06T16:35:20Z</dcterms:modified>
</cp:coreProperties>
</file>