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5EA33770-9A3A-440B-B6D0-65B58E84F689}" xr6:coauthVersionLast="47" xr6:coauthVersionMax="47" xr10:uidLastSave="{00000000-0000-0000-0000-000000000000}"/>
  <bookViews>
    <workbookView xWindow="-120" yWindow="-120" windowWidth="29040" windowHeight="15720" tabRatio="849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F27" i="2"/>
  <c r="G27" i="2"/>
  <c r="F28" i="2"/>
  <c r="G28" i="2"/>
  <c r="F29" i="2"/>
  <c r="G29" i="2"/>
  <c r="F30" i="2"/>
  <c r="G30" i="2"/>
  <c r="E27" i="2"/>
  <c r="E28" i="2"/>
  <c r="E29" i="2"/>
  <c r="E30" i="2"/>
  <c r="D27" i="3"/>
  <c r="D28" i="3"/>
  <c r="D29" i="3"/>
  <c r="D30" i="3"/>
  <c r="C27" i="3" l="1"/>
  <c r="C28" i="3"/>
  <c r="C29" i="3"/>
  <c r="C30" i="3"/>
  <c r="E28" i="10" l="1"/>
  <c r="E29" i="10"/>
  <c r="E30" i="10"/>
  <c r="E31" i="10"/>
  <c r="C27" i="2" l="1"/>
  <c r="C28" i="2"/>
  <c r="C29" i="2"/>
  <c r="C30" i="2"/>
  <c r="H27" i="2"/>
  <c r="H28" i="2"/>
  <c r="H29" i="2"/>
  <c r="H30" i="2"/>
  <c r="A4" i="14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<sst xmlns="http://schemas.openxmlformats.org/spreadsheetml/2006/main" count="482" uniqueCount="131">
  <si>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</si>
  <si>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</si>
  <si>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</si>
  <si>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</si>
  <si>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</si>
  <si>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</si>
  <si>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</si>
  <si>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</si>
  <si>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</si>
  <si>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</si>
  <si>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</si>
  <si>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</si>
  <si>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</si>
  <si>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</si>
  <si>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</si>
  <si>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</si>
  <si>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</si>
  <si>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</si>
  <si>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</si>
  <si>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</si>
  <si>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</si>
  <si>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</si>
  <si>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</si>
  <si>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</si>
  <si>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</si>
  <si>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</si>
  <si>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</si>
  <si>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</si>
  <si>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</si>
  <si>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</si>
  <si>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</si>
  <si>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</si>
  <si>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</si>
  <si>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</si>
  <si>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</si>
  <si>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</si>
  <si>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</si>
  <si>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</si>
  <si>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</si>
  <si>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</si>
  <si>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</si>
  <si>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</si>
  <si>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</si>
  <si>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</si>
  <si>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</si>
  <si>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</si>
  <si>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</si>
  <si>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</si>
  <si>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</si>
  <si>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</si>
  <si>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</si>
  <si>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</si>
  <si>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</si>
  <si>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</si>
  <si>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</si>
  <si>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</si>
  <si>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</si>
  <si>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</si>
  <si>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</si>
  <si>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</si>
  <si>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</si>
  <si>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</si>
  <si>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</si>
  <si>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</si>
  <si>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</si>
  <si>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</si>
  <si>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</si>
  <si>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</si>
  <si>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</si>
  <si>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</si>
  <si>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</si>
  <si>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</si>
  <si>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</si>
  <si>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</si>
  <si>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</si>
  <si>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</si>
  <si>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</si>
  <si>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</si>
  <si>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</si>
  <si>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</si>
  <si>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</si>
  <si>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</si>
  <si>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</si>
  <si>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</si>
  <si>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</si>
  <si>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</si>
  <si>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</si>
  <si>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</si>
  <si>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</si>
  <si>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</si>
  <si>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</si>
  <si>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</si>
  <si>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</si>
  <si>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</si>
  <si>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</si>
  <si>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</si>
  <si>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</si>
  <si>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</si>
  <si>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na presidência</t>
  </si>
  <si>
    <t>Hélder Oliveira</t>
  </si>
  <si>
    <t>pela ausência do autor, será pautada na próxima sessão.</t>
  </si>
  <si>
    <t>Justicativa de ausência da Vereadora Lúcia da Saúde.</t>
  </si>
  <si>
    <r>
      <t xml:space="preserve">PROJETO DE LEI Nº 92/2025 - LÚCIA DA SAÚDE – </t>
    </r>
    <r>
      <rPr>
        <sz val="14"/>
        <color theme="1"/>
        <rFont val="Arial"/>
        <family val="2"/>
      </rPr>
      <t xml:space="preserve">Institui o Dia Mundial das Doenças Raras no Município de Osasco. </t>
    </r>
  </si>
  <si>
    <t>pela ausência da autora, será pautada na próxima sessão</t>
  </si>
  <si>
    <t>Justicativa de ausência do Vereador Heber do Juntoz.</t>
  </si>
  <si>
    <r>
      <t xml:space="preserve">MOÇÃO DE CONGRATULAÇÕES Nº 420/2025 – STEPHANE ROSSI - </t>
    </r>
    <r>
      <rPr>
        <sz val="11"/>
        <color theme="1"/>
        <rFont val="Arial"/>
        <family val="2"/>
      </rPr>
      <t>Ao Dia do Administrador, comemorado em 9 de setembro.</t>
    </r>
  </si>
  <si>
    <r>
      <t xml:space="preserve">MOÇÃO DE APLAUSOS Nº 421/2025 – PAULO JÚNIOR – </t>
    </r>
    <r>
      <rPr>
        <sz val="11"/>
        <color theme="1"/>
        <rFont val="Arial"/>
        <family val="2"/>
      </rPr>
      <t>Ao Sr. Valdemir da Silva Assis, motorista de caminhão-pipa que parou o veículo no meio da Marginal Tietê, para apagar as chamas de um carro que pegou fogo, em um ato de amor ao próximo que viralizou em todo Brasil.</t>
    </r>
  </si>
  <si>
    <r>
      <t xml:space="preserve">MOÇÃO DE APLAUSOS Nº 430/2025 – JOSIAS DA JUCO - </t>
    </r>
    <r>
      <rPr>
        <sz val="11"/>
        <color theme="1"/>
        <rFont val="Arial"/>
        <family val="2"/>
      </rPr>
      <t>À Secretaria de Educação, na pessoa do Secretário José Toste, pelo resultado conquistado no índice de Excelência Educacional.</t>
    </r>
  </si>
  <si>
    <r>
      <t xml:space="preserve">PROJETO DE DECRETO LEGISLATIVO Nº 63/2024 – PAULO JÚNIOR - </t>
    </r>
    <r>
      <rPr>
        <sz val="11"/>
        <color theme="1"/>
        <rFont val="Arial"/>
        <family val="2"/>
      </rPr>
      <t xml:space="preserve">Dispõe sobre a concessão de Placa Comemorativa à Igreja Nova Jerusalém Osasco. </t>
    </r>
  </si>
  <si>
    <t>pela ausência do autor, será pautado na próxima sessão</t>
  </si>
  <si>
    <t>49ª SESSÃO ORDINÁRIA</t>
  </si>
  <si>
    <t>DIA 11 DE SETEMBRO DE 2025 - QUINTA-FEIRA</t>
  </si>
  <si>
    <t>Justicativa de ausência da Vereadora Elania Silva.</t>
  </si>
  <si>
    <t>Mensagem de Veto Prolegis Nº 12/2025 - Prefeito do Município de Osasco – Informa o veto total referente ao Projeto de Lei nº 56/2025, de autoria do vereador Pedrinho Cantagessi, que dispõe sobre alteração de denominação da Viela Janete Clair, localizada no Jardim Bandeiras, que passa a denominar-se Viela Willian Gomes de Sousa.</t>
  </si>
  <si>
    <t xml:space="preserve">Ofício Prolegis nº 2025 – 31 75 11 31– Prefeito do Município de Osasco – Informa a sanção da Lei nº 5.416, de 9 de setembro de 2025, referente ao Projeto de Lei nº 136/2025, de autoria dos vereadores Lúcia da Saúde e Josias da Juco, que declara “Cidades-irmãs” o Município de Osasco – SP e o Município de Cedro - CE. </t>
  </si>
  <si>
    <r>
      <t>MOÇÃO DE CONGRATULAÇÕES Nº 424/2025 – PAULO JÚNIOR -</t>
    </r>
    <r>
      <rPr>
        <sz val="11"/>
        <color theme="1"/>
        <rFont val="Arial"/>
        <family val="2"/>
      </rPr>
      <t xml:space="preserve"> À Escola Municipal de Ensino Fundamental Oscar Pennacino, cuja história de quase quatro décadas se confunde com a luta diária por uma educação humana, transformadora e de qualidade.</t>
    </r>
  </si>
  <si>
    <r>
      <t>MOÇÃO DE APLAUSOS Nº 425/2025 – DÉLBIO TERUEL –</t>
    </r>
    <r>
      <rPr>
        <sz val="11"/>
        <color theme="1"/>
        <rFont val="Arial"/>
        <family val="2"/>
      </rPr>
      <t xml:space="preserve"> À Sra. Kelly Sthefany Soares por sua inspiradora trajetória de vida e carreira profissional, marcada pela dedicação, superação e exemplo de determinação para toda a comunidade osasquense.</t>
    </r>
  </si>
  <si>
    <r>
      <t xml:space="preserve">MOÇÃO DE APLAUSOS Nº 416/2025 – STEPHANE ROSSI – </t>
    </r>
    <r>
      <rPr>
        <sz val="11"/>
        <color theme="1"/>
        <rFont val="Arial"/>
        <family val="2"/>
      </rPr>
      <t>À empresa Udiaço Comércio de Aços Ltda, pela celebração de 36 anos de sua fundação.</t>
    </r>
  </si>
  <si>
    <r>
      <t xml:space="preserve">MOÇÃO DE CONGRATULAÇÕES Nº 432/2025 – DÉLBIO TERUEL - </t>
    </r>
    <r>
      <rPr>
        <sz val="11"/>
        <color theme="1"/>
        <rFont val="Arial"/>
        <family val="2"/>
      </rPr>
      <t>Ao Sport Clube Corinthians da Vila Yara, carinhosamente chamado de Corinthinha pelos 76 anos de existência, destacando sua relevância esportiva, social e comunitária no município de Osasco.</t>
    </r>
  </si>
  <si>
    <r>
      <t>MOÇÃO DE PESAR Nº 435/2025 – HÉLDER OLIVEIRA-</t>
    </r>
    <r>
      <rPr>
        <sz val="11"/>
        <color theme="1"/>
        <rFont val="Arial"/>
        <family val="2"/>
      </rPr>
      <t xml:space="preserve"> Pelo falecimento da Sra. Maria Elisabete Silveira Brito de Oliveira, ocorrido em 25 de março de 2025.</t>
    </r>
  </si>
  <si>
    <r>
      <t xml:space="preserve">MOÇÃO DE CONGRATULAÇÕES Nº 438/2025 – ELSA OLIVEIRA – </t>
    </r>
    <r>
      <rPr>
        <sz val="11"/>
        <color theme="1"/>
        <rFont val="Arial"/>
        <family val="2"/>
      </rPr>
      <t>Aos profissionais que atuam na comercialização e preparo de cachorro-quente (Dogueiros) no município de Osasco, em reconhecimento ao seu trabalho, dedicação e contribuição para a cultura gastronômica e social da cidade e pelo “Dia do Cachorro-Quente”, celebrado em 9 de setembro.</t>
    </r>
  </si>
  <si>
    <r>
      <t xml:space="preserve">MOÇÃO DE APLAUSOS Nº 440/2025 – ALEXANDRE CAPRIOTTI - </t>
    </r>
    <r>
      <rPr>
        <sz val="11"/>
        <color theme="1"/>
        <rFont val="Arial"/>
        <family val="2"/>
      </rPr>
      <t>Pelo “Dia Nacional do Médico Veterinário” comemorado em 9 de setembro.</t>
    </r>
  </si>
  <si>
    <r>
      <t xml:space="preserve">MOÇÃO DE RECONHECIMENTO Nº 441/2025 – GABRIEL SAÚDE – </t>
    </r>
    <r>
      <rPr>
        <sz val="11"/>
        <color theme="1"/>
        <rFont val="Arial"/>
        <family val="2"/>
      </rPr>
      <t>A Rubens Vieira, o Mestre Rubão, pelos relevantes serviços prestados à cidade por meio da capoeira e de seu legado cultural, social e esportivo.</t>
    </r>
  </si>
  <si>
    <r>
      <t xml:space="preserve">PROJETO DE LEI Nº 141/25 - BATISTA COMUNIDADE - </t>
    </r>
    <r>
      <rPr>
        <sz val="14"/>
        <color theme="1"/>
        <rFont val="Arial"/>
        <family val="2"/>
      </rPr>
      <t>Institui o Dia Municipal do Opala.</t>
    </r>
  </si>
  <si>
    <r>
      <t>PROJETO DE LEI Nº 144/25 - STEPHANE ROSSI -</t>
    </r>
    <r>
      <rPr>
        <sz val="14"/>
        <color theme="1"/>
        <rFont val="Arial"/>
        <family val="2"/>
      </rPr>
      <t xml:space="preserve"> Institui a Semana Municipal de Incentivo à Adoção de Crianças e Adolescentes.</t>
    </r>
  </si>
  <si>
    <r>
      <t>PROJETO DE LEI Nº 145/2025 – GUILHERME PRADO -</t>
    </r>
    <r>
      <rPr>
        <sz val="14"/>
        <color theme="1"/>
        <rFont val="Arial"/>
        <family val="2"/>
      </rPr>
      <t xml:space="preserve"> Institui a Semana municipal da Mãe Atípica.</t>
    </r>
  </si>
  <si>
    <t>APROVADO
VOTAÇÃO SIMBÓLICA</t>
  </si>
  <si>
    <r>
      <t>PROJETO DE LEI Nº 93/2025 - LÚCIA DA SAÚDE –</t>
    </r>
    <r>
      <rPr>
        <sz val="11"/>
        <color theme="1"/>
        <rFont val="Arial"/>
        <family val="2"/>
      </rPr>
      <t xml:space="preserve"> Institui a Semana de Prevenção e Apoio à Ansiedade no Município de Osasco.</t>
    </r>
  </si>
  <si>
    <r>
      <t xml:space="preserve">PROJETO DE LEI Nº 120/2025 – PREFEITO DO MUNICÍPIO DE OSASCO –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</si>
  <si>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DECRETO LEGISLATIVO Nº 33/2025 – PEDRINHO CANTAGESSI - </t>
    </r>
    <r>
      <rPr>
        <sz val="11"/>
        <color theme="1"/>
        <rFont val="Arial"/>
        <family val="2"/>
      </rPr>
      <t>Dispõe sobre a concessão de Placa Comemorativa ao Instituto Sophia Verselli – ISV.</t>
    </r>
  </si>
  <si>
    <r>
      <t xml:space="preserve">PROJETO DE DECRETO LEGISLATIVO Nº 34/2025 – PEDRINHO CANTAGESSI - </t>
    </r>
    <r>
      <rPr>
        <sz val="11"/>
        <color theme="1"/>
        <rFont val="Arial"/>
        <family val="2"/>
      </rPr>
      <t>Dispõe sobre a concessão de Placa Comemorativa a Barbearia Morales.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</si>
</sst>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3" sqref="A5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110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111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90</v>
      </c>
      <c r="D4" s="92"/>
      <c r="E4" s="92"/>
      <c r="F4" s="44"/>
      <c r="G4" s="43" t="s">
        <v>53</v>
      </c>
      <c r="H4" s="43"/>
      <c r="I4" s="69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54</v>
      </c>
      <c r="B5" s="88">
        <v>2</v>
      </c>
      <c r="C5" s="102" t="s">
        <v>56</v>
      </c>
      <c r="D5" s="63"/>
      <c r="E5" s="62"/>
      <c r="F5" s="88">
        <v>1</v>
      </c>
      <c r="G5" s="62" t="s">
        <v>55</v>
      </c>
      <c r="H5" s="63"/>
      <c r="I5" s="62"/>
      <c r="J5" s="63">
        <v>1</v>
      </c>
      <c r="K5" s="62" t="s">
        <v>55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94</v>
      </c>
      <c r="B6" s="88">
        <v>2</v>
      </c>
      <c r="C6" s="102" t="s">
        <v>56</v>
      </c>
      <c r="D6" s="63"/>
      <c r="E6" s="102"/>
      <c r="F6" s="88">
        <v>2</v>
      </c>
      <c r="G6" s="102" t="s">
        <v>56</v>
      </c>
      <c r="H6" s="63"/>
      <c r="I6" s="62"/>
      <c r="J6" s="63">
        <v>1</v>
      </c>
      <c r="K6" s="62" t="s">
        <v>55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57</v>
      </c>
      <c r="B7" s="88">
        <v>1</v>
      </c>
      <c r="C7" s="62" t="s">
        <v>55</v>
      </c>
      <c r="D7" s="63"/>
      <c r="E7" s="62"/>
      <c r="F7" s="88">
        <v>2</v>
      </c>
      <c r="G7" s="102" t="s">
        <v>56</v>
      </c>
      <c r="H7" s="63"/>
      <c r="I7" s="62"/>
      <c r="J7" s="63">
        <v>1</v>
      </c>
      <c r="K7" s="62" t="s">
        <v>55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58</v>
      </c>
      <c r="B8" s="88">
        <v>1</v>
      </c>
      <c r="C8" s="62" t="s">
        <v>55</v>
      </c>
      <c r="D8" s="63"/>
      <c r="E8" s="62"/>
      <c r="F8" s="88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1</v>
      </c>
      <c r="C9" s="62" t="s">
        <v>55</v>
      </c>
      <c r="D9" s="63"/>
      <c r="E9" s="62"/>
      <c r="F9" s="88">
        <v>1</v>
      </c>
      <c r="G9" s="62" t="s">
        <v>55</v>
      </c>
      <c r="H9" s="63"/>
      <c r="I9" s="62"/>
      <c r="J9" s="63">
        <v>1</v>
      </c>
      <c r="K9" s="62" t="s">
        <v>55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59</v>
      </c>
      <c r="B10" s="88">
        <v>2</v>
      </c>
      <c r="C10" s="102" t="s">
        <v>56</v>
      </c>
      <c r="D10" s="63"/>
      <c r="E10" s="62"/>
      <c r="F10" s="88">
        <v>2</v>
      </c>
      <c r="G10" s="102" t="s">
        <v>56</v>
      </c>
      <c r="H10" s="63"/>
      <c r="I10" s="62"/>
      <c r="J10" s="63">
        <v>2</v>
      </c>
      <c r="K10" s="102" t="s">
        <v>56</v>
      </c>
      <c r="L10" s="67"/>
      <c r="M10" s="65"/>
      <c r="N10" s="63"/>
      <c r="O10" s="10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55</v>
      </c>
      <c r="D11" s="63"/>
      <c r="E11" s="62"/>
      <c r="F11" s="88">
        <v>1</v>
      </c>
      <c r="G11" s="62" t="s">
        <v>55</v>
      </c>
      <c r="H11" s="63"/>
      <c r="I11" s="62"/>
      <c r="J11" s="63">
        <v>1</v>
      </c>
      <c r="K11" s="62" t="s">
        <v>55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1</v>
      </c>
      <c r="C12" s="62" t="s">
        <v>55</v>
      </c>
      <c r="D12" s="63"/>
      <c r="E12" s="102"/>
      <c r="F12" s="88">
        <v>1</v>
      </c>
      <c r="G12" s="62" t="s">
        <v>55</v>
      </c>
      <c r="H12" s="63"/>
      <c r="I12" s="68"/>
      <c r="J12" s="63">
        <v>1</v>
      </c>
      <c r="K12" s="62" t="s">
        <v>55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1</v>
      </c>
      <c r="C13" s="62" t="s">
        <v>55</v>
      </c>
      <c r="D13" s="63"/>
      <c r="E13" s="62"/>
      <c r="F13" s="88">
        <v>1</v>
      </c>
      <c r="G13" s="62" t="s">
        <v>55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60</v>
      </c>
      <c r="B14" s="88">
        <v>2</v>
      </c>
      <c r="C14" s="102" t="s">
        <v>56</v>
      </c>
      <c r="D14" s="63"/>
      <c r="E14" s="62"/>
      <c r="F14" s="88">
        <v>1</v>
      </c>
      <c r="G14" s="62" t="s">
        <v>55</v>
      </c>
      <c r="H14" s="63"/>
      <c r="I14" s="62"/>
      <c r="J14" s="63">
        <v>2</v>
      </c>
      <c r="K14" s="102" t="s">
        <v>56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61</v>
      </c>
      <c r="B15" s="88">
        <v>2</v>
      </c>
      <c r="C15" s="102" t="s">
        <v>56</v>
      </c>
      <c r="D15" s="63"/>
      <c r="E15" s="62"/>
      <c r="F15" s="88">
        <v>2</v>
      </c>
      <c r="G15" s="102" t="s">
        <v>56</v>
      </c>
      <c r="H15" s="63"/>
      <c r="I15" s="62"/>
      <c r="J15" s="63">
        <v>1</v>
      </c>
      <c r="K15" s="62" t="s">
        <v>55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62</v>
      </c>
      <c r="B16" s="88">
        <v>2</v>
      </c>
      <c r="C16" s="102" t="s">
        <v>56</v>
      </c>
      <c r="D16" s="63"/>
      <c r="E16" s="62"/>
      <c r="F16" s="88">
        <v>2</v>
      </c>
      <c r="G16" s="102" t="s">
        <v>56</v>
      </c>
      <c r="H16" s="63"/>
      <c r="I16" s="62"/>
      <c r="J16" s="63">
        <v>2</v>
      </c>
      <c r="K16" s="102" t="s">
        <v>56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56</v>
      </c>
      <c r="D17" s="63"/>
      <c r="E17" s="62"/>
      <c r="F17" s="88">
        <v>2</v>
      </c>
      <c r="G17" s="102" t="s">
        <v>56</v>
      </c>
      <c r="H17" s="63"/>
      <c r="I17" s="68"/>
      <c r="J17" s="63">
        <v>2</v>
      </c>
      <c r="K17" s="102" t="s">
        <v>56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63</v>
      </c>
      <c r="B18" s="88">
        <v>2</v>
      </c>
      <c r="C18" s="102" t="s">
        <v>56</v>
      </c>
      <c r="D18" s="63"/>
      <c r="E18" s="62"/>
      <c r="F18" s="88">
        <v>2</v>
      </c>
      <c r="G18" s="102" t="s">
        <v>56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95</v>
      </c>
      <c r="B19" s="88">
        <v>2</v>
      </c>
      <c r="C19" s="102" t="s">
        <v>56</v>
      </c>
      <c r="D19" s="63"/>
      <c r="E19" s="102"/>
      <c r="F19" s="88">
        <v>2</v>
      </c>
      <c r="G19" s="102" t="s">
        <v>56</v>
      </c>
      <c r="H19" s="63"/>
      <c r="I19" s="62"/>
      <c r="J19" s="63">
        <v>2</v>
      </c>
      <c r="K19" s="102" t="s">
        <v>56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1</v>
      </c>
      <c r="C20" s="62" t="s">
        <v>55</v>
      </c>
      <c r="D20" s="63"/>
      <c r="E20" s="62"/>
      <c r="F20" s="88">
        <v>1</v>
      </c>
      <c r="G20" s="62" t="s">
        <v>55</v>
      </c>
      <c r="H20" s="63"/>
      <c r="I20" s="68"/>
      <c r="J20" s="63">
        <v>2</v>
      </c>
      <c r="K20" s="102" t="s">
        <v>56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64</v>
      </c>
      <c r="B21" s="88">
        <v>1</v>
      </c>
      <c r="C21" s="62" t="s">
        <v>55</v>
      </c>
      <c r="D21" s="63"/>
      <c r="E21" s="62"/>
      <c r="F21" s="88">
        <v>1</v>
      </c>
      <c r="G21" s="62" t="s">
        <v>55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96</v>
      </c>
      <c r="B22" s="88">
        <v>2</v>
      </c>
      <c r="C22" s="102" t="s">
        <v>56</v>
      </c>
      <c r="D22" s="63"/>
      <c r="E22" s="102"/>
      <c r="F22" s="88">
        <v>2</v>
      </c>
      <c r="G22" s="102" t="s">
        <v>56</v>
      </c>
      <c r="H22" s="63"/>
      <c r="I22" s="68"/>
      <c r="J22" s="63">
        <v>2</v>
      </c>
      <c r="K22" s="102" t="s">
        <v>56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52</v>
      </c>
      <c r="B23" s="88">
        <v>2</v>
      </c>
      <c r="C23" s="102" t="s">
        <v>56</v>
      </c>
      <c r="D23" s="63"/>
      <c r="E23" s="62"/>
      <c r="F23" s="88">
        <v>2</v>
      </c>
      <c r="G23" s="102" t="s">
        <v>56</v>
      </c>
      <c r="H23" s="63"/>
      <c r="I23" s="62"/>
      <c r="J23" s="63">
        <v>1</v>
      </c>
      <c r="K23" s="62" t="s">
        <v>55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99</v>
      </c>
      <c r="B24" s="88">
        <v>1</v>
      </c>
      <c r="C24" s="62" t="s">
        <v>55</v>
      </c>
      <c r="D24" s="63"/>
      <c r="E24" s="62"/>
      <c r="F24" s="88">
        <v>1</v>
      </c>
      <c r="G24" s="62" t="s">
        <v>55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65</v>
      </c>
      <c r="B25" s="88">
        <v>1</v>
      </c>
      <c r="C25" s="62" t="s">
        <v>55</v>
      </c>
      <c r="D25" s="63"/>
      <c r="E25" s="62"/>
      <c r="F25" s="88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10</v>
      </c>
      <c r="C26" s="96" t="s">
        <v>49</v>
      </c>
      <c r="D26" s="98"/>
      <c r="E26" s="96"/>
      <c r="F26" s="98">
        <v>11</v>
      </c>
      <c r="G26" s="96" t="s">
        <v>49</v>
      </c>
      <c r="H26" s="100"/>
      <c r="I26" s="101"/>
      <c r="J26" s="98">
        <v>14</v>
      </c>
      <c r="K26" s="95" t="s">
        <v>49</v>
      </c>
      <c r="L26" s="85"/>
      <c r="M26" s="94"/>
      <c r="N26" s="98"/>
      <c r="O26" s="96" t="s">
        <v>49</v>
      </c>
      <c r="P26" s="98"/>
      <c r="Q26" s="98"/>
      <c r="R26" s="97" t="s">
        <v>49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50</v>
      </c>
      <c r="D27" s="98"/>
      <c r="E27" s="96"/>
      <c r="F27" s="98">
        <v>10</v>
      </c>
      <c r="G27" s="96" t="s">
        <v>50</v>
      </c>
      <c r="H27" s="100"/>
      <c r="I27" s="96"/>
      <c r="J27" s="98">
        <v>7</v>
      </c>
      <c r="K27" s="95" t="s">
        <v>50</v>
      </c>
      <c r="L27" s="85"/>
      <c r="M27" s="94"/>
      <c r="N27" s="98"/>
      <c r="O27" s="96" t="s">
        <v>50</v>
      </c>
      <c r="P27" s="98"/>
      <c r="Q27" s="98"/>
      <c r="R27" s="95" t="s">
        <v>50</v>
      </c>
      <c r="S27" s="86"/>
      <c r="V27" s="12"/>
      <c r="W27" s="12"/>
      <c r="AB27" s="5" t="s">
        <v>93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54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89</v>
      </c>
      <c r="V40" s="12"/>
      <c r="W40" s="12"/>
    </row>
    <row r="41" spans="1:23" ht="18">
      <c r="A41" s="34" t="s">
        <v>94</v>
      </c>
      <c r="V41" s="12"/>
      <c r="W41" s="12"/>
    </row>
    <row r="42" spans="1:23" ht="18">
      <c r="A42" s="34" t="s">
        <v>52</v>
      </c>
      <c r="V42" s="12"/>
      <c r="W42" s="12"/>
    </row>
    <row r="43" spans="1:23" ht="18">
      <c r="A43" s="34" t="s">
        <v>61</v>
      </c>
      <c r="V43" s="12"/>
      <c r="W43" s="12"/>
    </row>
    <row r="44" spans="1:23" ht="18">
      <c r="A44" s="34" t="s">
        <v>57</v>
      </c>
      <c r="V44" s="12"/>
      <c r="W44" s="12"/>
    </row>
    <row r="45" spans="1:23" ht="18">
      <c r="A45" s="34" t="s">
        <v>25</v>
      </c>
      <c r="B45" s="7"/>
      <c r="V45" s="12"/>
      <c r="W45" s="32"/>
    </row>
    <row r="46" spans="1:23" ht="18">
      <c r="A46" s="34" t="s">
        <v>96</v>
      </c>
      <c r="W46" s="12"/>
    </row>
    <row r="47" spans="1:23" ht="18">
      <c r="A47" s="34" t="s">
        <v>63</v>
      </c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60</v>
      </c>
    </row>
    <row r="52" spans="1:23" ht="18">
      <c r="A52" s="34" t="s">
        <v>25</v>
      </c>
    </row>
    <row r="53" spans="1:23" ht="18">
      <c r="A53" s="34" t="s">
        <v>96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U39"/>
  <sheetViews>
    <sheetView workbookViewId="0">
      <pane xSplit="1" topLeftCell="B1" activePane="topRight" state="frozen"/>
      <selection pane="topRight" activeCell="K5" sqref="K5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21" width="22.7109375" style="22" customWidth="1"/>
    <col min="22" max="16384" width="9.140625" style="22"/>
  </cols>
  <sheetData>
    <row r="1" spans="1:21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21" ht="15">
      <c r="A2" s="76" t="s">
        <v>110</v>
      </c>
      <c r="B2" s="21"/>
      <c r="C2" s="21"/>
      <c r="D2" s="21"/>
      <c r="E2" s="21"/>
      <c r="F2" s="21"/>
      <c r="G2" s="21"/>
      <c r="H2" s="21"/>
      <c r="I2" s="21"/>
    </row>
    <row r="3" spans="1:21" ht="17.25" customHeight="1">
      <c r="A3" s="76" t="s">
        <v>111</v>
      </c>
      <c r="B3" s="21"/>
      <c r="C3" s="21"/>
      <c r="D3" s="21"/>
      <c r="E3" s="21"/>
      <c r="F3" s="21"/>
      <c r="G3" s="21"/>
      <c r="H3" s="21"/>
      <c r="I3" s="21"/>
    </row>
    <row r="4" spans="1:21" ht="63" customHeight="1">
      <c r="A4" s="51" t="str">
        <f>'[1]MOÇÃO E REQUERIMENTO'!B7</f>
        <v>EXPEDIENTE</v>
      </c>
      <c r="B4" s="50" t="s">
        <v>48</v>
      </c>
      <c r="C4" s="117" t="s">
        <v>112</v>
      </c>
      <c r="D4" s="117" t="s">
        <v>101</v>
      </c>
      <c r="E4" s="117" t="s">
        <v>104</v>
      </c>
      <c r="F4" s="117" t="s">
        <v>113</v>
      </c>
      <c r="G4" s="117" t="s">
        <v>114</v>
      </c>
      <c r="H4" s="112" t="s">
        <v>34</v>
      </c>
      <c r="I4" s="124"/>
      <c r="J4" s="50" t="s">
        <v>27</v>
      </c>
      <c r="K4" s="84" t="s">
        <v>105</v>
      </c>
      <c r="L4" s="84" t="s">
        <v>106</v>
      </c>
      <c r="M4" s="84" t="s">
        <v>115</v>
      </c>
      <c r="N4" s="84" t="s">
        <v>116</v>
      </c>
      <c r="O4" s="84" t="s">
        <v>107</v>
      </c>
      <c r="P4" s="84" t="s">
        <v>117</v>
      </c>
      <c r="Q4" s="84" t="s">
        <v>118</v>
      </c>
      <c r="R4" s="84" t="s">
        <v>119</v>
      </c>
      <c r="S4" s="84" t="s">
        <v>120</v>
      </c>
      <c r="T4" s="84" t="s">
        <v>121</v>
      </c>
      <c r="U4" s="84" t="s">
        <v>122</v>
      </c>
    </row>
    <row r="5" spans="1:21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113"/>
      <c r="K5" s="113" t="s">
        <v>91</v>
      </c>
      <c r="L5" s="118" t="s">
        <v>100</v>
      </c>
      <c r="M5" s="118" t="s">
        <v>100</v>
      </c>
      <c r="N5" s="118" t="s">
        <v>100</v>
      </c>
      <c r="O5" s="118" t="s">
        <v>100</v>
      </c>
      <c r="P5" s="113" t="s">
        <v>91</v>
      </c>
      <c r="Q5" s="113" t="s">
        <v>91</v>
      </c>
      <c r="R5" s="113" t="s">
        <v>91</v>
      </c>
      <c r="S5" s="113" t="s">
        <v>91</v>
      </c>
      <c r="T5" s="113" t="s">
        <v>91</v>
      </c>
      <c r="U5" s="113" t="s">
        <v>91</v>
      </c>
    </row>
    <row r="6" spans="1:21" ht="15.75">
      <c r="A6" s="127" t="s">
        <v>54</v>
      </c>
      <c r="J6" s="23"/>
    </row>
    <row r="7" spans="1:21" ht="15.75">
      <c r="A7" s="127" t="s">
        <v>94</v>
      </c>
      <c r="J7" s="23"/>
    </row>
    <row r="8" spans="1:21" ht="15.75">
      <c r="A8" s="127" t="s">
        <v>57</v>
      </c>
      <c r="J8" s="23"/>
    </row>
    <row r="9" spans="1:21" ht="15.75">
      <c r="A9" s="128" t="s">
        <v>58</v>
      </c>
      <c r="J9" s="23"/>
    </row>
    <row r="10" spans="1:21" ht="15.75">
      <c r="A10" s="127" t="s">
        <v>28</v>
      </c>
      <c r="J10" s="23"/>
    </row>
    <row r="11" spans="1:21" ht="15.75">
      <c r="A11" s="127" t="s">
        <v>59</v>
      </c>
      <c r="J11" s="23"/>
    </row>
    <row r="12" spans="1:21" ht="15.75">
      <c r="A12" s="127" t="s">
        <v>22</v>
      </c>
      <c r="J12" s="23"/>
    </row>
    <row r="13" spans="1:21" ht="15.75">
      <c r="A13" s="127" t="s">
        <v>23</v>
      </c>
      <c r="J13" s="23"/>
    </row>
    <row r="14" spans="1:21" ht="15.75">
      <c r="A14" s="127" t="s">
        <v>24</v>
      </c>
      <c r="J14" s="23"/>
    </row>
    <row r="15" spans="1:21" ht="15.75">
      <c r="A15" s="127" t="s">
        <v>60</v>
      </c>
      <c r="J15" s="23"/>
    </row>
    <row r="16" spans="1:21" ht="15.75">
      <c r="A16" s="127" t="s">
        <v>61</v>
      </c>
      <c r="J16" s="23"/>
    </row>
    <row r="17" spans="1:10" ht="15.75">
      <c r="A17" s="127" t="s">
        <v>62</v>
      </c>
      <c r="J17" s="23"/>
    </row>
    <row r="18" spans="1:10" ht="15.75">
      <c r="A18" s="127" t="s">
        <v>25</v>
      </c>
      <c r="J18" s="23"/>
    </row>
    <row r="19" spans="1:10" ht="15.75">
      <c r="A19" s="127" t="s">
        <v>63</v>
      </c>
      <c r="J19" s="23"/>
    </row>
    <row r="20" spans="1:10" ht="15.75">
      <c r="A20" s="127" t="s">
        <v>95</v>
      </c>
      <c r="J20" s="23"/>
    </row>
    <row r="21" spans="1:10" ht="15.75">
      <c r="A21" s="127" t="s">
        <v>26</v>
      </c>
      <c r="J21" s="23"/>
    </row>
    <row r="22" spans="1:10" ht="15.75">
      <c r="A22" s="127" t="s">
        <v>64</v>
      </c>
      <c r="J22" s="23"/>
    </row>
    <row r="23" spans="1:10" ht="15.75">
      <c r="A23" s="127" t="s">
        <v>96</v>
      </c>
      <c r="J23" s="23"/>
    </row>
    <row r="24" spans="1:10" ht="15.75">
      <c r="A24" s="127" t="s">
        <v>52</v>
      </c>
      <c r="J24" s="23"/>
    </row>
    <row r="25" spans="1:10" ht="15.75">
      <c r="A25" s="127" t="s">
        <v>99</v>
      </c>
      <c r="J25" s="23"/>
    </row>
    <row r="26" spans="1:10" ht="15.75">
      <c r="A26" s="127" t="s">
        <v>65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C1" activePane="topRight" state="frozen"/>
      <selection activeCell="A4" sqref="A4"/>
      <selection pane="topRight" activeCell="I12" sqref="I12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110</v>
      </c>
      <c r="B2" s="49"/>
      <c r="C2" s="74"/>
    </row>
    <row r="3" spans="1:48" ht="17.25" customHeight="1">
      <c r="A3" s="76" t="s">
        <v>111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31</v>
      </c>
      <c r="C4" s="143"/>
      <c r="D4" s="109" t="s">
        <v>6</v>
      </c>
      <c r="E4" s="141" t="s">
        <v>102</v>
      </c>
      <c r="F4" s="141" t="s">
        <v>123</v>
      </c>
      <c r="G4" s="141" t="s">
        <v>124</v>
      </c>
      <c r="H4" s="141" t="s">
        <v>125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37</v>
      </c>
      <c r="B5" s="78"/>
      <c r="C5" s="144"/>
      <c r="D5" s="79"/>
      <c r="E5" s="145" t="s">
        <v>103</v>
      </c>
      <c r="F5" s="113" t="s">
        <v>126</v>
      </c>
      <c r="G5" s="113" t="s">
        <v>126</v>
      </c>
      <c r="H5" s="113" t="s">
        <v>126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54</v>
      </c>
      <c r="C6" s="107"/>
      <c r="E6" s="107"/>
      <c r="F6" s="107"/>
      <c r="G6" s="107"/>
      <c r="H6" s="107"/>
    </row>
    <row r="7" spans="1:48" ht="20.25">
      <c r="A7" s="46" t="s">
        <v>94</v>
      </c>
      <c r="C7" s="107"/>
      <c r="E7" s="107"/>
      <c r="F7" s="107"/>
      <c r="G7" s="107"/>
      <c r="H7" s="107"/>
    </row>
    <row r="8" spans="1:48" ht="20.25">
      <c r="A8" s="46" t="s">
        <v>57</v>
      </c>
      <c r="C8" s="107"/>
      <c r="E8" s="107"/>
      <c r="F8" s="107"/>
      <c r="G8" s="107"/>
      <c r="H8" s="107"/>
    </row>
    <row r="9" spans="1:48" ht="20.25">
      <c r="A9" s="82" t="s">
        <v>58</v>
      </c>
      <c r="C9" s="114"/>
      <c r="E9" s="114"/>
      <c r="F9" s="114"/>
      <c r="G9" s="114"/>
      <c r="H9" s="114"/>
    </row>
    <row r="10" spans="1:48" ht="20.25">
      <c r="A10" s="46" t="s">
        <v>28</v>
      </c>
      <c r="C10" s="107"/>
      <c r="E10" s="107"/>
      <c r="F10" s="114"/>
      <c r="G10" s="114"/>
      <c r="H10" s="114"/>
    </row>
    <row r="11" spans="1:48" ht="20.25">
      <c r="A11" s="46" t="s">
        <v>59</v>
      </c>
      <c r="C11" s="114"/>
      <c r="E11" s="114"/>
      <c r="F11" s="107"/>
      <c r="G11" s="107"/>
      <c r="H11" s="107"/>
    </row>
    <row r="12" spans="1:48" ht="20.25">
      <c r="A12" s="46" t="s">
        <v>22</v>
      </c>
      <c r="C12" s="107"/>
      <c r="E12" s="107"/>
      <c r="F12" s="107"/>
      <c r="G12" s="107"/>
      <c r="H12" s="107"/>
    </row>
    <row r="13" spans="1:48" ht="20.25">
      <c r="A13" s="46" t="s">
        <v>23</v>
      </c>
      <c r="C13" s="114"/>
      <c r="E13" s="107"/>
      <c r="F13" s="114"/>
      <c r="G13" s="114"/>
      <c r="H13" s="114"/>
    </row>
    <row r="14" spans="1:48" ht="20.25">
      <c r="A14" s="46" t="s">
        <v>24</v>
      </c>
      <c r="C14" s="107"/>
      <c r="E14" s="107"/>
      <c r="F14" s="107"/>
      <c r="G14" s="107"/>
      <c r="H14" s="107"/>
    </row>
    <row r="15" spans="1:48" ht="20.25">
      <c r="A15" s="46" t="s">
        <v>60</v>
      </c>
      <c r="C15" s="107"/>
      <c r="E15" s="114"/>
      <c r="F15" s="107"/>
      <c r="G15" s="107"/>
      <c r="H15" s="107"/>
    </row>
    <row r="16" spans="1:48" ht="20.25">
      <c r="A16" s="46" t="s">
        <v>61</v>
      </c>
      <c r="C16" s="107"/>
      <c r="E16" s="107"/>
      <c r="F16" s="114"/>
      <c r="G16" s="114"/>
      <c r="H16" s="114"/>
    </row>
    <row r="17" spans="1:133" ht="20.25">
      <c r="A17" s="46" t="s">
        <v>62</v>
      </c>
      <c r="C17" s="142"/>
      <c r="E17" s="114"/>
      <c r="F17" s="107"/>
      <c r="G17" s="107"/>
      <c r="H17" s="107"/>
    </row>
    <row r="18" spans="1:133" ht="20.25">
      <c r="A18" s="46" t="s">
        <v>25</v>
      </c>
      <c r="C18" s="107"/>
      <c r="E18" s="107"/>
      <c r="F18" s="114"/>
      <c r="G18" s="114"/>
      <c r="H18" s="114"/>
    </row>
    <row r="19" spans="1:133" ht="20.25">
      <c r="A19" s="46" t="s">
        <v>63</v>
      </c>
      <c r="C19" s="107"/>
      <c r="E19" s="107"/>
      <c r="F19" s="107"/>
      <c r="G19" s="107"/>
      <c r="H19" s="107"/>
    </row>
    <row r="20" spans="1:133" ht="20.25">
      <c r="A20" s="46" t="s">
        <v>95</v>
      </c>
      <c r="C20" s="107"/>
      <c r="E20" s="114"/>
      <c r="F20" s="107"/>
      <c r="G20" s="107"/>
      <c r="H20" s="107"/>
    </row>
    <row r="21" spans="1:133" ht="20.25">
      <c r="A21" s="46" t="s">
        <v>26</v>
      </c>
      <c r="C21" s="107"/>
      <c r="E21" s="114"/>
      <c r="F21" s="107"/>
      <c r="G21" s="107"/>
      <c r="H21" s="107"/>
    </row>
    <row r="22" spans="1:133" ht="20.25">
      <c r="A22" s="46" t="s">
        <v>64</v>
      </c>
      <c r="C22" s="107"/>
      <c r="E22" s="114"/>
      <c r="F22" s="107"/>
      <c r="G22" s="107"/>
      <c r="H22" s="107"/>
    </row>
    <row r="23" spans="1:133" ht="20.25">
      <c r="A23" s="46" t="s">
        <v>96</v>
      </c>
      <c r="C23" s="107"/>
      <c r="E23" s="107"/>
      <c r="F23" s="114"/>
      <c r="G23" s="114"/>
      <c r="H23" s="114"/>
    </row>
    <row r="24" spans="1:133" ht="20.25">
      <c r="A24" s="46" t="s">
        <v>52</v>
      </c>
      <c r="C24" s="107"/>
      <c r="E24" s="107"/>
      <c r="F24" s="114"/>
      <c r="G24" s="114"/>
      <c r="H24" s="114"/>
    </row>
    <row r="25" spans="1:133" ht="20.25">
      <c r="A25" s="46" t="s">
        <v>99</v>
      </c>
      <c r="C25" s="107"/>
      <c r="E25" s="107"/>
      <c r="F25" s="107"/>
      <c r="G25" s="107"/>
      <c r="H25" s="107"/>
    </row>
    <row r="26" spans="1:133" ht="20.25">
      <c r="A26" s="46" t="s">
        <v>65</v>
      </c>
      <c r="C26" s="107"/>
      <c r="E26" s="107"/>
      <c r="F26" s="107"/>
      <c r="G26" s="107"/>
      <c r="H26" s="107"/>
    </row>
    <row r="27" spans="1:133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H27" si="1">COUNTIF(E6:E26,"sim")</f>
        <v>0</v>
      </c>
      <c r="F27" s="103">
        <f t="shared" ref="F27:G27" si="2">COUNTIF(F6:F26,"sim")</f>
        <v>0</v>
      </c>
      <c r="G27" s="103">
        <f t="shared" si="2"/>
        <v>0</v>
      </c>
      <c r="H27" s="103">
        <f t="shared" si="1"/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 t="shared" ref="C28" si="3">COUNTIF(C6:C26,"não")</f>
        <v>0</v>
      </c>
      <c r="D28"/>
      <c r="E28" s="104">
        <f t="shared" ref="E28:H28" si="4">COUNTIF(E6:E26,"não")</f>
        <v>0</v>
      </c>
      <c r="F28" s="104">
        <f t="shared" ref="F28:G28" si="5">COUNTIF(F6:F26,"não")</f>
        <v>0</v>
      </c>
      <c r="G28" s="104">
        <f t="shared" si="5"/>
        <v>0</v>
      </c>
      <c r="H28" s="104">
        <f t="shared" si="4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 t="shared" ref="C29" si="6">COUNTIF(C6:C26,"ausente")</f>
        <v>0</v>
      </c>
      <c r="E29" s="40">
        <f t="shared" ref="E29:H29" si="7">COUNTIF(E6:E26,"ausente")</f>
        <v>0</v>
      </c>
      <c r="F29" s="40">
        <f t="shared" ref="F29:G29" si="8">COUNTIF(F6:F26,"ausente")</f>
        <v>0</v>
      </c>
      <c r="G29" s="40">
        <f t="shared" si="8"/>
        <v>0</v>
      </c>
      <c r="H29" s="40">
        <f t="shared" si="7"/>
        <v>0</v>
      </c>
    </row>
    <row r="30" spans="1:133" s="20" customFormat="1" ht="15.75">
      <c r="A30" s="19" t="s">
        <v>20</v>
      </c>
      <c r="B30"/>
      <c r="C30" s="105">
        <f t="shared" ref="C30" si="9">COUNTIF(C6:C26,"abstenção")</f>
        <v>0</v>
      </c>
      <c r="D30"/>
      <c r="E30" s="105">
        <f t="shared" ref="E30:H30" si="10">COUNTIF(E6:E26,"abstenção")</f>
        <v>0</v>
      </c>
      <c r="F30" s="105">
        <f t="shared" ref="F30:G30" si="11">COUNTIF(F6:F26,"abstenção")</f>
        <v>0</v>
      </c>
      <c r="G30" s="105">
        <f t="shared" si="11"/>
        <v>0</v>
      </c>
      <c r="H30" s="105">
        <f t="shared" si="10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C11" sqref="C11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40" t="s">
        <v>128</v>
      </c>
      <c r="D4" s="140" t="s">
        <v>127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3" t="s">
        <v>97</v>
      </c>
      <c r="D5" s="145" t="s">
        <v>103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54</v>
      </c>
      <c r="C6" s="107" t="s">
        <v>92</v>
      </c>
      <c r="D6" s="107"/>
      <c r="V6" s="7"/>
      <c r="W6" s="7"/>
    </row>
    <row r="7" spans="1:30" ht="18">
      <c r="A7" s="129" t="s">
        <v>94</v>
      </c>
      <c r="C7" s="107" t="s">
        <v>92</v>
      </c>
      <c r="D7" s="107"/>
      <c r="V7" s="7"/>
      <c r="W7" s="7"/>
    </row>
    <row r="8" spans="1:30" ht="18">
      <c r="A8" s="129" t="s">
        <v>57</v>
      </c>
      <c r="C8" s="107" t="s">
        <v>92</v>
      </c>
      <c r="D8" s="107"/>
      <c r="V8" s="7"/>
      <c r="W8" s="7"/>
    </row>
    <row r="9" spans="1:30" ht="18">
      <c r="A9" s="130" t="s">
        <v>58</v>
      </c>
      <c r="C9" s="65" t="s">
        <v>98</v>
      </c>
      <c r="D9" s="114"/>
      <c r="V9" s="7"/>
      <c r="W9" s="7"/>
    </row>
    <row r="10" spans="1:30" ht="18">
      <c r="A10" s="129" t="s">
        <v>28</v>
      </c>
      <c r="C10" s="107" t="s">
        <v>92</v>
      </c>
      <c r="D10" s="107"/>
      <c r="V10" s="7"/>
      <c r="W10" s="7"/>
    </row>
    <row r="11" spans="1:30" ht="18">
      <c r="A11" s="129" t="s">
        <v>59</v>
      </c>
      <c r="C11" s="114" t="s">
        <v>56</v>
      </c>
      <c r="D11" s="107"/>
      <c r="V11" s="7"/>
      <c r="W11" s="7"/>
    </row>
    <row r="12" spans="1:30" ht="18">
      <c r="A12" s="129" t="s">
        <v>22</v>
      </c>
      <c r="C12" s="107" t="s">
        <v>92</v>
      </c>
      <c r="D12" s="107"/>
      <c r="V12" s="7"/>
      <c r="W12" s="7"/>
    </row>
    <row r="13" spans="1:30" ht="18">
      <c r="A13" s="129" t="s">
        <v>23</v>
      </c>
      <c r="C13" s="114" t="s">
        <v>56</v>
      </c>
      <c r="D13" s="107"/>
      <c r="V13" s="7"/>
      <c r="W13" s="7"/>
    </row>
    <row r="14" spans="1:30" ht="18">
      <c r="A14" s="129" t="s">
        <v>24</v>
      </c>
      <c r="C14" s="107" t="s">
        <v>92</v>
      </c>
      <c r="D14" s="107"/>
      <c r="V14" s="7"/>
      <c r="W14" s="7"/>
    </row>
    <row r="15" spans="1:30" ht="18">
      <c r="A15" s="129" t="s">
        <v>60</v>
      </c>
      <c r="C15" s="107" t="s">
        <v>92</v>
      </c>
      <c r="D15" s="107"/>
      <c r="V15" s="7"/>
      <c r="W15" s="7"/>
    </row>
    <row r="16" spans="1:30" ht="18">
      <c r="A16" s="129" t="s">
        <v>61</v>
      </c>
      <c r="C16" s="107" t="s">
        <v>92</v>
      </c>
      <c r="D16" s="107"/>
      <c r="V16" s="7"/>
      <c r="W16" s="7"/>
    </row>
    <row r="17" spans="1:124" ht="15" customHeight="1">
      <c r="A17" s="129" t="s">
        <v>62</v>
      </c>
      <c r="C17" s="114" t="s">
        <v>56</v>
      </c>
      <c r="D17" s="114"/>
      <c r="U17" s="8"/>
      <c r="V17" s="7"/>
      <c r="W17" s="7"/>
    </row>
    <row r="18" spans="1:124" ht="18">
      <c r="A18" s="129" t="s">
        <v>25</v>
      </c>
      <c r="C18" s="107" t="s">
        <v>92</v>
      </c>
      <c r="D18" s="107"/>
      <c r="V18" s="7"/>
      <c r="W18" s="7"/>
    </row>
    <row r="19" spans="1:124" ht="18">
      <c r="A19" s="129" t="s">
        <v>63</v>
      </c>
      <c r="C19" s="107" t="s">
        <v>92</v>
      </c>
      <c r="D19" s="107"/>
      <c r="V19" s="7"/>
      <c r="W19" s="7"/>
    </row>
    <row r="20" spans="1:124" ht="18">
      <c r="A20" s="129" t="s">
        <v>95</v>
      </c>
      <c r="C20" s="114" t="s">
        <v>56</v>
      </c>
      <c r="D20" s="114"/>
      <c r="V20" s="7"/>
      <c r="W20" s="7"/>
    </row>
    <row r="21" spans="1:124" ht="18">
      <c r="A21" s="129" t="s">
        <v>26</v>
      </c>
      <c r="C21" s="114" t="s">
        <v>56</v>
      </c>
      <c r="D21" s="107"/>
      <c r="V21" s="7"/>
      <c r="W21" s="7"/>
    </row>
    <row r="22" spans="1:124" ht="18">
      <c r="A22" s="129" t="s">
        <v>64</v>
      </c>
      <c r="C22" s="107" t="s">
        <v>92</v>
      </c>
      <c r="D22" s="107"/>
      <c r="V22" s="7"/>
      <c r="W22" s="7"/>
    </row>
    <row r="23" spans="1:124" ht="18">
      <c r="A23" s="129" t="s">
        <v>96</v>
      </c>
      <c r="C23" s="107" t="s">
        <v>92</v>
      </c>
      <c r="D23" s="107"/>
      <c r="V23" s="7"/>
      <c r="W23" s="7"/>
    </row>
    <row r="24" spans="1:124" ht="18">
      <c r="A24" s="129" t="s">
        <v>52</v>
      </c>
      <c r="C24" s="107" t="s">
        <v>92</v>
      </c>
      <c r="D24" s="114"/>
      <c r="V24" s="7"/>
      <c r="W24" s="7"/>
    </row>
    <row r="25" spans="1:124" ht="18">
      <c r="A25" s="129" t="s">
        <v>99</v>
      </c>
      <c r="C25" s="107" t="s">
        <v>92</v>
      </c>
      <c r="D25" s="107"/>
      <c r="V25" s="7"/>
      <c r="W25" s="7"/>
    </row>
    <row r="26" spans="1:124" ht="18">
      <c r="A26" s="129" t="s">
        <v>65</v>
      </c>
      <c r="C26" s="107" t="s">
        <v>92</v>
      </c>
      <c r="D26" s="107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>COUNTIF(C6:C26,"sim")</f>
        <v>15</v>
      </c>
      <c r="D27" s="103">
        <f t="shared" ref="D27" si="1">COUNTIF(D6:D26,"sim")</f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>COUNTIF(C6:C26,"não")</f>
        <v>0</v>
      </c>
      <c r="D28" s="104">
        <f t="shared" ref="D28" si="7">COUNTIF(D6:D26,"não")</f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>COUNTIF(C6:C26,"ausente")</f>
        <v>5</v>
      </c>
      <c r="D29" s="40">
        <f t="shared" ref="D29" si="13">COUNTIF(D6:D26,"ausente")</f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>COUNTIF(C6:C26,"abstenção")</f>
        <v>0</v>
      </c>
      <c r="D30" s="105">
        <f t="shared" ref="D30" si="19">COUNTIF(D6:D26,"abstenção")</f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I19" sqref="I19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110</v>
      </c>
      <c r="B2" s="2"/>
    </row>
    <row r="3" spans="1:5" ht="15.75" thickBot="1">
      <c r="A3" s="121" t="s">
        <v>111</v>
      </c>
      <c r="B3" s="2"/>
    </row>
    <row r="4" spans="1:5" ht="78.75" customHeight="1" thickBot="1">
      <c r="A4" s="120" t="s">
        <v>5</v>
      </c>
      <c r="B4" s="111" t="s">
        <v>21</v>
      </c>
      <c r="C4" s="140" t="s">
        <v>108</v>
      </c>
      <c r="D4" s="140" t="s">
        <v>129</v>
      </c>
      <c r="E4" s="140" t="s">
        <v>130</v>
      </c>
    </row>
    <row r="5" spans="1:5" s="6" customFormat="1" ht="60.75" customHeight="1">
      <c r="A5" s="122"/>
      <c r="B5" s="111"/>
      <c r="C5" s="145" t="s">
        <v>109</v>
      </c>
      <c r="D5" s="113" t="s">
        <v>97</v>
      </c>
      <c r="E5" s="113" t="s">
        <v>97</v>
      </c>
    </row>
    <row r="6" spans="1:5" ht="15.75">
      <c r="A6" s="127" t="s">
        <v>54</v>
      </c>
      <c r="C6" s="107"/>
      <c r="D6" s="107" t="s">
        <v>92</v>
      </c>
      <c r="E6" s="107" t="s">
        <v>92</v>
      </c>
    </row>
    <row r="7" spans="1:5" ht="15.75">
      <c r="A7" s="127" t="s">
        <v>94</v>
      </c>
      <c r="C7" s="107"/>
      <c r="D7" s="107" t="s">
        <v>92</v>
      </c>
      <c r="E7" s="107" t="s">
        <v>92</v>
      </c>
    </row>
    <row r="8" spans="1:5" ht="15.75">
      <c r="A8" s="127" t="s">
        <v>57</v>
      </c>
      <c r="C8" s="107"/>
      <c r="D8" s="107" t="s">
        <v>92</v>
      </c>
      <c r="E8" s="107" t="s">
        <v>92</v>
      </c>
    </row>
    <row r="9" spans="1:5" ht="15.75">
      <c r="A9" s="128" t="s">
        <v>58</v>
      </c>
      <c r="C9" s="107"/>
      <c r="D9" s="107" t="s">
        <v>92</v>
      </c>
      <c r="E9" s="107" t="s">
        <v>92</v>
      </c>
    </row>
    <row r="10" spans="1:5" ht="15.75">
      <c r="A10" s="127" t="s">
        <v>28</v>
      </c>
      <c r="C10" s="107"/>
      <c r="D10" s="107" t="s">
        <v>92</v>
      </c>
      <c r="E10" s="107" t="s">
        <v>92</v>
      </c>
    </row>
    <row r="11" spans="1:5" ht="15.75">
      <c r="A11" s="127" t="s">
        <v>59</v>
      </c>
      <c r="C11" s="107"/>
      <c r="D11" s="114" t="s">
        <v>56</v>
      </c>
      <c r="E11" s="114" t="s">
        <v>56</v>
      </c>
    </row>
    <row r="12" spans="1:5" ht="15.75">
      <c r="A12" s="127" t="s">
        <v>22</v>
      </c>
      <c r="C12" s="107"/>
      <c r="D12" s="107" t="s">
        <v>92</v>
      </c>
      <c r="E12" s="107" t="s">
        <v>92</v>
      </c>
    </row>
    <row r="13" spans="1:5" ht="15.75">
      <c r="A13" s="127" t="s">
        <v>23</v>
      </c>
      <c r="B13" s="139"/>
      <c r="C13" s="107"/>
      <c r="D13" s="107" t="s">
        <v>92</v>
      </c>
      <c r="E13" s="107" t="s">
        <v>92</v>
      </c>
    </row>
    <row r="14" spans="1:5" ht="15.75">
      <c r="A14" s="127" t="s">
        <v>24</v>
      </c>
      <c r="C14" s="107"/>
      <c r="D14" s="107" t="s">
        <v>92</v>
      </c>
      <c r="E14" s="107" t="s">
        <v>92</v>
      </c>
    </row>
    <row r="15" spans="1:5" ht="15.75">
      <c r="A15" s="127" t="s">
        <v>60</v>
      </c>
      <c r="C15" s="107"/>
      <c r="D15" s="107" t="s">
        <v>92</v>
      </c>
      <c r="E15" s="107" t="s">
        <v>92</v>
      </c>
    </row>
    <row r="16" spans="1:5" ht="15.75">
      <c r="A16" s="127" t="s">
        <v>61</v>
      </c>
      <c r="C16" s="107"/>
      <c r="D16" s="107" t="s">
        <v>92</v>
      </c>
      <c r="E16" s="107" t="s">
        <v>92</v>
      </c>
    </row>
    <row r="17" spans="1:5" ht="15.75">
      <c r="A17" s="127" t="s">
        <v>62</v>
      </c>
      <c r="C17" s="107"/>
      <c r="D17" s="114" t="s">
        <v>56</v>
      </c>
      <c r="E17" s="114" t="s">
        <v>56</v>
      </c>
    </row>
    <row r="18" spans="1:5" ht="15.75">
      <c r="A18" s="127" t="s">
        <v>25</v>
      </c>
      <c r="C18" s="107"/>
      <c r="D18" s="107" t="s">
        <v>92</v>
      </c>
      <c r="E18" s="107" t="s">
        <v>92</v>
      </c>
    </row>
    <row r="19" spans="1:5" ht="15.75">
      <c r="A19" s="127" t="s">
        <v>63</v>
      </c>
      <c r="C19" s="107"/>
      <c r="D19" s="107" t="s">
        <v>92</v>
      </c>
      <c r="E19" s="107" t="s">
        <v>92</v>
      </c>
    </row>
    <row r="20" spans="1:5" ht="15.75">
      <c r="A20" s="127" t="s">
        <v>95</v>
      </c>
      <c r="C20" s="114"/>
      <c r="D20" s="114" t="s">
        <v>56</v>
      </c>
      <c r="E20" s="114" t="s">
        <v>56</v>
      </c>
    </row>
    <row r="21" spans="1:5" ht="15.75">
      <c r="A21" s="127" t="s">
        <v>26</v>
      </c>
      <c r="C21" s="107"/>
      <c r="D21" s="114" t="s">
        <v>56</v>
      </c>
      <c r="E21" s="114" t="s">
        <v>56</v>
      </c>
    </row>
    <row r="22" spans="1:5" ht="15.75">
      <c r="A22" s="127" t="s">
        <v>64</v>
      </c>
      <c r="C22" s="107"/>
      <c r="D22" s="107" t="s">
        <v>92</v>
      </c>
      <c r="E22" s="107" t="s">
        <v>92</v>
      </c>
    </row>
    <row r="23" spans="1:5" ht="15.75">
      <c r="A23" s="127" t="s">
        <v>96</v>
      </c>
      <c r="C23" s="107"/>
      <c r="D23" s="107" t="s">
        <v>92</v>
      </c>
      <c r="E23" s="107" t="s">
        <v>92</v>
      </c>
    </row>
    <row r="24" spans="1:5" ht="15.75">
      <c r="A24" s="127" t="s">
        <v>52</v>
      </c>
      <c r="C24" s="114"/>
      <c r="D24" s="107" t="s">
        <v>92</v>
      </c>
      <c r="E24" s="107" t="s">
        <v>92</v>
      </c>
    </row>
    <row r="25" spans="1:5" ht="15.75">
      <c r="A25" s="127" t="s">
        <v>99</v>
      </c>
      <c r="C25" s="107"/>
      <c r="D25" s="107" t="s">
        <v>92</v>
      </c>
      <c r="E25" s="107" t="s">
        <v>92</v>
      </c>
    </row>
    <row r="26" spans="1:5" ht="15.75">
      <c r="A26" s="127" t="s">
        <v>65</v>
      </c>
      <c r="C26" s="107"/>
      <c r="D26" s="107" t="s">
        <v>92</v>
      </c>
      <c r="E26" s="107" t="s">
        <v>92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0</v>
      </c>
      <c r="D28" s="103">
        <f t="shared" si="0"/>
        <v>17</v>
      </c>
      <c r="E28" s="103">
        <f t="shared" si="0"/>
        <v>17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0</v>
      </c>
      <c r="D30" s="40">
        <f t="shared" si="2"/>
        <v>4</v>
      </c>
      <c r="E30" s="40">
        <f t="shared" si="2"/>
        <v>4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110</v>
      </c>
      <c r="B2" s="2"/>
      <c r="C2" s="54"/>
      <c r="D2" s="54"/>
      <c r="E2" s="54"/>
    </row>
    <row r="3" spans="1:9" ht="15.75" thickBot="1">
      <c r="A3" s="121" t="s">
        <v>111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42</v>
      </c>
      <c r="G4" s="131" t="s">
        <v>43</v>
      </c>
      <c r="H4" s="131" t="s">
        <v>44</v>
      </c>
      <c r="I4" s="131" t="s">
        <v>66</v>
      </c>
    </row>
    <row r="5" spans="1:9" ht="60.75" customHeight="1">
      <c r="A5" s="48"/>
      <c r="B5" s="10"/>
      <c r="C5" s="132"/>
      <c r="D5" s="131"/>
      <c r="E5" s="131"/>
      <c r="F5" s="133"/>
      <c r="G5" s="134"/>
      <c r="H5" s="134"/>
      <c r="I5" s="40"/>
    </row>
    <row r="6" spans="1:9" ht="18">
      <c r="A6" s="129" t="s">
        <v>54</v>
      </c>
      <c r="C6" s="134"/>
      <c r="D6" s="134"/>
      <c r="E6" s="134"/>
      <c r="F6" s="134"/>
      <c r="G6" s="134"/>
      <c r="H6" s="134"/>
      <c r="I6" s="40"/>
    </row>
    <row r="7" spans="1:9" ht="18">
      <c r="A7" s="129" t="s">
        <v>94</v>
      </c>
      <c r="C7" s="134"/>
      <c r="D7" s="134"/>
      <c r="E7" s="134"/>
      <c r="F7" s="134"/>
      <c r="G7" s="134"/>
      <c r="H7" s="134"/>
      <c r="I7" s="40"/>
    </row>
    <row r="8" spans="1:9" ht="18">
      <c r="A8" s="129" t="s">
        <v>57</v>
      </c>
      <c r="C8" s="134"/>
      <c r="D8" s="134"/>
      <c r="E8" s="134"/>
      <c r="F8" s="134"/>
      <c r="G8" s="134"/>
      <c r="H8" s="134"/>
      <c r="I8" s="40"/>
    </row>
    <row r="9" spans="1:9" ht="18">
      <c r="A9" s="130" t="s">
        <v>58</v>
      </c>
      <c r="C9" s="134"/>
      <c r="D9" s="134"/>
      <c r="E9" s="134"/>
      <c r="F9" s="134"/>
      <c r="G9" s="134"/>
      <c r="H9" s="134"/>
      <c r="I9" s="40"/>
    </row>
    <row r="10" spans="1:9" ht="18">
      <c r="A10" s="129" t="s">
        <v>28</v>
      </c>
      <c r="C10" s="134"/>
      <c r="D10" s="134"/>
      <c r="E10" s="134"/>
      <c r="F10" s="134"/>
      <c r="G10" s="134"/>
      <c r="H10" s="134"/>
      <c r="I10" s="40"/>
    </row>
    <row r="11" spans="1:9" ht="18">
      <c r="A11" s="129" t="s">
        <v>59</v>
      </c>
      <c r="C11" s="134"/>
      <c r="D11" s="134"/>
      <c r="E11" s="134"/>
      <c r="F11" s="134"/>
      <c r="G11" s="134"/>
      <c r="H11" s="134"/>
      <c r="I11" s="40"/>
    </row>
    <row r="12" spans="1:9" ht="18">
      <c r="A12" s="129" t="s">
        <v>22</v>
      </c>
      <c r="C12" s="134"/>
      <c r="D12" s="134"/>
      <c r="E12" s="134"/>
      <c r="F12" s="134"/>
      <c r="G12" s="134"/>
      <c r="H12" s="134"/>
      <c r="I12" s="40"/>
    </row>
    <row r="13" spans="1:9" ht="18">
      <c r="A13" s="129" t="s">
        <v>23</v>
      </c>
      <c r="C13" s="134"/>
      <c r="D13" s="134"/>
      <c r="E13" s="134"/>
      <c r="F13" s="134"/>
      <c r="G13" s="134"/>
      <c r="H13" s="134"/>
      <c r="I13" s="40"/>
    </row>
    <row r="14" spans="1:9" ht="18">
      <c r="A14" s="129" t="s">
        <v>24</v>
      </c>
      <c r="C14" s="134"/>
      <c r="D14" s="134"/>
      <c r="E14" s="134"/>
      <c r="F14" s="134"/>
      <c r="G14" s="134"/>
      <c r="H14" s="134"/>
      <c r="I14" s="40"/>
    </row>
    <row r="15" spans="1:9" ht="18">
      <c r="A15" s="129" t="s">
        <v>60</v>
      </c>
      <c r="C15" s="134"/>
      <c r="D15" s="134"/>
      <c r="E15" s="134"/>
      <c r="F15" s="134"/>
      <c r="G15" s="134"/>
      <c r="H15" s="134"/>
      <c r="I15" s="40"/>
    </row>
    <row r="16" spans="1:9" ht="18">
      <c r="A16" s="129" t="s">
        <v>61</v>
      </c>
      <c r="C16" s="134"/>
      <c r="D16" s="134"/>
      <c r="E16" s="134"/>
      <c r="F16" s="134"/>
      <c r="G16" s="134"/>
      <c r="H16" s="134"/>
      <c r="I16" s="40"/>
    </row>
    <row r="17" spans="1:9" ht="18">
      <c r="A17" s="129" t="s">
        <v>62</v>
      </c>
      <c r="C17" s="134"/>
      <c r="D17" s="134"/>
      <c r="E17" s="134"/>
      <c r="F17" s="134"/>
      <c r="G17" s="134"/>
      <c r="H17" s="134"/>
      <c r="I17" s="40"/>
    </row>
    <row r="18" spans="1:9" ht="18">
      <c r="A18" s="129" t="s">
        <v>25</v>
      </c>
      <c r="C18" s="134"/>
      <c r="D18" s="134"/>
      <c r="E18" s="134"/>
      <c r="F18" s="134"/>
      <c r="G18" s="134"/>
      <c r="H18" s="134"/>
      <c r="I18" s="40"/>
    </row>
    <row r="19" spans="1:9" ht="18">
      <c r="A19" s="129" t="s">
        <v>63</v>
      </c>
      <c r="C19" s="134"/>
      <c r="D19" s="134"/>
      <c r="E19" s="134"/>
      <c r="F19" s="134"/>
      <c r="G19" s="134"/>
      <c r="H19" s="134"/>
      <c r="I19" s="40"/>
    </row>
    <row r="20" spans="1:9" ht="18">
      <c r="A20" s="129" t="s">
        <v>95</v>
      </c>
      <c r="C20" s="134"/>
      <c r="D20" s="134"/>
      <c r="E20" s="134"/>
      <c r="F20" s="134"/>
      <c r="G20" s="134"/>
      <c r="H20" s="134"/>
      <c r="I20" s="40"/>
    </row>
    <row r="21" spans="1:9" ht="18">
      <c r="A21" s="129" t="s">
        <v>26</v>
      </c>
      <c r="C21" s="134"/>
      <c r="D21" s="134"/>
      <c r="E21" s="134"/>
      <c r="F21" s="134"/>
      <c r="G21" s="134"/>
      <c r="H21" s="134"/>
      <c r="I21" s="40"/>
    </row>
    <row r="22" spans="1:9" ht="18">
      <c r="A22" s="129" t="s">
        <v>64</v>
      </c>
      <c r="C22" s="134"/>
      <c r="D22" s="134"/>
      <c r="E22" s="134"/>
      <c r="F22" s="134"/>
      <c r="G22" s="134"/>
      <c r="H22" s="134"/>
      <c r="I22" s="40"/>
    </row>
    <row r="23" spans="1:9" ht="18">
      <c r="A23" s="129" t="s">
        <v>96</v>
      </c>
      <c r="C23" s="134"/>
      <c r="D23" s="134"/>
      <c r="E23" s="134"/>
      <c r="F23" s="134"/>
      <c r="G23" s="134"/>
      <c r="H23" s="134"/>
      <c r="I23" s="40"/>
    </row>
    <row r="24" spans="1:9" ht="18">
      <c r="A24" s="129" t="s">
        <v>52</v>
      </c>
      <c r="C24" s="134"/>
      <c r="D24" s="134"/>
      <c r="E24" s="134"/>
      <c r="F24" s="134"/>
      <c r="G24" s="134"/>
      <c r="H24" s="134"/>
      <c r="I24" s="40"/>
    </row>
    <row r="25" spans="1:9" ht="18">
      <c r="A25" s="129" t="s">
        <v>99</v>
      </c>
      <c r="C25" s="134"/>
      <c r="D25" s="134"/>
      <c r="E25" s="134"/>
      <c r="F25" s="134"/>
      <c r="G25" s="134"/>
      <c r="H25" s="134"/>
      <c r="I25" s="40"/>
    </row>
    <row r="26" spans="1:9" ht="18">
      <c r="A26" s="129" t="s">
        <v>65</v>
      </c>
      <c r="C26" s="134"/>
      <c r="D26" s="134"/>
      <c r="E26" s="134"/>
      <c r="F26" s="134"/>
      <c r="G26" s="134"/>
      <c r="H26" s="134"/>
      <c r="I26" s="40"/>
    </row>
    <row r="27" spans="1:9">
      <c r="C27" s="134"/>
      <c r="D27" s="134"/>
      <c r="E27" s="134"/>
      <c r="F27" s="134"/>
      <c r="G27" s="134"/>
      <c r="H27" s="134"/>
      <c r="I27" s="40"/>
    </row>
    <row r="28" spans="1:9" ht="15.75">
      <c r="A28" s="15" t="s">
        <v>18</v>
      </c>
      <c r="B28" s="16"/>
      <c r="C28" s="135">
        <f t="shared" ref="C28:I28" si="0">COUNTIF(C6:C26,"sim")</f>
        <v>0</v>
      </c>
      <c r="D28" s="135">
        <f t="shared" si="0"/>
        <v>0</v>
      </c>
      <c r="E28" s="135">
        <f t="shared" si="0"/>
        <v>0</v>
      </c>
      <c r="F28" s="135">
        <f t="shared" si="0"/>
        <v>0</v>
      </c>
      <c r="G28" s="135">
        <f t="shared" si="0"/>
        <v>0</v>
      </c>
      <c r="H28" s="135">
        <f t="shared" si="0"/>
        <v>0</v>
      </c>
      <c r="I28" s="135">
        <f t="shared" si="0"/>
        <v>0</v>
      </c>
    </row>
    <row r="29" spans="1:9" ht="15.75">
      <c r="A29" s="17" t="s">
        <v>19</v>
      </c>
      <c r="B29" s="18"/>
      <c r="C29" s="136">
        <f t="shared" ref="C29:I29" si="1">COUNTIF(C6:C26,"não")</f>
        <v>0</v>
      </c>
      <c r="D29" s="136">
        <f t="shared" si="1"/>
        <v>0</v>
      </c>
      <c r="E29" s="136">
        <f t="shared" si="1"/>
        <v>0</v>
      </c>
      <c r="F29" s="136">
        <f t="shared" si="1"/>
        <v>0</v>
      </c>
      <c r="G29" s="136">
        <f t="shared" si="1"/>
        <v>0</v>
      </c>
      <c r="H29" s="136">
        <f t="shared" si="1"/>
        <v>0</v>
      </c>
      <c r="I29" s="136">
        <f t="shared" si="1"/>
        <v>0</v>
      </c>
    </row>
    <row r="30" spans="1:9" ht="15.75">
      <c r="A30" s="14" t="s">
        <v>11</v>
      </c>
      <c r="C30" s="134">
        <f t="shared" ref="C30:I30" si="2">COUNTIF(C6:C26,"ausente")</f>
        <v>0</v>
      </c>
      <c r="D30" s="134">
        <f t="shared" si="2"/>
        <v>0</v>
      </c>
      <c r="E30" s="134">
        <f t="shared" si="2"/>
        <v>0</v>
      </c>
      <c r="F30" s="134">
        <f t="shared" si="2"/>
        <v>0</v>
      </c>
      <c r="G30" s="134">
        <f t="shared" si="2"/>
        <v>0</v>
      </c>
      <c r="H30" s="134">
        <f t="shared" si="2"/>
        <v>0</v>
      </c>
      <c r="I30" s="134">
        <f t="shared" si="2"/>
        <v>0</v>
      </c>
    </row>
    <row r="31" spans="1:9" ht="15.75">
      <c r="A31" s="19" t="s">
        <v>20</v>
      </c>
      <c r="B31" s="20"/>
      <c r="C31" s="137">
        <f t="shared" ref="C31:I31" si="3">COUNTIF(C6:C26,"abstenção")</f>
        <v>0</v>
      </c>
      <c r="D31" s="137">
        <f t="shared" si="3"/>
        <v>0</v>
      </c>
      <c r="E31" s="137">
        <f t="shared" si="3"/>
        <v>0</v>
      </c>
      <c r="F31" s="137">
        <f t="shared" si="3"/>
        <v>0</v>
      </c>
      <c r="G31" s="137">
        <f t="shared" si="3"/>
        <v>0</v>
      </c>
      <c r="H31" s="137">
        <f t="shared" si="3"/>
        <v>0</v>
      </c>
      <c r="I31" s="137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6" t="s">
        <v>8</v>
      </c>
      <c r="B1" s="2"/>
    </row>
    <row r="2" spans="1:25">
      <c r="A2" s="76" t="s">
        <v>110</v>
      </c>
      <c r="B2" s="2"/>
    </row>
    <row r="3" spans="1:25">
      <c r="A3" s="76" t="s">
        <v>111</v>
      </c>
      <c r="B3" s="2"/>
    </row>
    <row r="4" spans="1:25" ht="60.75" customHeight="1" thickBot="1">
      <c r="A4" s="52" t="s">
        <v>5</v>
      </c>
      <c r="B4" s="110" t="s">
        <v>33</v>
      </c>
      <c r="C4" s="106" t="s">
        <v>38</v>
      </c>
      <c r="D4" s="106" t="s">
        <v>67</v>
      </c>
      <c r="E4" s="106" t="s">
        <v>68</v>
      </c>
      <c r="F4" s="106" t="s">
        <v>69</v>
      </c>
      <c r="G4" s="106" t="s">
        <v>70</v>
      </c>
      <c r="H4" s="106" t="s">
        <v>71</v>
      </c>
      <c r="I4" s="106" t="s">
        <v>72</v>
      </c>
      <c r="J4" s="106" t="s">
        <v>73</v>
      </c>
      <c r="K4" s="106" t="s">
        <v>74</v>
      </c>
      <c r="L4" s="106" t="s">
        <v>75</v>
      </c>
      <c r="M4" s="106" t="s">
        <v>76</v>
      </c>
      <c r="N4" s="106" t="s">
        <v>77</v>
      </c>
      <c r="O4" s="106" t="s">
        <v>78</v>
      </c>
      <c r="P4" s="106" t="s">
        <v>79</v>
      </c>
      <c r="Q4" s="106" t="s">
        <v>80</v>
      </c>
      <c r="R4" s="106" t="s">
        <v>81</v>
      </c>
      <c r="S4" s="106" t="s">
        <v>82</v>
      </c>
      <c r="T4" s="106" t="s">
        <v>83</v>
      </c>
      <c r="U4" s="106" t="s">
        <v>84</v>
      </c>
      <c r="V4" s="106" t="s">
        <v>85</v>
      </c>
      <c r="W4" s="106" t="s">
        <v>86</v>
      </c>
      <c r="X4" s="106" t="s">
        <v>87</v>
      </c>
      <c r="Y4" s="106" t="s">
        <v>88</v>
      </c>
    </row>
    <row r="5" spans="1:25" ht="60.75" customHeight="1">
      <c r="A5" s="48"/>
      <c r="B5" s="11"/>
      <c r="C5" s="138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7" t="s">
        <v>54</v>
      </c>
    </row>
    <row r="7" spans="1:25" ht="15.75">
      <c r="A7" s="127" t="s">
        <v>94</v>
      </c>
    </row>
    <row r="8" spans="1:25" ht="15.75">
      <c r="A8" s="127" t="s">
        <v>57</v>
      </c>
    </row>
    <row r="9" spans="1:25" ht="15.75">
      <c r="A9" s="128" t="s">
        <v>58</v>
      </c>
    </row>
    <row r="10" spans="1:25" ht="15.75">
      <c r="A10" s="127" t="s">
        <v>28</v>
      </c>
    </row>
    <row r="11" spans="1:25" ht="15.75">
      <c r="A11" s="127" t="s">
        <v>59</v>
      </c>
    </row>
    <row r="12" spans="1:25" ht="15.75">
      <c r="A12" s="127" t="s">
        <v>22</v>
      </c>
    </row>
    <row r="13" spans="1:25" ht="15.75">
      <c r="A13" s="127" t="s">
        <v>23</v>
      </c>
    </row>
    <row r="14" spans="1:25" ht="15.75">
      <c r="A14" s="127" t="s">
        <v>24</v>
      </c>
    </row>
    <row r="15" spans="1:25" ht="15.75">
      <c r="A15" s="127" t="s">
        <v>60</v>
      </c>
    </row>
    <row r="16" spans="1:25" ht="15.75">
      <c r="A16" s="127" t="s">
        <v>61</v>
      </c>
    </row>
    <row r="17" spans="1:25" ht="15.75">
      <c r="A17" s="127" t="s">
        <v>62</v>
      </c>
    </row>
    <row r="18" spans="1:25" ht="15.75">
      <c r="A18" s="127" t="s">
        <v>25</v>
      </c>
    </row>
    <row r="19" spans="1:25" ht="15.75">
      <c r="A19" s="127" t="s">
        <v>63</v>
      </c>
    </row>
    <row r="20" spans="1:25" ht="15.75">
      <c r="A20" s="127" t="s">
        <v>95</v>
      </c>
    </row>
    <row r="21" spans="1:25" ht="15.75">
      <c r="A21" s="127" t="s">
        <v>26</v>
      </c>
    </row>
    <row r="22" spans="1:25" ht="15.75">
      <c r="A22" s="127" t="s">
        <v>64</v>
      </c>
    </row>
    <row r="23" spans="1:25" ht="15.75">
      <c r="A23" s="127" t="s">
        <v>96</v>
      </c>
    </row>
    <row r="24" spans="1:25" ht="15.75">
      <c r="A24" s="127" t="s">
        <v>52</v>
      </c>
    </row>
    <row r="25" spans="1:25" ht="15.75">
      <c r="A25" s="127" t="s">
        <v>99</v>
      </c>
    </row>
    <row r="26" spans="1:25" ht="15.75">
      <c r="A26" s="127" t="s">
        <v>65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2025-09-12T15:35:12Z</dcterms:modified>
</cp:coreProperties>
</file>