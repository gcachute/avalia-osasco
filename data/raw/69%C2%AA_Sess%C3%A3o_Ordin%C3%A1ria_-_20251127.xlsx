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93175B6-9890-466A-9A12-3E94C8058C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A4" i="14"/>
  <c r="E27" i="2"/>
  <c r="E28" i="2"/>
  <c r="E29" i="2"/>
  <c r="E30" i="2"/>
  <c r="D27" i="3"/>
  <c r="D28" i="3"/>
  <c r="D29" i="3"/>
  <c r="D30" i="3"/>
  <c r="C27" i="3"/>
  <c r="C28" i="3"/>
  <c r="C29" i="3"/>
  <c r="C30" i="3"/>
  <c r="D28" i="10" l="1"/>
  <c r="D29" i="10"/>
  <c r="D30" i="10"/>
  <c r="D31" i="10"/>
  <c r="C27" i="2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<sst xmlns="http://schemas.openxmlformats.org/spreadsheetml/2006/main" count="504" uniqueCount="127">
  <si>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</si>
  <si>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</si>
  <si>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</si>
  <si>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</si>
  <si>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</si>
  <si>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</si>
  <si>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</si>
  <si>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</si>
  <si>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</si>
  <si>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</si>
  <si>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</si>
  <si>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</si>
  <si>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</si>
  <si>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</si>
  <si>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</si>
  <si>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</si>
  <si>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</si>
  <si>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</si>
  <si>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</si>
  <si>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</si>
  <si>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</si>
  <si>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</si>
  <si>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</si>
  <si>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</si>
  <si>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</si>
  <si>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</si>
  <si>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</si>
  <si>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</si>
  <si>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</si>
  <si>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</si>
  <si>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</si>
  <si>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</si>
  <si>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</si>
  <si>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</si>
  <si>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</si>
  <si>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</si>
  <si>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</si>
  <si>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</si>
  <si>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</si>
  <si>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</si>
  <si>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</si>
  <si>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</si>
  <si>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</si>
  <si>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</si>
  <si>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</si>
  <si>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</si>
  <si>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</si>
  <si>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</si>
  <si>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</si>
  <si>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</si>
  <si>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</si>
  <si>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</si>
  <si>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</si>
  <si>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</si>
  <si>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</si>
  <si>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</si>
  <si>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</si>
  <si>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</si>
  <si>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</si>
  <si>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</si>
  <si>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</si>
  <si>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</si>
  <si>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</si>
  <si>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</si>
  <si>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</si>
  <si>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</si>
  <si>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</si>
  <si>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</si>
  <si>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</si>
  <si>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</si>
  <si>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</si>
  <si>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t>pela ausência do autor, será pautada na próxima sessão.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</si>
  <si>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</si>
  <si>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</si>
  <si>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</si>
  <si>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</si>
  <si>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</si>
  <si>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</si>
  <si>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</si>
  <si>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</si>
  <si>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</si>
  <si>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</si>
  <si>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</si>
  <si>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</si>
  <si>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</si>
  <si>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</si>
  <si>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</si>
  <si>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</si>
  <si>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</si>
  <si>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</si>
  <si>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</si>
  <si>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</si>
  <si>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</si>
  <si>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</si>
  <si>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</si>
  <si>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</si>
  <si>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</si>
  <si>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Rodolfo Cara</t>
  </si>
  <si>
    <t>na presidência</t>
  </si>
  <si>
    <r>
      <t xml:space="preserve">MOÇÃO DE APOIO Nº 558/2025 – GABRIEL SAÚDE – </t>
    </r>
    <r>
      <rPr>
        <sz val="11"/>
        <color theme="1"/>
        <rFont val="Arial"/>
        <family val="2"/>
      </rPr>
      <t>Ao Dia Nacional de Atenção à Dislexia, comemorado em 16 de novembro, data instituída pela Lei Federal nº 13.085/2015, que tem por objetivo promover a conscientização sobre esse importante transtorno de aprendizagem, bem como divulgar informações que contribuam para o diagnóstico e tratamento precoces.</t>
    </r>
  </si>
  <si>
    <r>
      <t>MOÇÃO DE AGRADECIMENTO Nº 559/2025 – GABRIEL SAÚDE –</t>
    </r>
    <r>
      <rPr>
        <sz val="11"/>
        <color theme="1"/>
        <rFont val="Arial"/>
        <family val="2"/>
      </rPr>
      <t xml:space="preserve"> Ao Excelentíssimo Senhor Prefeito Gerson Pessoa para manifestar agradecimento desta Câmara pela implantação do guard rail ao longo da calçada da Avenida dos Autonomistas, no Km 18.</t>
    </r>
  </si>
  <si>
    <r>
      <t xml:space="preserve">MOÇÃO DE RECONHECIMENTO Nº 569/2025 – STEPHANE ROSSI – </t>
    </r>
    <r>
      <rPr>
        <sz val="11"/>
        <color theme="1"/>
        <rFont val="Arial"/>
        <family val="2"/>
      </rPr>
      <t>Para a Secretaria de Educação do Município de Osasco pelo projeto Oficina de Saberes, desenvolvido para oferecer atendimento de pessoas com deficiências, visando o desenvolvimento de potencialidades, talentos, habilidades e aptidões físicas, cognitivas, artísticas e atitudinais, que contribuam para a conquista da autonomia, socialização e inclusão social.</t>
    </r>
  </si>
  <si>
    <r>
      <t>MOÇÃO DE APELO Nº 573/2025 – PEDRINHO CANTAGESSI –</t>
    </r>
    <r>
      <rPr>
        <sz val="11"/>
        <color theme="1"/>
        <rFont val="Arial"/>
        <family val="2"/>
      </rPr>
      <t xml:space="preserve"> À Secretaria de Esportes para que implante um Complexo Aquático na Zona Norte da cidade.</t>
    </r>
  </si>
  <si>
    <r>
      <t xml:space="preserve">PROJETO DE RESOLUÇÃO Nº 6/2025 - JOSIAS DA JUCO – </t>
    </r>
    <r>
      <rPr>
        <sz val="11"/>
        <color theme="1"/>
        <rFont val="Arial"/>
        <family val="2"/>
      </rPr>
      <t>Institui o Programa Nossa História no âmbito da Câmara Municipal de Osasco e dá outras providências.</t>
    </r>
  </si>
  <si>
    <t>pela ausência do autor, será pautado na próxima sessão.</t>
  </si>
  <si>
    <t>69ª SESSÃO ORDINÁRIA</t>
  </si>
  <si>
    <t>DIA 27 DE NOVEMBRO DE 2025 - QUINTA-FEIRA</t>
  </si>
  <si>
    <t>Ofício Prolegis nº 202503235456 – Prefeito do Município de Osasco – Informa a sanção da Lei nº 5.436, de 24 de novembro de 2025, referente ao Projeto de Lei nº 55/2025 de autoria da Vereadora Stephane Rossi, que institui o mês maio laranja.</t>
  </si>
  <si>
    <t>Ofício Prolegis nº 202503235473 – Prefeito do Município de Osasco – Informa a sanção da Lei nº 5.437, de 24 de novembro de 2025, referente ao Projeto de Lei nº 80/2024 de autoria do Vereador Batista Comunidade, que institui o dia municipal da moda.</t>
  </si>
  <si>
    <t>Projeto de Lei nº 216/2025 – Guilherme Prado – Dispõe sobre alteração da denominação da rua General Labatut para rua Padre Léo.</t>
  </si>
  <si>
    <t>Projeto de Lei nº 217/2025 – Gabriel Saúde – Institui a política municipal de incentivo ao diagnóstico do transtorno do espectro autista (TEA) em adultos e idosos no Município de Osasco e dá outras providências.</t>
  </si>
  <si>
    <t>Projeto de Decreto Legislativo nº 85/2025 – Gabriel Saúde – Ficam concedidos ao Sr. Toshio Yasutaki a Medalha Antônio Raposo Tavares e o Diploma Cidade de Osasco.</t>
  </si>
  <si>
    <r>
      <t xml:space="preserve">MOÇÃO DE APLAUSO Nº 561/2025 – RODOLFO CARA – </t>
    </r>
    <r>
      <rPr>
        <sz val="11"/>
        <color theme="1"/>
        <rFont val="Arial"/>
        <family val="2"/>
      </rPr>
      <t>À Professora Patrícia Hernandez por sua dedicação, competência profissional e relevantes serviços prestados à população osasquense.</t>
    </r>
  </si>
  <si>
    <r>
      <t>MOÇÃO DE RECONHECIMENTO Nº 570/2025 – LAÉRCIO MENDONÇA –</t>
    </r>
    <r>
      <rPr>
        <sz val="11"/>
        <color theme="1"/>
        <rFont val="Arial"/>
        <family val="2"/>
      </rPr>
      <t xml:space="preserve"> Para o professor Rogério Lara Longhini, em razão de sua destacada contribuição ao esporte e à formação humana por meio da prática e ensino do Jiu-Jitsu em nossa cidade.</t>
    </r>
  </si>
  <si>
    <r>
      <t xml:space="preserve">MOÇÃO DE CONGRATULAÇÕES Nº 572/2025 – DELBIO TERUEL – </t>
    </r>
    <r>
      <rPr>
        <sz val="11"/>
        <color theme="1"/>
        <rFont val="Arial"/>
        <family val="2"/>
      </rPr>
      <t>Para João Velloza pelo extraordinário bicampeonato mundial de Judô Veteranos, conquistado no Campeonato Mundial de Judô realizado em Paris, entre os dias 3 e 7 de novembro.</t>
    </r>
  </si>
  <si>
    <r>
      <t xml:space="preserve">MOÇÃO DE APLAUSO Nº 533/2025 – BATISTA COMUNIDADE – </t>
    </r>
    <r>
      <rPr>
        <sz val="11"/>
        <color theme="1"/>
        <rFont val="Arial"/>
        <family val="2"/>
      </rPr>
      <t>Ao Sr. Diney Castilho por seu notável trabalho social, político e comunitário em prol da população.</t>
    </r>
  </si>
  <si>
    <r>
      <t>MOÇÃO DE RECONHECIMENTO Nº 575/2025 – JOSIAS DA JUCO –</t>
    </r>
    <r>
      <rPr>
        <sz val="11"/>
        <color theme="1"/>
        <rFont val="Arial"/>
        <family val="2"/>
      </rPr>
      <t xml:space="preserve"> À Controladoria Geral Do Município por todo o trabalho realizado na promoção da transparência pública.</t>
    </r>
  </si>
  <si>
    <r>
      <t xml:space="preserve">MOÇÃO DE RECONHECIMENTO Nº 576/2025 – CARMÔNIO BASTOS – </t>
    </r>
    <r>
      <rPr>
        <sz val="11"/>
        <color theme="1"/>
        <rFont val="Arial"/>
        <family val="2"/>
      </rPr>
      <t>À equipe Stadium Futsal, pelos 19 anos de contribuição ao esporte, à formação cidadã de jovens atletas e pela brilhante conquista do Vice-Campeonato Paulista Sub-12 – Série Ouro 2025, consolidando o nome de Osasco entre os grandes projetos de base do futsal paulista.</t>
    </r>
  </si>
  <si>
    <r>
      <t xml:space="preserve">MOÇÃO DE CONGRATULAÇÕES Nº 577/2025 – ELSA OLIVEIRA – </t>
    </r>
    <r>
      <rPr>
        <sz val="11"/>
        <color theme="1"/>
        <rFont val="Arial"/>
        <family val="2"/>
      </rPr>
      <t>Aos síndicos, em homenagem ao Dia Nacional do Síndico, celebrado em 30 de novembro.</t>
    </r>
  </si>
  <si>
    <r>
      <t xml:space="preserve">MOÇÃO DE APLAUSO Nº 578/2025 – PAULO JÚNIOR – </t>
    </r>
    <r>
      <rPr>
        <sz val="11"/>
        <color theme="1"/>
        <rFont val="Arial"/>
        <family val="2"/>
      </rPr>
      <t>À Igreja Casa da Benção - ICB, liderada pelo apóstolo Jair de Oliveira e missionária Graça, e para Atus Comunidade, liderada pelos apóstolos Gilson e Mirian Matias, em reconhecimento pela realização da maior Conferência de Pastores e Líderes da cidade de Osasco.</t>
    </r>
  </si>
  <si>
    <r>
      <t>MOÇÃO DE APLAUSO Nº 579/2025 – PAULO JÚNIOR –</t>
    </r>
    <r>
      <rPr>
        <sz val="11"/>
        <color theme="1"/>
        <rFont val="Arial"/>
        <family val="2"/>
      </rPr>
      <t xml:space="preserve"> À Igreja do Nazareno – Jardim das Flores, pela celebração de seus 65 anos de fundação, comemorados no ano de 2025.</t>
    </r>
  </si>
  <si>
    <r>
      <t xml:space="preserve">MOÇÃO DE RECONHECIMENTO Nº 580/2025 – GABRIEL SAÚDE – </t>
    </r>
    <r>
      <rPr>
        <sz val="11"/>
        <color theme="1"/>
        <rFont val="Arial"/>
        <family val="2"/>
      </rPr>
      <t>Ao senhor Felipe Carbonelli, em homenagem à sua trajetória profissional, seu comprometimento com o setor automotivo e sua relevante contribuição ao desenvolvimento econômico da cidade de Osasco.</t>
    </r>
  </si>
  <si>
    <r>
      <t xml:space="preserve">MOÇÃO DE APLAUSO Nº 581/2025 – PAULO JÚNIOR – </t>
    </r>
    <r>
      <rPr>
        <sz val="11"/>
        <color theme="1"/>
        <rFont val="Arial"/>
        <family val="2"/>
      </rPr>
      <t xml:space="preserve">Ao Sr. Emerson dos Santos Goulart pelo heróico salvamento de vida de uma família. </t>
    </r>
  </si>
  <si>
    <r>
      <t>PROJETO DE RESOLUÇÃO Nº 11/2025 - ALEXANDRE CAPRIOTTI –</t>
    </r>
    <r>
      <rPr>
        <sz val="14"/>
        <color theme="1"/>
        <rFont val="Arial"/>
        <family val="2"/>
      </rPr>
      <t xml:space="preserve"> Dispõe sobre a criação da Procuradoria Especial contra maus-tratos a animais na Câmara Municipal de Osasco.</t>
    </r>
  </si>
  <si>
    <r>
      <t xml:space="preserve">PROJETO DE RESOLUÇÃO N.º 7/2025 – ELANIA SILVA – </t>
    </r>
    <r>
      <rPr>
        <sz val="11"/>
        <color theme="1"/>
        <rFont val="Arial"/>
        <family val="2"/>
      </rPr>
      <t>Institui, no âmbito da Câmara Municipal de Osasco o Programa ' Tampinhas do Bem'.</t>
    </r>
  </si>
  <si>
    <r>
      <t>PROJETO DE DECRETO LEGISLATIVO Nº 55/2025 – ELSA OLIVEIRA -</t>
    </r>
    <r>
      <rPr>
        <sz val="11"/>
        <color theme="1"/>
        <rFont val="Arial"/>
        <family val="2"/>
      </rPr>
      <t xml:space="preserve"> Dispõe sobre a concessão de Título de Cidadã Osasquense à Senhora Maria Helena Dias.</t>
    </r>
  </si>
  <si>
    <r>
      <t xml:space="preserve">PROJETO DE DECRETO LEGISLATIVO Nº 27/2025 – SÉRGIO FONTELLAS - </t>
    </r>
    <r>
      <rPr>
        <sz val="11"/>
        <color theme="1"/>
        <rFont val="Arial"/>
        <family val="2"/>
      </rPr>
      <t>Dispõe sobre a concessão de Título de Cidadã Osasquense à Deputada Federal Maria do Parto Mendes Rosas.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</si>
</sst>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2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tabSelected="1" zoomScale="70" zoomScaleNormal="70" workbookViewId="0">
      <selection activeCell="A32" sqref="A32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7" t="s">
        <v>29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70"/>
      <c r="O1" s="70"/>
      <c r="P1" s="70"/>
      <c r="Q1" s="40">
        <v>1</v>
      </c>
      <c r="R1" s="36" t="s">
        <v>10</v>
      </c>
      <c r="T1" s="151"/>
      <c r="U1" s="151"/>
      <c r="V1" s="151"/>
      <c r="W1" s="151"/>
      <c r="X1" s="151"/>
      <c r="Y1" s="151"/>
      <c r="Z1" s="7" t="s">
        <v>16</v>
      </c>
    </row>
    <row r="2" spans="1:28" ht="19.5" customHeight="1">
      <c r="A2" s="83" t="s">
        <v>105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70"/>
      <c r="O2" s="70"/>
      <c r="P2" s="70"/>
      <c r="Q2" s="35">
        <v>2</v>
      </c>
      <c r="R2" s="36" t="s">
        <v>11</v>
      </c>
      <c r="T2" s="151"/>
      <c r="U2" s="151"/>
      <c r="V2" s="151"/>
      <c r="W2" s="151"/>
      <c r="X2" s="151"/>
      <c r="Y2" s="151"/>
      <c r="Z2" s="7" t="s">
        <v>17</v>
      </c>
    </row>
    <row r="3" spans="1:28" ht="19.5" customHeight="1" thickBot="1">
      <c r="A3" s="83" t="s">
        <v>106</v>
      </c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70"/>
      <c r="O3" s="70"/>
      <c r="P3" s="70"/>
      <c r="Q3" s="41">
        <v>3</v>
      </c>
      <c r="R3" s="37" t="s">
        <v>12</v>
      </c>
      <c r="T3" s="151"/>
      <c r="U3" s="151"/>
      <c r="V3" s="151"/>
      <c r="W3" s="151"/>
      <c r="X3" s="151"/>
      <c r="Y3" s="151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1"/>
      <c r="U4" s="151"/>
      <c r="V4" s="151"/>
      <c r="W4" s="151"/>
      <c r="X4" s="151"/>
      <c r="Y4" s="151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62"/>
      <c r="F5" s="88">
        <v>2</v>
      </c>
      <c r="G5" s="102" t="s">
        <v>53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1"/>
      <c r="U5" s="151"/>
      <c r="V5" s="151"/>
      <c r="W5" s="151"/>
      <c r="X5" s="151"/>
      <c r="Y5" s="151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51"/>
      <c r="U6" s="151"/>
      <c r="V6" s="151"/>
      <c r="W6" s="151"/>
      <c r="X6" s="151"/>
      <c r="Y6" s="151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1"/>
      <c r="U7" s="151"/>
      <c r="V7" s="151"/>
      <c r="W7" s="151"/>
      <c r="X7" s="151"/>
      <c r="Y7" s="151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1"/>
      <c r="U8" s="151"/>
      <c r="V8" s="151"/>
      <c r="W8" s="151"/>
      <c r="X8" s="151"/>
      <c r="Y8" s="151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51"/>
      <c r="U9" s="151"/>
      <c r="V9" s="151"/>
      <c r="W9" s="151"/>
      <c r="X9" s="151"/>
      <c r="Y9" s="151"/>
    </row>
    <row r="10" spans="1:28" ht="18" customHeight="1">
      <c r="A10" s="46" t="s">
        <v>56</v>
      </c>
      <c r="B10" s="88">
        <v>1</v>
      </c>
      <c r="C10" s="62" t="s">
        <v>52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51"/>
      <c r="U10" s="151"/>
      <c r="V10" s="151"/>
      <c r="W10" s="151"/>
      <c r="X10" s="151"/>
      <c r="Y10" s="151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1"/>
      <c r="U11" s="151"/>
      <c r="V11" s="151"/>
      <c r="W11" s="151"/>
      <c r="X11" s="151"/>
      <c r="Y11" s="151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1"/>
      <c r="U12" s="151"/>
      <c r="V12" s="151"/>
      <c r="W12" s="151"/>
      <c r="X12" s="151"/>
      <c r="Y12" s="151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1</v>
      </c>
      <c r="G13" s="62" t="s">
        <v>52</v>
      </c>
      <c r="H13" s="63"/>
      <c r="I13" s="62"/>
      <c r="J13" s="63">
        <v>2</v>
      </c>
      <c r="K13" s="102" t="s">
        <v>53</v>
      </c>
      <c r="L13" s="67"/>
      <c r="M13" s="65"/>
      <c r="N13" s="63"/>
      <c r="O13" s="62"/>
      <c r="P13" s="63"/>
      <c r="Q13" s="63"/>
      <c r="R13" s="102"/>
      <c r="S13" s="91"/>
      <c r="T13" s="151"/>
      <c r="U13" s="151"/>
      <c r="V13" s="151"/>
      <c r="W13" s="151"/>
      <c r="X13" s="151"/>
      <c r="Y13" s="151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1"/>
      <c r="U14" s="151"/>
      <c r="V14" s="151"/>
      <c r="W14" s="151"/>
      <c r="X14" s="151"/>
      <c r="Y14" s="151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51"/>
      <c r="U15" s="151"/>
      <c r="V15" s="151"/>
      <c r="W15" s="151"/>
      <c r="X15" s="151"/>
      <c r="Y15" s="151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51"/>
      <c r="U16" s="151"/>
      <c r="V16" s="151"/>
      <c r="W16" s="151"/>
      <c r="X16" s="151"/>
      <c r="Y16" s="151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51"/>
      <c r="U17" s="151"/>
      <c r="V17" s="151"/>
      <c r="W17" s="151"/>
      <c r="X17" s="151"/>
      <c r="Y17" s="151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1"/>
      <c r="U18" s="151"/>
      <c r="V18" s="151"/>
      <c r="W18" s="151"/>
      <c r="X18" s="151"/>
      <c r="Y18" s="151"/>
    </row>
    <row r="19" spans="1:28" ht="18" customHeight="1">
      <c r="A19" s="46" t="s">
        <v>97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51"/>
      <c r="U19" s="151"/>
      <c r="V19" s="151"/>
      <c r="W19" s="151"/>
      <c r="X19" s="151"/>
      <c r="Y19" s="151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51"/>
      <c r="U20" s="151"/>
      <c r="V20" s="151"/>
      <c r="W20" s="151"/>
      <c r="X20" s="151"/>
      <c r="Y20" s="151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1"/>
      <c r="U21" s="151"/>
      <c r="V21" s="151"/>
      <c r="W21" s="151"/>
      <c r="X21" s="151"/>
      <c r="Y21" s="151"/>
    </row>
    <row r="22" spans="1:28" ht="18" customHeight="1">
      <c r="A22" s="46" t="s">
        <v>69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1"/>
      <c r="U22" s="151"/>
      <c r="V22" s="151"/>
      <c r="W22" s="151"/>
      <c r="X22" s="151"/>
      <c r="Y22" s="151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1"/>
      <c r="U23" s="151"/>
      <c r="V23" s="151"/>
      <c r="W23" s="151"/>
      <c r="X23" s="151"/>
      <c r="Y23" s="151"/>
    </row>
    <row r="24" spans="1:28" ht="20.25">
      <c r="A24" s="46" t="s">
        <v>92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1"/>
      <c r="U24" s="151"/>
      <c r="V24" s="151"/>
      <c r="W24" s="151"/>
      <c r="X24" s="151"/>
      <c r="Y24" s="151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2</v>
      </c>
      <c r="K25" s="102" t="s">
        <v>53</v>
      </c>
      <c r="L25" s="67"/>
      <c r="M25" s="65"/>
      <c r="N25" s="63"/>
      <c r="O25" s="62"/>
      <c r="P25" s="63"/>
      <c r="Q25" s="66"/>
      <c r="R25" s="102"/>
      <c r="S25" s="91"/>
      <c r="T25" s="151"/>
      <c r="U25" s="151"/>
      <c r="V25" s="151"/>
      <c r="W25" s="151"/>
      <c r="X25" s="151"/>
      <c r="Y25" s="151"/>
    </row>
    <row r="26" spans="1:28" ht="16.5" thickBot="1">
      <c r="A26" s="38" t="s">
        <v>13</v>
      </c>
      <c r="B26" s="98">
        <v>10</v>
      </c>
      <c r="C26" s="96" t="s">
        <v>46</v>
      </c>
      <c r="D26" s="98"/>
      <c r="E26" s="96" t="s">
        <v>46</v>
      </c>
      <c r="F26" s="98">
        <v>14</v>
      </c>
      <c r="G26" s="96" t="s">
        <v>46</v>
      </c>
      <c r="H26" s="100"/>
      <c r="I26" s="101"/>
      <c r="J26" s="98">
        <v>13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47</v>
      </c>
      <c r="D27" s="98"/>
      <c r="E27" s="96" t="s">
        <v>47</v>
      </c>
      <c r="F27" s="98">
        <v>7</v>
      </c>
      <c r="G27" s="96" t="s">
        <v>47</v>
      </c>
      <c r="H27" s="100"/>
      <c r="I27" s="96"/>
      <c r="J27" s="98">
        <v>8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57</v>
      </c>
      <c r="V32" s="12"/>
      <c r="W32" s="12"/>
    </row>
    <row r="33" spans="1:23" ht="18">
      <c r="A33" s="34" t="s">
        <v>24</v>
      </c>
      <c r="V33" s="12"/>
      <c r="W33" s="12"/>
    </row>
    <row r="34" spans="1:23" ht="18">
      <c r="A34" s="34" t="s">
        <v>60</v>
      </c>
      <c r="V34" s="12"/>
      <c r="W34" s="12"/>
    </row>
    <row r="35" spans="1:23" ht="18">
      <c r="A35" s="34" t="s">
        <v>23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51</v>
      </c>
      <c r="V42" s="12"/>
      <c r="W42" s="12"/>
    </row>
    <row r="43" spans="1:23" ht="18">
      <c r="A43" s="34" t="s">
        <v>26</v>
      </c>
      <c r="V43" s="12"/>
      <c r="W43" s="12"/>
    </row>
    <row r="44" spans="1:23" ht="18">
      <c r="A44" s="34" t="s">
        <v>49</v>
      </c>
      <c r="V44" s="12"/>
      <c r="W44" s="12"/>
    </row>
    <row r="45" spans="1:23" ht="18">
      <c r="A45" s="34" t="s">
        <v>69</v>
      </c>
      <c r="V45" s="12"/>
      <c r="W45" s="12"/>
    </row>
    <row r="46" spans="1:23" ht="18">
      <c r="A46" s="34" t="s">
        <v>92</v>
      </c>
      <c r="B46" s="7"/>
      <c r="V46" s="12"/>
      <c r="W46" s="32"/>
    </row>
    <row r="47" spans="1:23" ht="18">
      <c r="A47" s="34" t="s">
        <v>68</v>
      </c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59</v>
      </c>
    </row>
    <row r="53" spans="1:23" ht="18">
      <c r="A53" s="34" t="s">
        <v>69</v>
      </c>
    </row>
    <row r="54" spans="1:23" ht="18">
      <c r="A54" s="34" t="s">
        <v>62</v>
      </c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Y39"/>
  <sheetViews>
    <sheetView workbookViewId="0">
      <pane xSplit="1" topLeftCell="B1" activePane="topRight" state="frozen"/>
      <selection pane="topRight" activeCell="V11" sqref="V11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25" width="22.7109375" style="22" customWidth="1"/>
    <col min="26" max="16384" width="9.140625" style="22"/>
  </cols>
  <sheetData>
    <row r="1" spans="1:25" ht="15">
      <c r="A1" s="76" t="s">
        <v>8</v>
      </c>
      <c r="B1" s="21"/>
      <c r="C1" s="21"/>
      <c r="D1" s="21"/>
      <c r="E1" s="21"/>
      <c r="F1" s="21"/>
      <c r="G1" s="21"/>
      <c r="H1" s="21"/>
      <c r="I1" s="21"/>
    </row>
    <row r="2" spans="1:25" ht="15">
      <c r="A2" s="76" t="s">
        <v>105</v>
      </c>
      <c r="B2" s="21"/>
      <c r="C2" s="21"/>
      <c r="D2" s="21"/>
      <c r="E2" s="21"/>
      <c r="F2" s="21"/>
      <c r="G2" s="21"/>
      <c r="H2" s="21"/>
      <c r="I2" s="21"/>
    </row>
    <row r="3" spans="1:25" ht="17.25" customHeight="1">
      <c r="A3" s="76" t="s">
        <v>106</v>
      </c>
      <c r="B3" s="21"/>
      <c r="C3" s="21"/>
      <c r="D3" s="21"/>
      <c r="E3" s="21"/>
      <c r="F3" s="21"/>
      <c r="G3" s="21"/>
      <c r="H3" s="21"/>
      <c r="I3" s="21"/>
    </row>
    <row r="4" spans="1:25" ht="63" customHeight="1">
      <c r="A4" s="51" t="str">
        <f>'[1]MOÇÃO E REQUERIMENTO'!B7</f>
        <v>EXPEDIENTE</v>
      </c>
      <c r="B4" s="50" t="s">
        <v>45</v>
      </c>
      <c r="C4" s="117" t="s">
        <v>107</v>
      </c>
      <c r="D4" s="117" t="s">
        <v>108</v>
      </c>
      <c r="E4" s="117" t="s">
        <v>109</v>
      </c>
      <c r="F4" s="117" t="s">
        <v>110</v>
      </c>
      <c r="G4" s="117" t="s">
        <v>111</v>
      </c>
      <c r="H4" s="112" t="s">
        <v>34</v>
      </c>
      <c r="I4" s="124"/>
      <c r="J4" s="50" t="s">
        <v>27</v>
      </c>
      <c r="K4" s="84" t="s">
        <v>99</v>
      </c>
      <c r="L4" s="84" t="s">
        <v>100</v>
      </c>
      <c r="M4" s="84" t="s">
        <v>112</v>
      </c>
      <c r="N4" s="84" t="s">
        <v>101</v>
      </c>
      <c r="O4" s="84" t="s">
        <v>113</v>
      </c>
      <c r="P4" s="84" t="s">
        <v>114</v>
      </c>
      <c r="Q4" s="84" t="s">
        <v>102</v>
      </c>
      <c r="R4" s="84" t="s">
        <v>115</v>
      </c>
      <c r="S4" s="84" t="s">
        <v>116</v>
      </c>
      <c r="T4" s="84" t="s">
        <v>117</v>
      </c>
      <c r="U4" s="84" t="s">
        <v>118</v>
      </c>
      <c r="V4" s="84" t="s">
        <v>119</v>
      </c>
      <c r="W4" s="84" t="s">
        <v>120</v>
      </c>
      <c r="X4" s="84" t="s">
        <v>121</v>
      </c>
      <c r="Y4" s="84" t="s">
        <v>122</v>
      </c>
    </row>
    <row r="5" spans="1:25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113"/>
      <c r="K5" s="118" t="s">
        <v>71</v>
      </c>
      <c r="L5" s="118" t="s">
        <v>71</v>
      </c>
      <c r="M5" s="113" t="s">
        <v>65</v>
      </c>
      <c r="N5" s="113" t="s">
        <v>65</v>
      </c>
      <c r="O5" s="113" t="s">
        <v>65</v>
      </c>
      <c r="P5" s="113" t="s">
        <v>65</v>
      </c>
      <c r="Q5" s="113" t="s">
        <v>65</v>
      </c>
      <c r="R5" s="118" t="s">
        <v>71</v>
      </c>
      <c r="S5" s="118" t="s">
        <v>71</v>
      </c>
      <c r="T5" s="113" t="s">
        <v>65</v>
      </c>
      <c r="U5" s="113" t="s">
        <v>65</v>
      </c>
      <c r="V5" s="118" t="s">
        <v>71</v>
      </c>
      <c r="W5" s="118" t="s">
        <v>71</v>
      </c>
      <c r="X5" s="113" t="s">
        <v>65</v>
      </c>
      <c r="Y5" s="113" t="s">
        <v>65</v>
      </c>
    </row>
    <row r="6" spans="1:25" ht="15.75">
      <c r="A6" s="127" t="s">
        <v>51</v>
      </c>
      <c r="J6" s="23"/>
    </row>
    <row r="7" spans="1:25" ht="15.75">
      <c r="A7" s="127" t="s">
        <v>68</v>
      </c>
      <c r="J7" s="23"/>
    </row>
    <row r="8" spans="1:25" ht="15.75">
      <c r="A8" s="127" t="s">
        <v>54</v>
      </c>
      <c r="J8" s="23"/>
    </row>
    <row r="9" spans="1:25" ht="15.75">
      <c r="A9" s="128" t="s">
        <v>55</v>
      </c>
      <c r="J9" s="23"/>
    </row>
    <row r="10" spans="1:25" ht="15.75">
      <c r="A10" s="127" t="s">
        <v>28</v>
      </c>
      <c r="J10" s="23"/>
    </row>
    <row r="11" spans="1:25" ht="15.75">
      <c r="A11" s="127" t="s">
        <v>56</v>
      </c>
      <c r="J11" s="23"/>
    </row>
    <row r="12" spans="1:25" ht="15.75">
      <c r="A12" s="127" t="s">
        <v>22</v>
      </c>
      <c r="J12" s="23"/>
    </row>
    <row r="13" spans="1:25" ht="15.75">
      <c r="A13" s="127" t="s">
        <v>23</v>
      </c>
      <c r="J13" s="23"/>
    </row>
    <row r="14" spans="1:25" ht="15.75">
      <c r="A14" s="127" t="s">
        <v>24</v>
      </c>
      <c r="J14" s="23"/>
    </row>
    <row r="15" spans="1:25" ht="15.75">
      <c r="A15" s="127" t="s">
        <v>57</v>
      </c>
      <c r="J15" s="23"/>
    </row>
    <row r="16" spans="1:25" ht="15.75">
      <c r="A16" s="127" t="s">
        <v>58</v>
      </c>
      <c r="J16" s="23"/>
    </row>
    <row r="17" spans="1:10" ht="15.75">
      <c r="A17" s="127" t="s">
        <v>59</v>
      </c>
      <c r="J17" s="23"/>
    </row>
    <row r="18" spans="1:10" ht="15.75">
      <c r="A18" s="127" t="s">
        <v>25</v>
      </c>
      <c r="J18" s="23"/>
    </row>
    <row r="19" spans="1:10" ht="15.75">
      <c r="A19" s="127" t="s">
        <v>60</v>
      </c>
      <c r="J19" s="23"/>
    </row>
    <row r="20" spans="1:10" ht="15.75">
      <c r="A20" s="127" t="s">
        <v>97</v>
      </c>
      <c r="J20" s="23"/>
    </row>
    <row r="21" spans="1:10" ht="15.75">
      <c r="A21" s="127" t="s">
        <v>26</v>
      </c>
      <c r="J21" s="23"/>
    </row>
    <row r="22" spans="1:10" ht="15.75">
      <c r="A22" s="127" t="s">
        <v>61</v>
      </c>
      <c r="J22" s="23"/>
    </row>
    <row r="23" spans="1:10" ht="15.75">
      <c r="A23" s="127" t="s">
        <v>69</v>
      </c>
      <c r="J23" s="23"/>
    </row>
    <row r="24" spans="1:10" ht="15.75">
      <c r="A24" s="127" t="s">
        <v>49</v>
      </c>
      <c r="J24" s="23"/>
    </row>
    <row r="25" spans="1:10" ht="15.75">
      <c r="A25" s="127" t="s">
        <v>92</v>
      </c>
      <c r="J25" s="23"/>
    </row>
    <row r="26" spans="1:10" ht="15.75">
      <c r="A26" s="127" t="s">
        <v>62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7" sqref="E7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105</v>
      </c>
      <c r="B2" s="49"/>
      <c r="C2" s="74"/>
    </row>
    <row r="3" spans="1:45" ht="17.25" customHeight="1">
      <c r="A3" s="76" t="s">
        <v>106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2"/>
      <c r="D5" s="79"/>
      <c r="E5" s="146" t="s">
        <v>70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 t="s">
        <v>66</v>
      </c>
    </row>
    <row r="7" spans="1:45" ht="20.25">
      <c r="A7" s="46" t="s">
        <v>68</v>
      </c>
      <c r="C7" s="107"/>
      <c r="E7" s="107" t="s">
        <v>66</v>
      </c>
    </row>
    <row r="8" spans="1:45" ht="20.25">
      <c r="A8" s="46" t="s">
        <v>54</v>
      </c>
      <c r="C8" s="107"/>
      <c r="E8" s="107" t="s">
        <v>66</v>
      </c>
    </row>
    <row r="9" spans="1:45" ht="20.25">
      <c r="A9" s="82" t="s">
        <v>55</v>
      </c>
      <c r="C9" s="114"/>
      <c r="E9" s="114" t="s">
        <v>98</v>
      </c>
    </row>
    <row r="10" spans="1:45" ht="20.25">
      <c r="A10" s="46" t="s">
        <v>28</v>
      </c>
      <c r="C10" s="114"/>
      <c r="E10" s="114" t="s">
        <v>53</v>
      </c>
    </row>
    <row r="11" spans="1:45" ht="20.25">
      <c r="A11" s="46" t="s">
        <v>56</v>
      </c>
      <c r="C11" s="107"/>
      <c r="E11" s="107" t="s">
        <v>66</v>
      </c>
    </row>
    <row r="12" spans="1:45" ht="20.25">
      <c r="A12" s="46" t="s">
        <v>22</v>
      </c>
      <c r="C12" s="107"/>
      <c r="E12" s="107" t="s">
        <v>66</v>
      </c>
    </row>
    <row r="13" spans="1:45" ht="20.25">
      <c r="A13" s="46" t="s">
        <v>23</v>
      </c>
      <c r="C13" s="114"/>
      <c r="E13" s="114" t="s">
        <v>53</v>
      </c>
    </row>
    <row r="14" spans="1:45" ht="20.25">
      <c r="A14" s="46" t="s">
        <v>24</v>
      </c>
      <c r="C14" s="107"/>
      <c r="E14" s="114" t="s">
        <v>53</v>
      </c>
    </row>
    <row r="15" spans="1:45" ht="20.25">
      <c r="A15" s="46" t="s">
        <v>57</v>
      </c>
      <c r="C15" s="107"/>
      <c r="E15" s="107" t="s">
        <v>66</v>
      </c>
    </row>
    <row r="16" spans="1:45" ht="20.25">
      <c r="A16" s="46" t="s">
        <v>58</v>
      </c>
      <c r="C16" s="107"/>
      <c r="E16" s="114" t="s">
        <v>53</v>
      </c>
    </row>
    <row r="17" spans="1:130" ht="20.25">
      <c r="A17" s="46" t="s">
        <v>59</v>
      </c>
      <c r="C17" s="144"/>
      <c r="E17" s="107" t="s">
        <v>66</v>
      </c>
    </row>
    <row r="18" spans="1:130" ht="20.25">
      <c r="A18" s="46" t="s">
        <v>25</v>
      </c>
      <c r="C18" s="107"/>
      <c r="E18" s="114" t="s">
        <v>53</v>
      </c>
    </row>
    <row r="19" spans="1:130" ht="20.25">
      <c r="A19" s="46" t="s">
        <v>60</v>
      </c>
      <c r="C19" s="107"/>
      <c r="E19" s="107" t="s">
        <v>66</v>
      </c>
    </row>
    <row r="20" spans="1:130" ht="20.25">
      <c r="A20" s="46" t="s">
        <v>97</v>
      </c>
      <c r="C20" s="107"/>
      <c r="E20" s="107" t="s">
        <v>66</v>
      </c>
    </row>
    <row r="21" spans="1:130" ht="20.25">
      <c r="A21" s="46" t="s">
        <v>26</v>
      </c>
      <c r="C21" s="107"/>
      <c r="E21" s="107" t="s">
        <v>66</v>
      </c>
    </row>
    <row r="22" spans="1:130" ht="20.25">
      <c r="A22" s="46" t="s">
        <v>61</v>
      </c>
      <c r="C22" s="107"/>
      <c r="E22" s="107" t="s">
        <v>66</v>
      </c>
    </row>
    <row r="23" spans="1:130" ht="20.25">
      <c r="A23" s="46" t="s">
        <v>69</v>
      </c>
      <c r="C23" s="107"/>
      <c r="E23" s="107" t="s">
        <v>66</v>
      </c>
    </row>
    <row r="24" spans="1:130" ht="20.25">
      <c r="A24" s="46" t="s">
        <v>49</v>
      </c>
      <c r="C24" s="107"/>
      <c r="E24" s="107" t="s">
        <v>66</v>
      </c>
    </row>
    <row r="25" spans="1:130" ht="20.25">
      <c r="A25" s="46" t="s">
        <v>92</v>
      </c>
      <c r="C25" s="107"/>
      <c r="E25" s="107" t="s">
        <v>66</v>
      </c>
    </row>
    <row r="26" spans="1:130" ht="20.25">
      <c r="A26" s="46" t="s">
        <v>62</v>
      </c>
      <c r="C26" s="114"/>
      <c r="E26" s="114" t="s">
        <v>53</v>
      </c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14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6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D10" sqref="D10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103</v>
      </c>
      <c r="D4" s="139" t="s">
        <v>124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18" t="s">
        <v>104</v>
      </c>
      <c r="D5" s="145" t="s">
        <v>70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/>
      <c r="D6" s="107" t="s">
        <v>66</v>
      </c>
      <c r="V6" s="7"/>
      <c r="W6" s="7"/>
    </row>
    <row r="7" spans="1:30" ht="18">
      <c r="A7" s="129" t="s">
        <v>68</v>
      </c>
      <c r="C7" s="107"/>
      <c r="D7" s="107" t="s">
        <v>66</v>
      </c>
      <c r="V7" s="7"/>
      <c r="W7" s="7"/>
    </row>
    <row r="8" spans="1:30" ht="18">
      <c r="A8" s="129" t="s">
        <v>54</v>
      </c>
      <c r="C8" s="107"/>
      <c r="D8" s="107" t="s">
        <v>66</v>
      </c>
      <c r="V8" s="7"/>
      <c r="W8" s="7"/>
    </row>
    <row r="9" spans="1:30" ht="18">
      <c r="A9" s="130" t="s">
        <v>55</v>
      </c>
      <c r="C9" s="114"/>
      <c r="D9" s="114" t="s">
        <v>98</v>
      </c>
      <c r="V9" s="7"/>
      <c r="W9" s="7"/>
    </row>
    <row r="10" spans="1:30" ht="18">
      <c r="A10" s="129" t="s">
        <v>28</v>
      </c>
      <c r="C10" s="107"/>
      <c r="D10" s="114" t="s">
        <v>53</v>
      </c>
      <c r="V10" s="7"/>
      <c r="W10" s="7"/>
    </row>
    <row r="11" spans="1:30" ht="18">
      <c r="A11" s="129" t="s">
        <v>56</v>
      </c>
      <c r="C11" s="107"/>
      <c r="D11" s="107" t="s">
        <v>66</v>
      </c>
      <c r="V11" s="7"/>
      <c r="W11" s="7"/>
    </row>
    <row r="12" spans="1:30" ht="18">
      <c r="A12" s="129" t="s">
        <v>22</v>
      </c>
      <c r="C12" s="114"/>
      <c r="D12" s="107" t="s">
        <v>66</v>
      </c>
      <c r="V12" s="7"/>
      <c r="W12" s="7"/>
    </row>
    <row r="13" spans="1:30" ht="18">
      <c r="A13" s="129" t="s">
        <v>23</v>
      </c>
      <c r="C13" s="114"/>
      <c r="D13" s="114" t="s">
        <v>53</v>
      </c>
      <c r="V13" s="7"/>
      <c r="W13" s="7"/>
    </row>
    <row r="14" spans="1:30" ht="18">
      <c r="A14" s="129" t="s">
        <v>24</v>
      </c>
      <c r="C14" s="107"/>
      <c r="D14" s="114" t="s">
        <v>53</v>
      </c>
      <c r="V14" s="7"/>
      <c r="W14" s="7"/>
    </row>
    <row r="15" spans="1:30" ht="18">
      <c r="A15" s="129" t="s">
        <v>57</v>
      </c>
      <c r="C15" s="107"/>
      <c r="D15" s="107" t="s">
        <v>66</v>
      </c>
      <c r="V15" s="7"/>
      <c r="W15" s="7"/>
    </row>
    <row r="16" spans="1:30" ht="18">
      <c r="A16" s="129" t="s">
        <v>58</v>
      </c>
      <c r="C16" s="107"/>
      <c r="D16" s="114" t="s">
        <v>53</v>
      </c>
      <c r="V16" s="7"/>
      <c r="W16" s="7"/>
    </row>
    <row r="17" spans="1:124" ht="15" customHeight="1">
      <c r="A17" s="129" t="s">
        <v>59</v>
      </c>
      <c r="C17" s="114"/>
      <c r="D17" s="107" t="s">
        <v>66</v>
      </c>
      <c r="U17" s="8"/>
      <c r="V17" s="7"/>
      <c r="W17" s="7"/>
    </row>
    <row r="18" spans="1:124" ht="18">
      <c r="A18" s="129" t="s">
        <v>25</v>
      </c>
      <c r="C18" s="114"/>
      <c r="D18" s="114" t="s">
        <v>53</v>
      </c>
      <c r="V18" s="7"/>
      <c r="W18" s="7"/>
    </row>
    <row r="19" spans="1:124" ht="18">
      <c r="A19" s="129" t="s">
        <v>60</v>
      </c>
      <c r="C19" s="107"/>
      <c r="D19" s="107" t="s">
        <v>66</v>
      </c>
      <c r="V19" s="7"/>
      <c r="W19" s="7"/>
    </row>
    <row r="20" spans="1:124" ht="18">
      <c r="A20" s="129" t="s">
        <v>97</v>
      </c>
      <c r="C20" s="107"/>
      <c r="D20" s="107" t="s">
        <v>66</v>
      </c>
      <c r="V20" s="7"/>
      <c r="W20" s="7"/>
    </row>
    <row r="21" spans="1:124" ht="18">
      <c r="A21" s="129" t="s">
        <v>26</v>
      </c>
      <c r="C21" s="107"/>
      <c r="D21" s="107" t="s">
        <v>66</v>
      </c>
      <c r="V21" s="7"/>
      <c r="W21" s="7"/>
    </row>
    <row r="22" spans="1:124" ht="18">
      <c r="A22" s="129" t="s">
        <v>61</v>
      </c>
      <c r="C22" s="107"/>
      <c r="D22" s="107" t="s">
        <v>66</v>
      </c>
      <c r="V22" s="7"/>
      <c r="W22" s="7"/>
    </row>
    <row r="23" spans="1:124" ht="18">
      <c r="A23" s="129" t="s">
        <v>69</v>
      </c>
      <c r="C23" s="107"/>
      <c r="D23" s="107" t="s">
        <v>66</v>
      </c>
      <c r="V23" s="7"/>
      <c r="W23" s="7"/>
    </row>
    <row r="24" spans="1:124" ht="18">
      <c r="A24" s="129" t="s">
        <v>49</v>
      </c>
      <c r="C24" s="107"/>
      <c r="D24" s="107" t="s">
        <v>66</v>
      </c>
      <c r="V24" s="7"/>
      <c r="W24" s="7"/>
    </row>
    <row r="25" spans="1:124" ht="18">
      <c r="A25" s="129" t="s">
        <v>92</v>
      </c>
      <c r="C25" s="107"/>
      <c r="D25" s="107" t="s">
        <v>66</v>
      </c>
      <c r="V25" s="7"/>
      <c r="W25" s="7"/>
    </row>
    <row r="26" spans="1:124" ht="18">
      <c r="A26" s="129" t="s">
        <v>62</v>
      </c>
      <c r="C26" s="107"/>
      <c r="D26" s="114" t="s">
        <v>53</v>
      </c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0</v>
      </c>
      <c r="D27" s="103">
        <f t="shared" ref="D27" si="2">COUNTIF(D6:D26,"sim")</f>
        <v>14</v>
      </c>
      <c r="K27" s="16">
        <f t="shared" ref="K27:AP27" si="3">COUNTIF(K6:K26,"sim")</f>
        <v>0</v>
      </c>
      <c r="L27" s="16">
        <f t="shared" si="3"/>
        <v>0</v>
      </c>
      <c r="M27" s="16">
        <f t="shared" si="3"/>
        <v>0</v>
      </c>
      <c r="N27" s="16">
        <f t="shared" si="3"/>
        <v>0</v>
      </c>
      <c r="O27" s="16">
        <f t="shared" si="3"/>
        <v>0</v>
      </c>
      <c r="P27" s="16">
        <f t="shared" si="3"/>
        <v>0</v>
      </c>
      <c r="Q27" s="16">
        <f t="shared" si="3"/>
        <v>0</v>
      </c>
      <c r="R27" s="16">
        <f t="shared" si="3"/>
        <v>0</v>
      </c>
      <c r="S27" s="16">
        <f t="shared" si="3"/>
        <v>0</v>
      </c>
      <c r="T27" s="16">
        <f t="shared" si="3"/>
        <v>0</v>
      </c>
      <c r="U27" s="16">
        <f t="shared" si="3"/>
        <v>0</v>
      </c>
      <c r="V27" s="16">
        <f t="shared" si="3"/>
        <v>0</v>
      </c>
      <c r="W27" s="16">
        <f t="shared" si="3"/>
        <v>0</v>
      </c>
      <c r="X27" s="16">
        <f t="shared" si="3"/>
        <v>0</v>
      </c>
      <c r="Y27" s="16">
        <f t="shared" si="3"/>
        <v>0</v>
      </c>
      <c r="Z27" s="16">
        <f t="shared" si="3"/>
        <v>0</v>
      </c>
      <c r="AA27" s="16">
        <f t="shared" si="3"/>
        <v>0</v>
      </c>
      <c r="AB27" s="16">
        <f t="shared" si="3"/>
        <v>0</v>
      </c>
      <c r="AC27" s="16">
        <f t="shared" si="3"/>
        <v>0</v>
      </c>
      <c r="AD27" s="16">
        <f t="shared" si="3"/>
        <v>0</v>
      </c>
      <c r="AE27" s="16">
        <f t="shared" si="3"/>
        <v>0</v>
      </c>
      <c r="AF27" s="16">
        <f t="shared" si="3"/>
        <v>0</v>
      </c>
      <c r="AG27" s="16">
        <f t="shared" si="3"/>
        <v>0</v>
      </c>
      <c r="AH27" s="16">
        <f t="shared" si="3"/>
        <v>0</v>
      </c>
      <c r="AI27" s="16">
        <f t="shared" si="3"/>
        <v>0</v>
      </c>
      <c r="AJ27" s="16">
        <f t="shared" si="3"/>
        <v>0</v>
      </c>
      <c r="AK27" s="16">
        <f t="shared" si="3"/>
        <v>0</v>
      </c>
      <c r="AL27" s="16">
        <f t="shared" si="3"/>
        <v>0</v>
      </c>
      <c r="AM27" s="16">
        <f t="shared" si="3"/>
        <v>0</v>
      </c>
      <c r="AN27" s="16">
        <f t="shared" si="3"/>
        <v>0</v>
      </c>
      <c r="AO27" s="16">
        <f t="shared" si="3"/>
        <v>0</v>
      </c>
      <c r="AP27" s="16">
        <f t="shared" si="3"/>
        <v>0</v>
      </c>
      <c r="AQ27" s="16">
        <f t="shared" ref="AQ27:BV27" si="4">COUNTIF(AQ6:AQ26,"sim")</f>
        <v>0</v>
      </c>
      <c r="AR27" s="16">
        <f t="shared" si="4"/>
        <v>0</v>
      </c>
      <c r="AS27" s="16">
        <f t="shared" si="4"/>
        <v>0</v>
      </c>
      <c r="AT27" s="16">
        <f t="shared" si="4"/>
        <v>0</v>
      </c>
      <c r="AU27" s="16">
        <f t="shared" si="4"/>
        <v>0</v>
      </c>
      <c r="AV27" s="16">
        <f t="shared" si="4"/>
        <v>0</v>
      </c>
      <c r="AW27" s="16">
        <f t="shared" si="4"/>
        <v>0</v>
      </c>
      <c r="AX27" s="16">
        <f t="shared" si="4"/>
        <v>0</v>
      </c>
      <c r="AY27" s="16">
        <f t="shared" si="4"/>
        <v>0</v>
      </c>
      <c r="AZ27" s="16">
        <f t="shared" si="4"/>
        <v>0</v>
      </c>
      <c r="BA27" s="16">
        <f t="shared" si="4"/>
        <v>0</v>
      </c>
      <c r="BB27" s="16">
        <f t="shared" si="4"/>
        <v>0</v>
      </c>
      <c r="BC27" s="16">
        <f t="shared" si="4"/>
        <v>0</v>
      </c>
      <c r="BD27" s="16">
        <f t="shared" si="4"/>
        <v>0</v>
      </c>
      <c r="BE27" s="16">
        <f t="shared" si="4"/>
        <v>0</v>
      </c>
      <c r="BF27" s="16">
        <f t="shared" si="4"/>
        <v>0</v>
      </c>
      <c r="BG27" s="16">
        <f t="shared" si="4"/>
        <v>0</v>
      </c>
      <c r="BH27" s="16">
        <f t="shared" si="4"/>
        <v>0</v>
      </c>
      <c r="BI27" s="16">
        <f t="shared" si="4"/>
        <v>0</v>
      </c>
      <c r="BJ27" s="16">
        <f t="shared" si="4"/>
        <v>0</v>
      </c>
      <c r="BK27" s="16">
        <f t="shared" si="4"/>
        <v>0</v>
      </c>
      <c r="BL27" s="16">
        <f t="shared" si="4"/>
        <v>0</v>
      </c>
      <c r="BM27" s="16">
        <f t="shared" si="4"/>
        <v>0</v>
      </c>
      <c r="BN27" s="16">
        <f t="shared" si="4"/>
        <v>0</v>
      </c>
      <c r="BO27" s="16">
        <f t="shared" si="4"/>
        <v>0</v>
      </c>
      <c r="BP27" s="16">
        <f t="shared" si="4"/>
        <v>0</v>
      </c>
      <c r="BQ27" s="16">
        <f t="shared" si="4"/>
        <v>0</v>
      </c>
      <c r="BR27" s="16">
        <f t="shared" si="4"/>
        <v>0</v>
      </c>
      <c r="BS27" s="16">
        <f t="shared" si="4"/>
        <v>0</v>
      </c>
      <c r="BT27" s="16">
        <f t="shared" si="4"/>
        <v>0</v>
      </c>
      <c r="BU27" s="16">
        <f t="shared" si="4"/>
        <v>0</v>
      </c>
      <c r="BV27" s="16">
        <f t="shared" si="4"/>
        <v>0</v>
      </c>
      <c r="BW27" s="16">
        <f t="shared" ref="BW27:DB27" si="5">COUNTIF(BW6:BW26,"sim")</f>
        <v>0</v>
      </c>
      <c r="BX27" s="16">
        <f t="shared" si="5"/>
        <v>0</v>
      </c>
      <c r="BY27" s="16">
        <f t="shared" si="5"/>
        <v>0</v>
      </c>
      <c r="BZ27" s="16">
        <f t="shared" si="5"/>
        <v>0</v>
      </c>
      <c r="CA27" s="16">
        <f t="shared" si="5"/>
        <v>0</v>
      </c>
      <c r="CB27" s="16">
        <f t="shared" si="5"/>
        <v>0</v>
      </c>
      <c r="CC27" s="16">
        <f t="shared" si="5"/>
        <v>0</v>
      </c>
      <c r="CD27" s="16">
        <f t="shared" si="5"/>
        <v>0</v>
      </c>
      <c r="CE27" s="16">
        <f t="shared" si="5"/>
        <v>0</v>
      </c>
      <c r="CF27" s="16">
        <f t="shared" si="5"/>
        <v>0</v>
      </c>
      <c r="CG27" s="16">
        <f t="shared" si="5"/>
        <v>0</v>
      </c>
      <c r="CH27" s="16">
        <f t="shared" si="5"/>
        <v>0</v>
      </c>
      <c r="CI27" s="16">
        <f t="shared" si="5"/>
        <v>0</v>
      </c>
      <c r="CJ27" s="16">
        <f t="shared" si="5"/>
        <v>0</v>
      </c>
      <c r="CK27" s="16">
        <f t="shared" si="5"/>
        <v>0</v>
      </c>
      <c r="CL27" s="16">
        <f t="shared" si="5"/>
        <v>0</v>
      </c>
      <c r="CM27" s="16">
        <f t="shared" si="5"/>
        <v>0</v>
      </c>
      <c r="CN27" s="16">
        <f t="shared" si="5"/>
        <v>0</v>
      </c>
      <c r="CO27" s="16">
        <f t="shared" si="5"/>
        <v>0</v>
      </c>
      <c r="CP27" s="16">
        <f t="shared" si="5"/>
        <v>0</v>
      </c>
      <c r="CQ27" s="16">
        <f t="shared" si="5"/>
        <v>0</v>
      </c>
      <c r="CR27" s="16">
        <f t="shared" si="5"/>
        <v>0</v>
      </c>
      <c r="CS27" s="16">
        <f t="shared" si="5"/>
        <v>0</v>
      </c>
      <c r="CT27" s="16">
        <f t="shared" si="5"/>
        <v>0</v>
      </c>
      <c r="CU27" s="16">
        <f t="shared" si="5"/>
        <v>0</v>
      </c>
      <c r="CV27" s="16">
        <f t="shared" si="5"/>
        <v>0</v>
      </c>
      <c r="CW27" s="16">
        <f t="shared" si="5"/>
        <v>0</v>
      </c>
      <c r="CX27" s="16">
        <f t="shared" si="5"/>
        <v>0</v>
      </c>
      <c r="CY27" s="16">
        <f t="shared" si="5"/>
        <v>0</v>
      </c>
      <c r="CZ27" s="16">
        <f t="shared" si="5"/>
        <v>0</v>
      </c>
      <c r="DA27" s="16">
        <f t="shared" si="5"/>
        <v>0</v>
      </c>
      <c r="DB27" s="16">
        <f t="shared" si="5"/>
        <v>0</v>
      </c>
      <c r="DC27" s="16">
        <f t="shared" ref="DC27:DT27" si="6">COUNTIF(DC6:DC26,"sim")</f>
        <v>0</v>
      </c>
      <c r="DD27" s="16">
        <f t="shared" si="6"/>
        <v>0</v>
      </c>
      <c r="DE27" s="16">
        <f t="shared" si="6"/>
        <v>0</v>
      </c>
      <c r="DF27" s="16">
        <f t="shared" si="6"/>
        <v>0</v>
      </c>
      <c r="DG27" s="16">
        <f t="shared" si="6"/>
        <v>0</v>
      </c>
      <c r="DH27" s="16">
        <f t="shared" si="6"/>
        <v>0</v>
      </c>
      <c r="DI27" s="16">
        <f t="shared" si="6"/>
        <v>0</v>
      </c>
      <c r="DJ27" s="16">
        <f t="shared" si="6"/>
        <v>0</v>
      </c>
      <c r="DK27" s="16">
        <f t="shared" si="6"/>
        <v>0</v>
      </c>
      <c r="DL27" s="16">
        <f t="shared" si="6"/>
        <v>0</v>
      </c>
      <c r="DM27" s="16">
        <f t="shared" si="6"/>
        <v>0</v>
      </c>
      <c r="DN27" s="16">
        <f t="shared" si="6"/>
        <v>0</v>
      </c>
      <c r="DO27" s="16">
        <f t="shared" si="6"/>
        <v>0</v>
      </c>
      <c r="DP27" s="16">
        <f t="shared" si="6"/>
        <v>0</v>
      </c>
      <c r="DQ27" s="16">
        <f t="shared" si="6"/>
        <v>0</v>
      </c>
      <c r="DR27" s="16">
        <f t="shared" si="6"/>
        <v>0</v>
      </c>
      <c r="DS27" s="16">
        <f t="shared" si="6"/>
        <v>0</v>
      </c>
      <c r="DT27" s="16">
        <f t="shared" si="6"/>
        <v>0</v>
      </c>
    </row>
    <row r="28" spans="1:124" s="18" customFormat="1" ht="15.75">
      <c r="A28" s="17" t="s">
        <v>19</v>
      </c>
      <c r="B28" s="18">
        <f t="shared" ref="B28" si="7">COUNTIF(B6:B26,"não")</f>
        <v>0</v>
      </c>
      <c r="C28" s="104">
        <f t="shared" ref="C28" si="8">COUNTIF(C6:C26,"não")</f>
        <v>0</v>
      </c>
      <c r="D28" s="104">
        <f t="shared" ref="D28" si="9">COUNTIF(D6:D26,"não")</f>
        <v>0</v>
      </c>
      <c r="K28" s="18">
        <f t="shared" ref="K28:AP28" si="10">COUNTIF(K6:K27,"não")</f>
        <v>0</v>
      </c>
      <c r="L28" s="18">
        <f t="shared" si="10"/>
        <v>0</v>
      </c>
      <c r="M28" s="18">
        <f t="shared" si="10"/>
        <v>0</v>
      </c>
      <c r="N28" s="18">
        <f t="shared" si="10"/>
        <v>0</v>
      </c>
      <c r="O28" s="18">
        <f t="shared" si="10"/>
        <v>0</v>
      </c>
      <c r="P28" s="18">
        <f t="shared" si="10"/>
        <v>0</v>
      </c>
      <c r="Q28" s="18">
        <f t="shared" si="10"/>
        <v>0</v>
      </c>
      <c r="R28" s="18">
        <f t="shared" si="10"/>
        <v>0</v>
      </c>
      <c r="S28" s="18">
        <f t="shared" si="10"/>
        <v>0</v>
      </c>
      <c r="T28" s="18">
        <f t="shared" si="10"/>
        <v>0</v>
      </c>
      <c r="U28" s="18">
        <f t="shared" si="10"/>
        <v>0</v>
      </c>
      <c r="V28" s="18">
        <f t="shared" si="10"/>
        <v>0</v>
      </c>
      <c r="W28" s="18">
        <f t="shared" si="10"/>
        <v>0</v>
      </c>
      <c r="X28" s="18">
        <f t="shared" si="10"/>
        <v>0</v>
      </c>
      <c r="Y28" s="18">
        <f t="shared" si="10"/>
        <v>0</v>
      </c>
      <c r="Z28" s="18">
        <f t="shared" si="10"/>
        <v>0</v>
      </c>
      <c r="AA28" s="18">
        <f t="shared" si="10"/>
        <v>0</v>
      </c>
      <c r="AB28" s="18">
        <f t="shared" si="10"/>
        <v>0</v>
      </c>
      <c r="AC28" s="18">
        <f t="shared" si="10"/>
        <v>0</v>
      </c>
      <c r="AD28" s="18">
        <f t="shared" si="10"/>
        <v>0</v>
      </c>
      <c r="AE28" s="18">
        <f t="shared" si="10"/>
        <v>0</v>
      </c>
      <c r="AF28" s="18">
        <f t="shared" si="10"/>
        <v>0</v>
      </c>
      <c r="AG28" s="18">
        <f t="shared" si="10"/>
        <v>0</v>
      </c>
      <c r="AH28" s="18">
        <f t="shared" si="10"/>
        <v>0</v>
      </c>
      <c r="AI28" s="18">
        <f t="shared" si="10"/>
        <v>0</v>
      </c>
      <c r="AJ28" s="18">
        <f t="shared" si="10"/>
        <v>0</v>
      </c>
      <c r="AK28" s="18">
        <f t="shared" si="10"/>
        <v>0</v>
      </c>
      <c r="AL28" s="18">
        <f t="shared" si="10"/>
        <v>0</v>
      </c>
      <c r="AM28" s="18">
        <f t="shared" si="10"/>
        <v>0</v>
      </c>
      <c r="AN28" s="18">
        <f t="shared" si="10"/>
        <v>0</v>
      </c>
      <c r="AO28" s="18">
        <f t="shared" si="10"/>
        <v>0</v>
      </c>
      <c r="AP28" s="18">
        <f t="shared" si="10"/>
        <v>0</v>
      </c>
      <c r="AQ28" s="18">
        <f t="shared" ref="AQ28:BV28" si="11">COUNTIF(AQ6:AQ27,"não")</f>
        <v>0</v>
      </c>
      <c r="AR28" s="18">
        <f t="shared" si="11"/>
        <v>0</v>
      </c>
      <c r="AS28" s="18">
        <f t="shared" si="11"/>
        <v>0</v>
      </c>
      <c r="AT28" s="18">
        <f t="shared" si="11"/>
        <v>0</v>
      </c>
      <c r="AU28" s="18">
        <f t="shared" si="11"/>
        <v>0</v>
      </c>
      <c r="AV28" s="18">
        <f t="shared" si="11"/>
        <v>0</v>
      </c>
      <c r="AW28" s="18">
        <f t="shared" si="11"/>
        <v>0</v>
      </c>
      <c r="AX28" s="18">
        <f t="shared" si="11"/>
        <v>0</v>
      </c>
      <c r="AY28" s="18">
        <f t="shared" si="11"/>
        <v>0</v>
      </c>
      <c r="AZ28" s="18">
        <f t="shared" si="11"/>
        <v>0</v>
      </c>
      <c r="BA28" s="18">
        <f t="shared" si="11"/>
        <v>0</v>
      </c>
      <c r="BB28" s="18">
        <f t="shared" si="11"/>
        <v>0</v>
      </c>
      <c r="BC28" s="18">
        <f t="shared" si="11"/>
        <v>0</v>
      </c>
      <c r="BD28" s="18">
        <f t="shared" si="11"/>
        <v>0</v>
      </c>
      <c r="BE28" s="18">
        <f t="shared" si="11"/>
        <v>0</v>
      </c>
      <c r="BF28" s="18">
        <f t="shared" si="11"/>
        <v>0</v>
      </c>
      <c r="BG28" s="18">
        <f t="shared" si="11"/>
        <v>0</v>
      </c>
      <c r="BH28" s="18">
        <f t="shared" si="11"/>
        <v>0</v>
      </c>
      <c r="BI28" s="18">
        <f t="shared" si="11"/>
        <v>0</v>
      </c>
      <c r="BJ28" s="18">
        <f t="shared" si="11"/>
        <v>0</v>
      </c>
      <c r="BK28" s="18">
        <f t="shared" si="11"/>
        <v>0</v>
      </c>
      <c r="BL28" s="18">
        <f t="shared" si="11"/>
        <v>0</v>
      </c>
      <c r="BM28" s="18">
        <f t="shared" si="11"/>
        <v>0</v>
      </c>
      <c r="BN28" s="18">
        <f t="shared" si="11"/>
        <v>0</v>
      </c>
      <c r="BO28" s="18">
        <f t="shared" si="11"/>
        <v>0</v>
      </c>
      <c r="BP28" s="18">
        <f t="shared" si="11"/>
        <v>0</v>
      </c>
      <c r="BQ28" s="18">
        <f t="shared" si="11"/>
        <v>0</v>
      </c>
      <c r="BR28" s="18">
        <f t="shared" si="11"/>
        <v>0</v>
      </c>
      <c r="BS28" s="18">
        <f t="shared" si="11"/>
        <v>0</v>
      </c>
      <c r="BT28" s="18">
        <f t="shared" si="11"/>
        <v>0</v>
      </c>
      <c r="BU28" s="18">
        <f t="shared" si="11"/>
        <v>0</v>
      </c>
      <c r="BV28" s="18">
        <f t="shared" si="11"/>
        <v>0</v>
      </c>
      <c r="BW28" s="18">
        <f t="shared" ref="BW28:DB28" si="12">COUNTIF(BW6:BW27,"não")</f>
        <v>0</v>
      </c>
      <c r="BX28" s="18">
        <f t="shared" si="12"/>
        <v>0</v>
      </c>
      <c r="BY28" s="18">
        <f t="shared" si="12"/>
        <v>0</v>
      </c>
      <c r="BZ28" s="18">
        <f t="shared" si="12"/>
        <v>0</v>
      </c>
      <c r="CA28" s="18">
        <f t="shared" si="12"/>
        <v>0</v>
      </c>
      <c r="CB28" s="18">
        <f t="shared" si="12"/>
        <v>0</v>
      </c>
      <c r="CC28" s="18">
        <f t="shared" si="12"/>
        <v>0</v>
      </c>
      <c r="CD28" s="18">
        <f t="shared" si="12"/>
        <v>0</v>
      </c>
      <c r="CE28" s="18">
        <f t="shared" si="12"/>
        <v>0</v>
      </c>
      <c r="CF28" s="18">
        <f t="shared" si="12"/>
        <v>0</v>
      </c>
      <c r="CG28" s="18">
        <f t="shared" si="12"/>
        <v>0</v>
      </c>
      <c r="CH28" s="18">
        <f t="shared" si="12"/>
        <v>0</v>
      </c>
      <c r="CI28" s="18">
        <f t="shared" si="12"/>
        <v>0</v>
      </c>
      <c r="CJ28" s="18">
        <f t="shared" si="12"/>
        <v>0</v>
      </c>
      <c r="CK28" s="18">
        <f t="shared" si="12"/>
        <v>0</v>
      </c>
      <c r="CL28" s="18">
        <f t="shared" si="12"/>
        <v>0</v>
      </c>
      <c r="CM28" s="18">
        <f t="shared" si="12"/>
        <v>0</v>
      </c>
      <c r="CN28" s="18">
        <f t="shared" si="12"/>
        <v>0</v>
      </c>
      <c r="CO28" s="18">
        <f t="shared" si="12"/>
        <v>0</v>
      </c>
      <c r="CP28" s="18">
        <f t="shared" si="12"/>
        <v>0</v>
      </c>
      <c r="CQ28" s="18">
        <f t="shared" si="12"/>
        <v>0</v>
      </c>
      <c r="CR28" s="18">
        <f t="shared" si="12"/>
        <v>0</v>
      </c>
      <c r="CS28" s="18">
        <f t="shared" si="12"/>
        <v>0</v>
      </c>
      <c r="CT28" s="18">
        <f t="shared" si="12"/>
        <v>0</v>
      </c>
      <c r="CU28" s="18">
        <f t="shared" si="12"/>
        <v>0</v>
      </c>
      <c r="CV28" s="18">
        <f t="shared" si="12"/>
        <v>0</v>
      </c>
      <c r="CW28" s="18">
        <f t="shared" si="12"/>
        <v>0</v>
      </c>
      <c r="CX28" s="18">
        <f t="shared" si="12"/>
        <v>0</v>
      </c>
      <c r="CY28" s="18">
        <f t="shared" si="12"/>
        <v>0</v>
      </c>
      <c r="CZ28" s="18">
        <f t="shared" si="12"/>
        <v>0</v>
      </c>
      <c r="DA28" s="18">
        <f t="shared" si="12"/>
        <v>0</v>
      </c>
      <c r="DB28" s="18">
        <f t="shared" si="12"/>
        <v>0</v>
      </c>
      <c r="DC28" s="18">
        <f t="shared" ref="DC28:DT28" si="13">COUNTIF(DC6:DC27,"não")</f>
        <v>0</v>
      </c>
      <c r="DD28" s="18">
        <f t="shared" si="13"/>
        <v>0</v>
      </c>
      <c r="DE28" s="18">
        <f t="shared" si="13"/>
        <v>0</v>
      </c>
      <c r="DF28" s="18">
        <f t="shared" si="13"/>
        <v>0</v>
      </c>
      <c r="DG28" s="18">
        <f t="shared" si="13"/>
        <v>0</v>
      </c>
      <c r="DH28" s="18">
        <f t="shared" si="13"/>
        <v>0</v>
      </c>
      <c r="DI28" s="18">
        <f t="shared" si="13"/>
        <v>0</v>
      </c>
      <c r="DJ28" s="18">
        <f t="shared" si="13"/>
        <v>0</v>
      </c>
      <c r="DK28" s="18">
        <f t="shared" si="13"/>
        <v>0</v>
      </c>
      <c r="DL28" s="18">
        <f t="shared" si="13"/>
        <v>0</v>
      </c>
      <c r="DM28" s="18">
        <f t="shared" si="13"/>
        <v>0</v>
      </c>
      <c r="DN28" s="18">
        <f t="shared" si="13"/>
        <v>0</v>
      </c>
      <c r="DO28" s="18">
        <f t="shared" si="13"/>
        <v>0</v>
      </c>
      <c r="DP28" s="18">
        <f t="shared" si="13"/>
        <v>0</v>
      </c>
      <c r="DQ28" s="18">
        <f t="shared" si="13"/>
        <v>0</v>
      </c>
      <c r="DR28" s="18">
        <f t="shared" si="13"/>
        <v>0</v>
      </c>
      <c r="DS28" s="18">
        <f t="shared" si="13"/>
        <v>0</v>
      </c>
      <c r="DT28" s="18">
        <f t="shared" si="13"/>
        <v>0</v>
      </c>
    </row>
    <row r="29" spans="1:124" ht="15.75">
      <c r="A29" s="14" t="s">
        <v>11</v>
      </c>
      <c r="B29">
        <f t="shared" ref="B29" si="14">COUNTIF(B6:B26,"ausente")</f>
        <v>0</v>
      </c>
      <c r="C29" s="40">
        <f t="shared" ref="C29" si="15">COUNTIF(C6:C26,"ausente")</f>
        <v>0</v>
      </c>
      <c r="D29" s="40">
        <f t="shared" ref="D29" si="16">COUNTIF(D6:D26,"ausente")</f>
        <v>6</v>
      </c>
      <c r="K29">
        <f t="shared" ref="K29:AP29" si="17">COUNTIF(K6:K28,"ausente")</f>
        <v>0</v>
      </c>
      <c r="L29">
        <f t="shared" si="17"/>
        <v>0</v>
      </c>
      <c r="M29">
        <f t="shared" si="17"/>
        <v>0</v>
      </c>
      <c r="N29">
        <f t="shared" si="17"/>
        <v>0</v>
      </c>
      <c r="O29">
        <f t="shared" si="17"/>
        <v>0</v>
      </c>
      <c r="P29">
        <f t="shared" si="17"/>
        <v>0</v>
      </c>
      <c r="Q29">
        <f t="shared" si="17"/>
        <v>0</v>
      </c>
      <c r="R29">
        <f t="shared" si="17"/>
        <v>0</v>
      </c>
      <c r="S29">
        <f t="shared" si="17"/>
        <v>0</v>
      </c>
      <c r="T29">
        <f t="shared" si="17"/>
        <v>0</v>
      </c>
      <c r="U29">
        <f t="shared" si="17"/>
        <v>0</v>
      </c>
      <c r="V29">
        <f t="shared" si="17"/>
        <v>0</v>
      </c>
      <c r="W29">
        <f t="shared" si="17"/>
        <v>0</v>
      </c>
      <c r="X29">
        <f t="shared" si="17"/>
        <v>0</v>
      </c>
      <c r="Y29">
        <f t="shared" si="17"/>
        <v>0</v>
      </c>
      <c r="Z29">
        <f t="shared" si="17"/>
        <v>0</v>
      </c>
      <c r="AA29">
        <f t="shared" si="17"/>
        <v>0</v>
      </c>
      <c r="AB29">
        <f t="shared" si="17"/>
        <v>0</v>
      </c>
      <c r="AC29">
        <f t="shared" si="17"/>
        <v>0</v>
      </c>
      <c r="AD29">
        <f t="shared" si="17"/>
        <v>0</v>
      </c>
      <c r="AE29">
        <f t="shared" si="17"/>
        <v>0</v>
      </c>
      <c r="AF29">
        <f t="shared" si="17"/>
        <v>0</v>
      </c>
      <c r="AG29">
        <f t="shared" si="17"/>
        <v>0</v>
      </c>
      <c r="AH29">
        <f t="shared" si="17"/>
        <v>0</v>
      </c>
      <c r="AI29">
        <f t="shared" si="17"/>
        <v>0</v>
      </c>
      <c r="AJ29">
        <f t="shared" si="17"/>
        <v>0</v>
      </c>
      <c r="AK29">
        <f t="shared" si="17"/>
        <v>0</v>
      </c>
      <c r="AL29">
        <f t="shared" si="17"/>
        <v>0</v>
      </c>
      <c r="AM29">
        <f t="shared" si="17"/>
        <v>0</v>
      </c>
      <c r="AN29">
        <f t="shared" si="17"/>
        <v>0</v>
      </c>
      <c r="AO29">
        <f t="shared" si="17"/>
        <v>0</v>
      </c>
      <c r="AP29">
        <f t="shared" si="17"/>
        <v>0</v>
      </c>
      <c r="AQ29">
        <f t="shared" ref="AQ29:BV29" si="18">COUNTIF(AQ6:AQ28,"ausente")</f>
        <v>0</v>
      </c>
      <c r="AR29">
        <f t="shared" si="18"/>
        <v>0</v>
      </c>
      <c r="AS29">
        <f t="shared" si="18"/>
        <v>0</v>
      </c>
      <c r="AT29">
        <f t="shared" si="18"/>
        <v>0</v>
      </c>
      <c r="AU29">
        <f t="shared" si="18"/>
        <v>0</v>
      </c>
      <c r="AV29">
        <f t="shared" si="18"/>
        <v>0</v>
      </c>
      <c r="AW29">
        <f t="shared" si="18"/>
        <v>0</v>
      </c>
      <c r="AX29">
        <f t="shared" si="18"/>
        <v>0</v>
      </c>
      <c r="AY29">
        <f t="shared" si="18"/>
        <v>0</v>
      </c>
      <c r="AZ29">
        <f t="shared" si="18"/>
        <v>0</v>
      </c>
      <c r="BA29">
        <f t="shared" si="18"/>
        <v>0</v>
      </c>
      <c r="BB29">
        <f t="shared" si="18"/>
        <v>0</v>
      </c>
      <c r="BC29">
        <f t="shared" si="18"/>
        <v>0</v>
      </c>
      <c r="BD29">
        <f t="shared" si="18"/>
        <v>0</v>
      </c>
      <c r="BE29">
        <f t="shared" si="18"/>
        <v>0</v>
      </c>
      <c r="BF29">
        <f t="shared" si="18"/>
        <v>0</v>
      </c>
      <c r="BG29">
        <f t="shared" si="18"/>
        <v>0</v>
      </c>
      <c r="BH29">
        <f t="shared" si="18"/>
        <v>0</v>
      </c>
      <c r="BI29">
        <f t="shared" si="18"/>
        <v>0</v>
      </c>
      <c r="BJ29">
        <f t="shared" si="18"/>
        <v>0</v>
      </c>
      <c r="BK29">
        <f t="shared" si="18"/>
        <v>0</v>
      </c>
      <c r="BL29">
        <f t="shared" si="18"/>
        <v>0</v>
      </c>
      <c r="BM29">
        <f t="shared" si="18"/>
        <v>0</v>
      </c>
      <c r="BN29">
        <f t="shared" si="18"/>
        <v>0</v>
      </c>
      <c r="BO29">
        <f t="shared" si="18"/>
        <v>0</v>
      </c>
      <c r="BP29">
        <f t="shared" si="18"/>
        <v>0</v>
      </c>
      <c r="BQ29">
        <f t="shared" si="18"/>
        <v>0</v>
      </c>
      <c r="BR29">
        <f t="shared" si="18"/>
        <v>0</v>
      </c>
      <c r="BS29">
        <f t="shared" si="18"/>
        <v>0</v>
      </c>
      <c r="BT29">
        <f t="shared" si="18"/>
        <v>0</v>
      </c>
      <c r="BU29">
        <f t="shared" si="18"/>
        <v>0</v>
      </c>
      <c r="BV29">
        <f t="shared" si="18"/>
        <v>0</v>
      </c>
      <c r="BW29">
        <f t="shared" ref="BW29:DB29" si="19">COUNTIF(BW6:BW28,"ausente")</f>
        <v>0</v>
      </c>
      <c r="BX29">
        <f t="shared" si="19"/>
        <v>0</v>
      </c>
      <c r="BY29">
        <f t="shared" si="19"/>
        <v>0</v>
      </c>
      <c r="BZ29">
        <f t="shared" si="19"/>
        <v>0</v>
      </c>
      <c r="CA29">
        <f t="shared" si="19"/>
        <v>0</v>
      </c>
      <c r="CB29">
        <f t="shared" si="19"/>
        <v>0</v>
      </c>
      <c r="CC29">
        <f t="shared" si="19"/>
        <v>0</v>
      </c>
      <c r="CD29">
        <f t="shared" si="19"/>
        <v>0</v>
      </c>
      <c r="CE29">
        <f t="shared" si="19"/>
        <v>0</v>
      </c>
      <c r="CF29">
        <f t="shared" si="19"/>
        <v>0</v>
      </c>
      <c r="CG29">
        <f t="shared" si="19"/>
        <v>0</v>
      </c>
      <c r="CH29">
        <f t="shared" si="19"/>
        <v>0</v>
      </c>
      <c r="CI29">
        <f t="shared" si="19"/>
        <v>0</v>
      </c>
      <c r="CJ29">
        <f t="shared" si="19"/>
        <v>0</v>
      </c>
      <c r="CK29">
        <f t="shared" si="19"/>
        <v>0</v>
      </c>
      <c r="CL29">
        <f t="shared" si="19"/>
        <v>0</v>
      </c>
      <c r="CM29">
        <f t="shared" si="19"/>
        <v>0</v>
      </c>
      <c r="CN29">
        <f t="shared" si="19"/>
        <v>0</v>
      </c>
      <c r="CO29">
        <f t="shared" si="19"/>
        <v>0</v>
      </c>
      <c r="CP29">
        <f t="shared" si="19"/>
        <v>0</v>
      </c>
      <c r="CQ29">
        <f t="shared" si="19"/>
        <v>0</v>
      </c>
      <c r="CR29">
        <f t="shared" si="19"/>
        <v>0</v>
      </c>
      <c r="CS29">
        <f t="shared" si="19"/>
        <v>0</v>
      </c>
      <c r="CT29">
        <f t="shared" si="19"/>
        <v>0</v>
      </c>
      <c r="CU29">
        <f t="shared" si="19"/>
        <v>0</v>
      </c>
      <c r="CV29">
        <f t="shared" si="19"/>
        <v>0</v>
      </c>
      <c r="CW29">
        <f t="shared" si="19"/>
        <v>0</v>
      </c>
      <c r="CX29">
        <f t="shared" si="19"/>
        <v>0</v>
      </c>
      <c r="CY29">
        <f t="shared" si="19"/>
        <v>0</v>
      </c>
      <c r="CZ29">
        <f t="shared" si="19"/>
        <v>0</v>
      </c>
      <c r="DA29">
        <f t="shared" si="19"/>
        <v>0</v>
      </c>
      <c r="DB29">
        <f t="shared" si="19"/>
        <v>0</v>
      </c>
      <c r="DC29">
        <f t="shared" ref="DC29:DT29" si="20">COUNTIF(DC6:DC28,"ausente")</f>
        <v>0</v>
      </c>
      <c r="DD29">
        <f t="shared" si="20"/>
        <v>0</v>
      </c>
      <c r="DE29">
        <f t="shared" si="20"/>
        <v>0</v>
      </c>
      <c r="DF29">
        <f t="shared" si="20"/>
        <v>0</v>
      </c>
      <c r="DG29">
        <f t="shared" si="20"/>
        <v>0</v>
      </c>
      <c r="DH29">
        <f t="shared" si="20"/>
        <v>0</v>
      </c>
      <c r="DI29">
        <f t="shared" si="20"/>
        <v>0</v>
      </c>
      <c r="DJ29">
        <f t="shared" si="20"/>
        <v>0</v>
      </c>
      <c r="DK29">
        <f t="shared" si="20"/>
        <v>0</v>
      </c>
      <c r="DL29">
        <f t="shared" si="20"/>
        <v>0</v>
      </c>
      <c r="DM29">
        <f t="shared" si="20"/>
        <v>0</v>
      </c>
      <c r="DN29">
        <f t="shared" si="20"/>
        <v>0</v>
      </c>
      <c r="DO29">
        <f t="shared" si="20"/>
        <v>0</v>
      </c>
      <c r="DP29">
        <f t="shared" si="20"/>
        <v>0</v>
      </c>
      <c r="DQ29">
        <f t="shared" si="20"/>
        <v>0</v>
      </c>
      <c r="DR29">
        <f t="shared" si="20"/>
        <v>0</v>
      </c>
      <c r="DS29">
        <f t="shared" si="20"/>
        <v>0</v>
      </c>
      <c r="DT29">
        <f t="shared" si="20"/>
        <v>0</v>
      </c>
    </row>
    <row r="30" spans="1:124" s="20" customFormat="1" ht="15.75">
      <c r="A30" s="19" t="s">
        <v>20</v>
      </c>
      <c r="B30" s="20">
        <f t="shared" ref="B30" si="21">COUNTIF(B6:B26,"abstenção")</f>
        <v>0</v>
      </c>
      <c r="C30" s="105">
        <f t="shared" ref="C30" si="22">COUNTIF(C6:C26,"abstenção")</f>
        <v>0</v>
      </c>
      <c r="D30" s="105">
        <f t="shared" ref="D30" si="23">COUNTIF(D6:D26,"abstenção")</f>
        <v>0</v>
      </c>
      <c r="K30" s="20">
        <f t="shared" ref="K30:AP30" si="24">COUNTIF(K10:K29,"abstenção")</f>
        <v>0</v>
      </c>
      <c r="L30" s="20">
        <f t="shared" si="24"/>
        <v>0</v>
      </c>
      <c r="M30" s="20">
        <f t="shared" si="24"/>
        <v>0</v>
      </c>
      <c r="N30" s="20">
        <f t="shared" si="24"/>
        <v>0</v>
      </c>
      <c r="O30" s="20">
        <f t="shared" si="24"/>
        <v>0</v>
      </c>
      <c r="P30" s="20">
        <f t="shared" si="24"/>
        <v>0</v>
      </c>
      <c r="Q30" s="20">
        <f t="shared" si="24"/>
        <v>0</v>
      </c>
      <c r="R30" s="20">
        <f t="shared" si="24"/>
        <v>0</v>
      </c>
      <c r="S30" s="20">
        <f t="shared" si="24"/>
        <v>0</v>
      </c>
      <c r="T30" s="20">
        <f t="shared" si="24"/>
        <v>0</v>
      </c>
      <c r="U30" s="20">
        <f t="shared" si="24"/>
        <v>0</v>
      </c>
      <c r="V30" s="20">
        <f t="shared" si="24"/>
        <v>0</v>
      </c>
      <c r="W30" s="20">
        <f t="shared" si="24"/>
        <v>0</v>
      </c>
      <c r="X30" s="20">
        <f t="shared" si="24"/>
        <v>0</v>
      </c>
      <c r="Y30" s="20">
        <f t="shared" si="24"/>
        <v>0</v>
      </c>
      <c r="Z30" s="20">
        <f t="shared" si="24"/>
        <v>0</v>
      </c>
      <c r="AA30" s="20">
        <f t="shared" si="24"/>
        <v>0</v>
      </c>
      <c r="AB30" s="20">
        <f t="shared" si="24"/>
        <v>0</v>
      </c>
      <c r="AC30" s="20">
        <f t="shared" si="24"/>
        <v>0</v>
      </c>
      <c r="AD30" s="20">
        <f t="shared" si="24"/>
        <v>0</v>
      </c>
      <c r="AE30" s="20">
        <f t="shared" si="24"/>
        <v>0</v>
      </c>
      <c r="AF30" s="20">
        <f t="shared" si="24"/>
        <v>0</v>
      </c>
      <c r="AG30" s="20">
        <f t="shared" si="24"/>
        <v>0</v>
      </c>
      <c r="AH30" s="20">
        <f t="shared" si="24"/>
        <v>0</v>
      </c>
      <c r="AI30" s="20">
        <f t="shared" si="24"/>
        <v>0</v>
      </c>
      <c r="AJ30" s="20">
        <f t="shared" si="24"/>
        <v>0</v>
      </c>
      <c r="AK30" s="20">
        <f t="shared" si="24"/>
        <v>0</v>
      </c>
      <c r="AL30" s="20">
        <f t="shared" si="24"/>
        <v>0</v>
      </c>
      <c r="AM30" s="20">
        <f t="shared" si="24"/>
        <v>0</v>
      </c>
      <c r="AN30" s="20">
        <f t="shared" si="24"/>
        <v>0</v>
      </c>
      <c r="AO30" s="20">
        <f t="shared" si="24"/>
        <v>0</v>
      </c>
      <c r="AP30" s="20">
        <f t="shared" si="24"/>
        <v>0</v>
      </c>
      <c r="AQ30" s="20">
        <f t="shared" ref="AQ30:BI30" si="25">COUNTIF(AQ10:AQ29,"abstenção")</f>
        <v>0</v>
      </c>
      <c r="AR30" s="20">
        <f t="shared" si="25"/>
        <v>0</v>
      </c>
      <c r="AS30" s="20">
        <f t="shared" si="25"/>
        <v>0</v>
      </c>
      <c r="AT30" s="20">
        <f t="shared" si="25"/>
        <v>0</v>
      </c>
      <c r="AU30" s="20">
        <f t="shared" si="25"/>
        <v>0</v>
      </c>
      <c r="AV30" s="20">
        <f t="shared" si="25"/>
        <v>0</v>
      </c>
      <c r="AW30" s="20">
        <f t="shared" si="25"/>
        <v>0</v>
      </c>
      <c r="AX30" s="20">
        <f t="shared" si="25"/>
        <v>0</v>
      </c>
      <c r="AY30" s="20">
        <f t="shared" si="25"/>
        <v>0</v>
      </c>
      <c r="AZ30" s="20">
        <f t="shared" si="25"/>
        <v>0</v>
      </c>
      <c r="BA30" s="20">
        <f t="shared" si="25"/>
        <v>0</v>
      </c>
      <c r="BB30" s="20">
        <f t="shared" si="25"/>
        <v>0</v>
      </c>
      <c r="BC30" s="20">
        <f t="shared" si="25"/>
        <v>0</v>
      </c>
      <c r="BD30" s="20">
        <f t="shared" si="25"/>
        <v>0</v>
      </c>
      <c r="BE30" s="20">
        <f t="shared" si="25"/>
        <v>0</v>
      </c>
      <c r="BF30" s="20">
        <f t="shared" si="25"/>
        <v>0</v>
      </c>
      <c r="BG30" s="20">
        <f t="shared" si="25"/>
        <v>0</v>
      </c>
      <c r="BH30" s="20">
        <f t="shared" si="25"/>
        <v>0</v>
      </c>
      <c r="BI30" s="20">
        <f t="shared" si="25"/>
        <v>0</v>
      </c>
      <c r="BJ30" s="20">
        <f t="shared" ref="BJ30:DT30" si="26">COUNTIF(BJ10:BJ29,"abstenção")</f>
        <v>0</v>
      </c>
      <c r="BK30" s="20">
        <f t="shared" si="26"/>
        <v>0</v>
      </c>
      <c r="BL30" s="20">
        <f t="shared" si="26"/>
        <v>0</v>
      </c>
      <c r="BM30" s="20">
        <f t="shared" si="26"/>
        <v>0</v>
      </c>
      <c r="BN30" s="20">
        <f t="shared" si="26"/>
        <v>0</v>
      </c>
      <c r="BO30" s="20">
        <f t="shared" si="26"/>
        <v>0</v>
      </c>
      <c r="BP30" s="20">
        <f t="shared" si="26"/>
        <v>0</v>
      </c>
      <c r="BQ30" s="20">
        <f t="shared" si="26"/>
        <v>0</v>
      </c>
      <c r="BR30" s="20">
        <f t="shared" si="26"/>
        <v>0</v>
      </c>
      <c r="BS30" s="20">
        <f t="shared" si="26"/>
        <v>0</v>
      </c>
      <c r="BT30" s="20">
        <f t="shared" si="26"/>
        <v>0</v>
      </c>
      <c r="BU30" s="20">
        <f t="shared" si="26"/>
        <v>0</v>
      </c>
      <c r="BV30" s="20">
        <f t="shared" si="26"/>
        <v>0</v>
      </c>
      <c r="BW30" s="20">
        <f t="shared" si="26"/>
        <v>0</v>
      </c>
      <c r="BX30" s="20">
        <f t="shared" si="26"/>
        <v>0</v>
      </c>
      <c r="BY30" s="20">
        <f t="shared" si="26"/>
        <v>0</v>
      </c>
      <c r="BZ30" s="20">
        <f t="shared" si="26"/>
        <v>0</v>
      </c>
      <c r="CA30" s="20">
        <f t="shared" si="26"/>
        <v>0</v>
      </c>
      <c r="CB30" s="20">
        <f t="shared" si="26"/>
        <v>0</v>
      </c>
      <c r="CC30" s="20">
        <f t="shared" si="26"/>
        <v>0</v>
      </c>
      <c r="CD30" s="20">
        <f t="shared" si="26"/>
        <v>0</v>
      </c>
      <c r="CE30" s="20">
        <f t="shared" si="26"/>
        <v>0</v>
      </c>
      <c r="CF30" s="20">
        <f t="shared" si="26"/>
        <v>0</v>
      </c>
      <c r="CG30" s="20">
        <f t="shared" si="26"/>
        <v>0</v>
      </c>
      <c r="CH30" s="20">
        <f t="shared" si="26"/>
        <v>0</v>
      </c>
      <c r="CI30" s="20">
        <f t="shared" si="26"/>
        <v>0</v>
      </c>
      <c r="CJ30" s="20">
        <f t="shared" si="26"/>
        <v>0</v>
      </c>
      <c r="CK30" s="20">
        <f t="shared" si="26"/>
        <v>0</v>
      </c>
      <c r="CL30" s="20">
        <f t="shared" si="26"/>
        <v>0</v>
      </c>
      <c r="CM30" s="20">
        <f t="shared" si="26"/>
        <v>0</v>
      </c>
      <c r="CN30" s="20">
        <f t="shared" si="26"/>
        <v>0</v>
      </c>
      <c r="CO30" s="20">
        <f t="shared" si="26"/>
        <v>0</v>
      </c>
      <c r="CP30" s="20">
        <f t="shared" si="26"/>
        <v>0</v>
      </c>
      <c r="CQ30" s="20">
        <f t="shared" si="26"/>
        <v>0</v>
      </c>
      <c r="CR30" s="20">
        <f t="shared" si="26"/>
        <v>0</v>
      </c>
      <c r="CS30" s="20">
        <f t="shared" si="26"/>
        <v>0</v>
      </c>
      <c r="CT30" s="20">
        <f t="shared" si="26"/>
        <v>0</v>
      </c>
      <c r="CU30" s="20">
        <f t="shared" si="26"/>
        <v>0</v>
      </c>
      <c r="CV30" s="20">
        <f t="shared" si="26"/>
        <v>0</v>
      </c>
      <c r="CW30" s="20">
        <f t="shared" si="26"/>
        <v>0</v>
      </c>
      <c r="CX30" s="20">
        <f t="shared" si="26"/>
        <v>0</v>
      </c>
      <c r="CY30" s="20">
        <f t="shared" si="26"/>
        <v>0</v>
      </c>
      <c r="CZ30" s="20">
        <f t="shared" si="26"/>
        <v>0</v>
      </c>
      <c r="DA30" s="20">
        <f t="shared" si="26"/>
        <v>0</v>
      </c>
      <c r="DB30" s="20">
        <f t="shared" si="26"/>
        <v>0</v>
      </c>
      <c r="DC30" s="20">
        <f t="shared" si="26"/>
        <v>0</v>
      </c>
      <c r="DD30" s="20">
        <f t="shared" si="26"/>
        <v>0</v>
      </c>
      <c r="DE30" s="20">
        <f t="shared" si="26"/>
        <v>0</v>
      </c>
      <c r="DF30" s="20">
        <f t="shared" si="26"/>
        <v>0</v>
      </c>
      <c r="DG30" s="20">
        <f t="shared" si="26"/>
        <v>0</v>
      </c>
      <c r="DH30" s="20">
        <f t="shared" si="26"/>
        <v>0</v>
      </c>
      <c r="DI30" s="20">
        <f t="shared" si="26"/>
        <v>0</v>
      </c>
      <c r="DJ30" s="20">
        <f t="shared" si="26"/>
        <v>0</v>
      </c>
      <c r="DK30" s="20">
        <f t="shared" si="26"/>
        <v>0</v>
      </c>
      <c r="DL30" s="20">
        <f t="shared" si="26"/>
        <v>0</v>
      </c>
      <c r="DM30" s="20">
        <f t="shared" si="26"/>
        <v>0</v>
      </c>
      <c r="DN30" s="20">
        <f t="shared" si="26"/>
        <v>0</v>
      </c>
      <c r="DO30" s="20">
        <f t="shared" si="26"/>
        <v>0</v>
      </c>
      <c r="DP30" s="20">
        <f t="shared" si="26"/>
        <v>0</v>
      </c>
      <c r="DQ30" s="20">
        <f t="shared" si="26"/>
        <v>0</v>
      </c>
      <c r="DR30" s="20">
        <f t="shared" si="26"/>
        <v>0</v>
      </c>
      <c r="DS30" s="20">
        <f t="shared" si="26"/>
        <v>0</v>
      </c>
      <c r="DT30" s="20">
        <f t="shared" si="26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D25" sqref="D25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105</v>
      </c>
      <c r="B2" s="2"/>
    </row>
    <row r="3" spans="1:4" ht="15.75" thickBot="1">
      <c r="A3" s="121" t="s">
        <v>106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125</v>
      </c>
      <c r="D4" s="139" t="s">
        <v>126</v>
      </c>
    </row>
    <row r="5" spans="1:4" s="6" customFormat="1" ht="60.75" customHeight="1">
      <c r="A5" s="122"/>
      <c r="B5" s="111"/>
      <c r="C5" s="145" t="s">
        <v>70</v>
      </c>
      <c r="D5" s="145" t="s">
        <v>70</v>
      </c>
    </row>
    <row r="6" spans="1:4" ht="15.75">
      <c r="A6" s="127" t="s">
        <v>51</v>
      </c>
      <c r="C6" s="107" t="s">
        <v>66</v>
      </c>
      <c r="D6" s="107" t="s">
        <v>66</v>
      </c>
    </row>
    <row r="7" spans="1:4" ht="15.75">
      <c r="A7" s="127" t="s">
        <v>68</v>
      </c>
      <c r="C7" s="107" t="s">
        <v>66</v>
      </c>
      <c r="D7" s="107" t="s">
        <v>66</v>
      </c>
    </row>
    <row r="8" spans="1:4" ht="15.75">
      <c r="A8" s="127" t="s">
        <v>54</v>
      </c>
      <c r="C8" s="107" t="s">
        <v>66</v>
      </c>
      <c r="D8" s="107" t="s">
        <v>66</v>
      </c>
    </row>
    <row r="9" spans="1:4" ht="15.75">
      <c r="A9" s="128" t="s">
        <v>55</v>
      </c>
      <c r="C9" s="107" t="s">
        <v>66</v>
      </c>
      <c r="D9" s="107" t="s">
        <v>66</v>
      </c>
    </row>
    <row r="10" spans="1:4" ht="15.75">
      <c r="A10" s="127" t="s">
        <v>28</v>
      </c>
      <c r="C10" s="114" t="s">
        <v>53</v>
      </c>
      <c r="D10" s="114" t="s">
        <v>53</v>
      </c>
    </row>
    <row r="11" spans="1:4" ht="15.75">
      <c r="A11" s="127" t="s">
        <v>56</v>
      </c>
      <c r="C11" s="107" t="s">
        <v>66</v>
      </c>
      <c r="D11" s="107" t="s">
        <v>66</v>
      </c>
    </row>
    <row r="12" spans="1:4" ht="15.75">
      <c r="A12" s="127" t="s">
        <v>22</v>
      </c>
      <c r="C12" s="107" t="s">
        <v>66</v>
      </c>
      <c r="D12" s="107" t="s">
        <v>66</v>
      </c>
    </row>
    <row r="13" spans="1:4" ht="15.75">
      <c r="A13" s="127" t="s">
        <v>23</v>
      </c>
      <c r="B13" s="138"/>
      <c r="C13" s="114" t="s">
        <v>53</v>
      </c>
      <c r="D13" s="114" t="s">
        <v>53</v>
      </c>
    </row>
    <row r="14" spans="1:4" ht="15.75">
      <c r="A14" s="127" t="s">
        <v>24</v>
      </c>
      <c r="C14" s="114" t="s">
        <v>53</v>
      </c>
      <c r="D14" s="114" t="s">
        <v>53</v>
      </c>
    </row>
    <row r="15" spans="1:4" ht="15.75">
      <c r="A15" s="127" t="s">
        <v>57</v>
      </c>
      <c r="C15" s="107" t="s">
        <v>66</v>
      </c>
      <c r="D15" s="107" t="s">
        <v>66</v>
      </c>
    </row>
    <row r="16" spans="1:4" ht="15.75">
      <c r="A16" s="127" t="s">
        <v>58</v>
      </c>
      <c r="C16" s="114" t="s">
        <v>53</v>
      </c>
      <c r="D16" s="114" t="s">
        <v>53</v>
      </c>
    </row>
    <row r="17" spans="1:4" ht="15.75">
      <c r="A17" s="127" t="s">
        <v>59</v>
      </c>
      <c r="C17" s="107" t="s">
        <v>66</v>
      </c>
      <c r="D17" s="107" t="s">
        <v>66</v>
      </c>
    </row>
    <row r="18" spans="1:4" ht="15.75">
      <c r="A18" s="127" t="s">
        <v>25</v>
      </c>
      <c r="C18" s="114" t="s">
        <v>53</v>
      </c>
      <c r="D18" s="114" t="s">
        <v>53</v>
      </c>
    </row>
    <row r="19" spans="1:4" ht="15.75">
      <c r="A19" s="127" t="s">
        <v>60</v>
      </c>
      <c r="C19" s="107" t="s">
        <v>66</v>
      </c>
      <c r="D19" s="107" t="s">
        <v>66</v>
      </c>
    </row>
    <row r="20" spans="1:4" ht="15.75">
      <c r="A20" s="127" t="s">
        <v>97</v>
      </c>
      <c r="C20" s="107" t="s">
        <v>66</v>
      </c>
      <c r="D20" s="107" t="s">
        <v>66</v>
      </c>
    </row>
    <row r="21" spans="1:4" ht="15.75">
      <c r="A21" s="127" t="s">
        <v>26</v>
      </c>
      <c r="C21" s="107" t="s">
        <v>66</v>
      </c>
      <c r="D21" s="107" t="s">
        <v>66</v>
      </c>
    </row>
    <row r="22" spans="1:4" ht="15.75">
      <c r="A22" s="127" t="s">
        <v>61</v>
      </c>
      <c r="C22" s="107" t="s">
        <v>66</v>
      </c>
      <c r="D22" s="107" t="s">
        <v>66</v>
      </c>
    </row>
    <row r="23" spans="1:4" ht="15.75">
      <c r="A23" s="127" t="s">
        <v>69</v>
      </c>
      <c r="C23" s="107" t="s">
        <v>66</v>
      </c>
      <c r="D23" s="107" t="s">
        <v>66</v>
      </c>
    </row>
    <row r="24" spans="1:4" ht="15.75">
      <c r="A24" s="127" t="s">
        <v>49</v>
      </c>
      <c r="C24" s="107" t="s">
        <v>66</v>
      </c>
      <c r="D24" s="107" t="s">
        <v>66</v>
      </c>
    </row>
    <row r="25" spans="1:4" ht="15.75">
      <c r="A25" s="127" t="s">
        <v>92</v>
      </c>
      <c r="C25" s="107" t="s">
        <v>66</v>
      </c>
      <c r="D25" s="107" t="s">
        <v>66</v>
      </c>
    </row>
    <row r="26" spans="1:4" ht="15.75">
      <c r="A26" s="127" t="s">
        <v>62</v>
      </c>
      <c r="C26" s="107" t="s">
        <v>66</v>
      </c>
      <c r="D26" s="107" t="s">
        <v>66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16</v>
      </c>
      <c r="D28" s="103">
        <f t="shared" si="0"/>
        <v>16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5</v>
      </c>
      <c r="D30" s="40">
        <f t="shared" si="2"/>
        <v>5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105</v>
      </c>
      <c r="B2" s="2"/>
      <c r="C2" s="54"/>
      <c r="D2" s="54"/>
      <c r="E2" s="54"/>
    </row>
    <row r="3" spans="1:9" ht="15.75" thickBot="1">
      <c r="A3" s="121" t="s">
        <v>106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93</v>
      </c>
      <c r="G4" s="143" t="s">
        <v>94</v>
      </c>
      <c r="H4" s="143" t="s">
        <v>95</v>
      </c>
      <c r="I4" s="143" t="s">
        <v>96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8">
      <c r="A6" s="129" t="s">
        <v>51</v>
      </c>
      <c r="C6" s="133"/>
      <c r="D6" s="133"/>
      <c r="E6" s="133"/>
      <c r="F6" s="40"/>
      <c r="G6" s="40"/>
      <c r="H6" s="40"/>
      <c r="I6" s="40"/>
    </row>
    <row r="7" spans="1:9" ht="18">
      <c r="A7" s="129" t="s">
        <v>68</v>
      </c>
      <c r="C7" s="133"/>
      <c r="D7" s="133"/>
      <c r="E7" s="133"/>
      <c r="F7" s="40"/>
      <c r="G7" s="40"/>
      <c r="H7" s="40"/>
      <c r="I7" s="40"/>
    </row>
    <row r="8" spans="1:9" ht="18">
      <c r="A8" s="129" t="s">
        <v>54</v>
      </c>
      <c r="C8" s="133"/>
      <c r="D8" s="133"/>
      <c r="E8" s="133"/>
      <c r="F8" s="40"/>
      <c r="G8" s="40"/>
      <c r="H8" s="40"/>
      <c r="I8" s="40"/>
    </row>
    <row r="9" spans="1:9" ht="18">
      <c r="A9" s="130" t="s">
        <v>55</v>
      </c>
      <c r="C9" s="133"/>
      <c r="D9" s="133"/>
      <c r="E9" s="133"/>
      <c r="F9" s="40"/>
      <c r="G9" s="40"/>
      <c r="H9" s="40"/>
      <c r="I9" s="40"/>
    </row>
    <row r="10" spans="1:9" ht="18">
      <c r="A10" s="129" t="s">
        <v>28</v>
      </c>
      <c r="C10" s="133"/>
      <c r="D10" s="133"/>
      <c r="E10" s="133"/>
      <c r="F10" s="40"/>
      <c r="G10" s="40"/>
      <c r="H10" s="40"/>
      <c r="I10" s="40"/>
    </row>
    <row r="11" spans="1:9" ht="18">
      <c r="A11" s="129" t="s">
        <v>56</v>
      </c>
      <c r="C11" s="133"/>
      <c r="D11" s="133"/>
      <c r="E11" s="133"/>
      <c r="F11" s="40"/>
      <c r="G11" s="40"/>
      <c r="H11" s="40"/>
      <c r="I11" s="40"/>
    </row>
    <row r="12" spans="1:9" ht="18">
      <c r="A12" s="129" t="s">
        <v>22</v>
      </c>
      <c r="C12" s="133"/>
      <c r="D12" s="133"/>
      <c r="E12" s="133"/>
      <c r="F12" s="40"/>
      <c r="G12" s="40"/>
      <c r="H12" s="40"/>
      <c r="I12" s="40"/>
    </row>
    <row r="13" spans="1:9" ht="18">
      <c r="A13" s="129" t="s">
        <v>23</v>
      </c>
      <c r="C13" s="133"/>
      <c r="D13" s="133"/>
      <c r="E13" s="133"/>
      <c r="F13" s="40"/>
      <c r="G13" s="40"/>
      <c r="H13" s="40"/>
      <c r="I13" s="40"/>
    </row>
    <row r="14" spans="1:9" ht="18">
      <c r="A14" s="129" t="s">
        <v>24</v>
      </c>
      <c r="C14" s="133"/>
      <c r="D14" s="133"/>
      <c r="E14" s="133"/>
      <c r="F14" s="40"/>
      <c r="G14" s="40"/>
      <c r="H14" s="40"/>
      <c r="I14" s="40"/>
    </row>
    <row r="15" spans="1:9" ht="18">
      <c r="A15" s="129" t="s">
        <v>57</v>
      </c>
      <c r="C15" s="133"/>
      <c r="D15" s="133"/>
      <c r="E15" s="133"/>
      <c r="F15" s="40"/>
      <c r="G15" s="40"/>
      <c r="H15" s="40"/>
      <c r="I15" s="40"/>
    </row>
    <row r="16" spans="1:9" ht="18">
      <c r="A16" s="129" t="s">
        <v>58</v>
      </c>
      <c r="C16" s="133"/>
      <c r="D16" s="133"/>
      <c r="E16" s="133"/>
      <c r="F16" s="40"/>
      <c r="G16" s="40"/>
      <c r="H16" s="40"/>
      <c r="I16" s="40"/>
    </row>
    <row r="17" spans="1:9" ht="18">
      <c r="A17" s="129" t="s">
        <v>59</v>
      </c>
      <c r="C17" s="133"/>
      <c r="D17" s="133"/>
      <c r="E17" s="133"/>
      <c r="F17" s="40"/>
      <c r="G17" s="40"/>
      <c r="H17" s="40"/>
      <c r="I17" s="40"/>
    </row>
    <row r="18" spans="1:9" ht="18">
      <c r="A18" s="129" t="s">
        <v>25</v>
      </c>
      <c r="C18" s="133"/>
      <c r="D18" s="133"/>
      <c r="E18" s="133"/>
      <c r="F18" s="40"/>
      <c r="G18" s="40"/>
      <c r="H18" s="40"/>
      <c r="I18" s="40"/>
    </row>
    <row r="19" spans="1:9" ht="18">
      <c r="A19" s="129" t="s">
        <v>60</v>
      </c>
      <c r="C19" s="133"/>
      <c r="D19" s="133"/>
      <c r="E19" s="133"/>
      <c r="F19" s="40"/>
      <c r="G19" s="40"/>
      <c r="H19" s="40"/>
      <c r="I19" s="40"/>
    </row>
    <row r="20" spans="1:9" ht="18">
      <c r="A20" s="129" t="s">
        <v>97</v>
      </c>
      <c r="C20" s="133"/>
      <c r="D20" s="133"/>
      <c r="E20" s="133"/>
      <c r="F20" s="40"/>
      <c r="G20" s="40"/>
      <c r="H20" s="40"/>
      <c r="I20" s="40"/>
    </row>
    <row r="21" spans="1:9" ht="18">
      <c r="A21" s="129" t="s">
        <v>26</v>
      </c>
      <c r="C21" s="133"/>
      <c r="D21" s="133"/>
      <c r="E21" s="133"/>
      <c r="F21" s="40"/>
      <c r="G21" s="40"/>
      <c r="H21" s="40"/>
      <c r="I21" s="40"/>
    </row>
    <row r="22" spans="1:9" ht="18">
      <c r="A22" s="129" t="s">
        <v>61</v>
      </c>
      <c r="C22" s="133"/>
      <c r="D22" s="133"/>
      <c r="E22" s="133"/>
      <c r="F22" s="40"/>
      <c r="G22" s="40"/>
      <c r="H22" s="40"/>
      <c r="I22" s="40"/>
    </row>
    <row r="23" spans="1:9" ht="18">
      <c r="A23" s="129" t="s">
        <v>69</v>
      </c>
      <c r="C23" s="133"/>
      <c r="D23" s="133"/>
      <c r="E23" s="133"/>
      <c r="F23" s="40"/>
      <c r="G23" s="40"/>
      <c r="H23" s="40"/>
      <c r="I23" s="40"/>
    </row>
    <row r="24" spans="1:9" ht="18">
      <c r="A24" s="129" t="s">
        <v>49</v>
      </c>
      <c r="C24" s="133"/>
      <c r="D24" s="133"/>
      <c r="E24" s="133"/>
      <c r="F24" s="40"/>
      <c r="G24" s="40"/>
      <c r="H24" s="40"/>
      <c r="I24" s="40"/>
    </row>
    <row r="25" spans="1:9" ht="18">
      <c r="A25" s="129" t="s">
        <v>92</v>
      </c>
      <c r="C25" s="133"/>
      <c r="D25" s="133"/>
      <c r="E25" s="133"/>
      <c r="F25" s="40"/>
      <c r="G25" s="40"/>
      <c r="H25" s="40"/>
      <c r="I25" s="40"/>
    </row>
    <row r="26" spans="1:9" ht="18">
      <c r="A26" s="129" t="s">
        <v>62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 t="shared" ref="C28:I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>
        <f t="shared" si="0"/>
        <v>0</v>
      </c>
    </row>
    <row r="29" spans="1:9" ht="15.75">
      <c r="A29" s="17" t="s">
        <v>19</v>
      </c>
      <c r="B29" s="18"/>
      <c r="C29" s="135">
        <f t="shared" ref="C29:I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>
        <f t="shared" si="1"/>
        <v>0</v>
      </c>
    </row>
    <row r="30" spans="1:9" ht="15.75">
      <c r="A30" s="14" t="s">
        <v>11</v>
      </c>
      <c r="C30" s="133">
        <f t="shared" ref="C30:I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>
        <f t="shared" si="2"/>
        <v>0</v>
      </c>
    </row>
    <row r="31" spans="1:9" ht="15.75">
      <c r="A31" s="19" t="s">
        <v>20</v>
      </c>
      <c r="B31" s="20"/>
      <c r="C31" s="136">
        <f t="shared" ref="C31:I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F19" sqref="F19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105</v>
      </c>
      <c r="B2" s="2"/>
    </row>
    <row r="3" spans="1:23">
      <c r="A3" s="76" t="s">
        <v>106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72</v>
      </c>
      <c r="E4" s="106" t="s">
        <v>73</v>
      </c>
      <c r="F4" s="106" t="s">
        <v>74</v>
      </c>
      <c r="G4" s="106" t="s">
        <v>75</v>
      </c>
      <c r="H4" s="106" t="s">
        <v>76</v>
      </c>
      <c r="I4" s="106" t="s">
        <v>77</v>
      </c>
      <c r="J4" s="106" t="s">
        <v>78</v>
      </c>
      <c r="K4" s="106" t="s">
        <v>79</v>
      </c>
      <c r="L4" s="106" t="s">
        <v>80</v>
      </c>
      <c r="M4" s="106" t="s">
        <v>81</v>
      </c>
      <c r="N4" s="106" t="s">
        <v>82</v>
      </c>
      <c r="O4" s="106" t="s">
        <v>83</v>
      </c>
      <c r="P4" s="106" t="s">
        <v>84</v>
      </c>
      <c r="Q4" s="106" t="s">
        <v>85</v>
      </c>
      <c r="R4" s="106" t="s">
        <v>86</v>
      </c>
      <c r="S4" s="106" t="s">
        <v>87</v>
      </c>
      <c r="T4" s="106" t="s">
        <v>88</v>
      </c>
      <c r="U4" s="106" t="s">
        <v>89</v>
      </c>
      <c r="V4" s="106" t="s">
        <v>90</v>
      </c>
      <c r="W4" s="106" t="s">
        <v>91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97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92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2025-11-28T20:33:10Z</dcterms:modified>
</cp:coreProperties>
</file>