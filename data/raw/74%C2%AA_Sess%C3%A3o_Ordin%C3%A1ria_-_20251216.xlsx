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FDE1A71-0A4E-4D44-8643-192D82381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2" l="1"/>
  <c r="F28" i="2"/>
  <c r="F29" i="2"/>
  <c r="F30" i="2"/>
  <c r="D27" i="3"/>
  <c r="D28" i="3"/>
  <c r="D29" i="3"/>
  <c r="D30" i="3"/>
  <c r="E27" i="2"/>
  <c r="E28" i="2"/>
  <c r="E29" i="2"/>
  <c r="E30" i="2"/>
  <c r="C28" i="10"/>
  <c r="C29" i="10"/>
  <c r="C30" i="10"/>
  <c r="C31" i="10"/>
  <c r="C27" i="3"/>
  <c r="C28" i="3"/>
  <c r="C29" i="3"/>
  <c r="C30" i="3"/>
  <c r="A4" i="14"/>
  <c r="G27" i="2"/>
  <c r="G28" i="2"/>
  <c r="G29" i="2"/>
  <c r="G30" i="2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<sst xmlns="http://schemas.openxmlformats.org/spreadsheetml/2006/main" count="491" uniqueCount="139">
  <si>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</si>
  <si>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</si>
  <si>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</si>
  <si>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</si>
  <si>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</si>
  <si>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</si>
  <si>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</si>
  <si>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</si>
  <si>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</si>
  <si>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</si>
  <si>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</si>
  <si>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</si>
  <si>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</si>
  <si>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</si>
  <si>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</si>
  <si>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</si>
  <si>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</si>
  <si>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</si>
  <si>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</si>
  <si>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</si>
  <si>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</si>
  <si>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</si>
  <si>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</si>
  <si>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</si>
  <si>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</si>
  <si>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</si>
  <si>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</si>
  <si>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</si>
  <si>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</si>
  <si>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</si>
  <si>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</si>
  <si>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</si>
  <si>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</si>
  <si>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</si>
  <si>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</si>
  <si>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</si>
  <si>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</si>
  <si>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</si>
  <si>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</si>
  <si>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</si>
  <si>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</si>
  <si>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</si>
  <si>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</si>
  <si>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</si>
  <si>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</si>
  <si>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</si>
  <si>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</si>
  <si>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</si>
  <si>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</si>
  <si>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</si>
  <si>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</si>
  <si>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</si>
  <si>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</si>
  <si>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</si>
  <si>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</si>
  <si>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</si>
  <si>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</si>
  <si>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</si>
  <si>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</si>
  <si>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</si>
  <si>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</si>
  <si>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</si>
  <si>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</si>
  <si>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</si>
  <si>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</si>
  <si>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</si>
  <si>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</si>
  <si>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</si>
  <si>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</si>
  <si>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</si>
  <si>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</si>
  <si>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</si>
  <si>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</si>
  <si>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</si>
  <si>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</si>
  <si>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</si>
  <si>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</si>
  <si>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</si>
  <si>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</si>
  <si>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</si>
  <si>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</si>
  <si>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</si>
  <si>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</si>
  <si>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</si>
  <si>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</si>
  <si>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</si>
  <si>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</si>
  <si>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</si>
  <si>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</si>
  <si>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</si>
  <si>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</si>
  <si>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</si>
  <si>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</si>
  <si>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</si>
  <si>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</si>
  <si>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</si>
  <si>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</si>
  <si>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</si>
  <si>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</si>
  <si>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</si>
  <si>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t>pela ausência da autora, será pautada na próxima sessão.</t>
  </si>
  <si>
    <r>
      <t xml:space="preserve">MOÇÃO DE RECONHECIMENTO Nº 609/2025 – ELSA OLIVEIRA – </t>
    </r>
    <r>
      <rPr>
        <sz val="11"/>
        <color theme="1"/>
        <rFont val="Arial"/>
        <family val="2"/>
      </rPr>
      <t>À Jornalista Nancy Nasser, profissional de destacada atuação na comunicação, na vida social e no desenvolvimento institucional da cidade de Osasco.</t>
    </r>
  </si>
  <si>
    <r>
      <t xml:space="preserve">MOÇÃO DE RECONHECIMENTO Nº 611/2025 – RODOLFO CARA – </t>
    </r>
    <r>
      <rPr>
        <sz val="11"/>
        <color theme="1"/>
        <rFont val="Arial"/>
        <family val="2"/>
      </rPr>
      <t>Ao Sr. Adriano Gomes dos Reis por sua relevante contribuição social, profissional e comunitária ao município de Osasco.</t>
    </r>
  </si>
  <si>
    <r>
      <t xml:space="preserve">MOÇÃO DE RECONHECIMENTO Nº 613/2025 – ELÂNIA SILVA – </t>
    </r>
    <r>
      <rPr>
        <sz val="11"/>
        <color theme="1"/>
        <rFont val="Arial"/>
        <family val="2"/>
      </rPr>
      <t>Ao Senhor Gabriel Menezes, mais conhecido como MENA, muralista e artista plástico que se destacou por suas pinturas com cores vibrantes em importantes prédios da cidade de São Paulo e pelo mundo.</t>
    </r>
  </si>
  <si>
    <t>APROVADO
VOTAÇÃO SIMBÓLICA</t>
  </si>
  <si>
    <t>74ª SESSÃO ORDINÁRIA</t>
  </si>
  <si>
    <t>DIA 16 DE DEZEMBRO DE 2025 - TERÇA-FEIRA</t>
  </si>
  <si>
    <t>Projeto de Lei nº 227/2025 – Prefeito do Município de Osasco– Dispõe sobre a criação do Programa Municipal de Fortalecimento dos Vínculos Familiares e Apoio à Parentalidade.</t>
  </si>
  <si>
    <t>Projeto de Lei nº 228/2025 – Prefeito do Município de Osasco– Dispõe sobre o Programa de Parcelamento Especial de Osasco no âmbito do Município de Osasco.</t>
  </si>
  <si>
    <t>Decretos nº 14.949, de 3 de dezembro de 2025 - Prefeito do Município de Osasco – Dispõe sobre a extensão da Rua Cecília Marques Silva pela incorporação do trecho da Rua 3.</t>
  </si>
  <si>
    <t>Decretos nº 14.950 e 14.954, de dezembro de 2025 - Prefeito do Município de Osasco – Dispõe sobre abertura de crédito adicional suplementar ao orçamento vigente e dá outras providências.</t>
  </si>
  <si>
    <t>Decretos nº 14.951, de 4 de dezembro de 2025 - Prefeito do Município de Osasco – Dispõe sobre abertura de crédito adicional especial ao orçamento vigente e dá outras providências.</t>
  </si>
  <si>
    <t>Decretos nº 14.952, de 9 de dezembro de 2025 - Prefeito do Município de Osasco – Dispõe sobre o expediente nas repartições públicas municipais em feriados e pontos facultativos de 2026.</t>
  </si>
  <si>
    <t>Decretos nº 14.953, de 9 de dezembro de 2025 - Prefeito do Município de Osasco – Dispõe sobre o funcionamento das repartições públicas municipais da Administração Direta, Autárquica e Fundacional, nas comemorações de Natal e fim de ano.</t>
  </si>
  <si>
    <t>Projeto de Lei nº 226/2025 – Ralfi Silva – Fica assegurada a circulação de animais domésticos nas áreas comuns dos condomínios de casas ou apartamentos, na forma que especifica.</t>
  </si>
  <si>
    <t>Projeto de Decreto Legislativo nº 100/2025 – Ralfi Silva – – Dispõe sobre a concessão de Placa Comemorativa à Ecco Multimarcas.</t>
  </si>
  <si>
    <t>Projeto de Decreto Legislativo nº 101/2025 – Ralfi Silva – Dispõe sobre a Concessão de Cartão de Prata a DGT Administradora.</t>
  </si>
  <si>
    <t>Projeto de Decreto Legislativo nº 102/2025 – Alexandre Capriotti – Dispõe sobre a concessão de Placa Comemorativa ao Restaurante Café Brasil.</t>
  </si>
  <si>
    <t>Projeto de Decreto Legislativo nº 103/2025 – Stephane Rossi – Dispõe sobre a concessão da Medalha Antônio Raposo Tavares e Diploma Cidade de Osasco ao senhor Jorge Kamalakian.</t>
  </si>
  <si>
    <t>Projeto de Decreto Legislativo nº 104/2025 – Stephane Rossi – Dispõe sobre a concessão de Cartão de Prata ao Sr. Marco Antônio de Queiróz Pataro Moraes.</t>
  </si>
  <si>
    <t>Projeto de Decreto Legislativo nº 105/2025 – Stephane Rossi – Dispõe sobre a concessão de Placa Comemorativa à Impercap Saunas.</t>
  </si>
  <si>
    <t>Projeto de Decreto Legislativo nº 106/2025 – Stephane Rossi – Dispõe sobre a concessão de Placa Comemorativa à Associação Brasileira Autismo Conexão – ABRAAC.</t>
  </si>
  <si>
    <t>Projeto de Decreto Legislativo nº 107/2025 – Elânia Silva – Dispõe sobre a concessão de Título de Cidadão Osasquense ao Sr. Jairo Lucas Sacramento.</t>
  </si>
  <si>
    <t>Projeto de Decreto Legislativo nº 108/2025 – Elânia Silva – Dispõe sobre a concessão da Medalha Antônio Raposo Tavares e do Diploma Cidade de Osasco ao Sr. Wellington Carfi dos Santos.</t>
  </si>
  <si>
    <r>
      <t xml:space="preserve">MOÇÃO DE APLAUSO Nº 614/2025 – ALEXANDRE CAPRIOTTI - </t>
    </r>
    <r>
      <rPr>
        <sz val="11"/>
        <color theme="1"/>
        <rFont val="Arial"/>
        <family val="2"/>
      </rPr>
      <t>Ao Projeto KRJUDÔ, idealizado pela sensei Andreia Romanovski e atualmente conduzido pelos senseis Rafael Kaneda e Saulo Lucas, em reconhecimento ao seu amplo alcance e relevante impacto social junto às crianças e adolescentes da comunidade.</t>
    </r>
  </si>
  <si>
    <r>
      <t xml:space="preserve">MOÇÃO DE APLAUSO Nº 615/2025 – ALEXANDRE CAPRIOTTI - </t>
    </r>
    <r>
      <rPr>
        <sz val="11"/>
        <color theme="1"/>
        <rFont val="Arial"/>
        <family val="2"/>
      </rPr>
      <t>Ao senhor Joab Aparecido Marques, por sua notável trajetória como ultraciclista e cicloturista, que o levou a chegar à COP30 pedalando de São Paulo a Belém, destacando-se como agente ativo no debate sobre mobilidade sustentável, redução de emissões e incentivo a meios de transporte mais conscientes.</t>
    </r>
  </si>
  <si>
    <r>
      <t xml:space="preserve">MOÇÃO DE CONGRATULAÇÕES Nº 616/2025 – DELBIO TERUEL- </t>
    </r>
    <r>
      <rPr>
        <sz val="11"/>
        <color theme="1"/>
        <rFont val="Arial"/>
        <family val="2"/>
      </rPr>
      <t xml:space="preserve">Ao Instituto Rubro Brasil, pela conquista da LOFS 2025, na categoria Sub-14 Prata da Liga Osasquense de Futebol de Salão. </t>
    </r>
  </si>
  <si>
    <r>
      <t xml:space="preserve">MOÇÃO DE RECONHECIMENTO Nº 617/2025 – LAÉRCIO MENDONÇA - </t>
    </r>
    <r>
      <rPr>
        <sz val="11"/>
        <color theme="1"/>
        <rFont val="Arial"/>
        <family val="2"/>
      </rPr>
      <t>Ao senhor Orlando da Silva, por sua expressiva trajetória de vida, seu comprometimento com a cultura popular, sua militância social e sua fundamental contribuição para o desenvolvimento cultural do município de Osasco.</t>
    </r>
  </si>
  <si>
    <r>
      <t xml:space="preserve">MOÇÃO DE RECONHECIMENTO Nº 618/2025 – GUILHERME PRADO - </t>
    </r>
    <r>
      <rPr>
        <sz val="11"/>
        <color theme="1"/>
        <rFont val="Arial"/>
        <family val="2"/>
      </rPr>
      <t>Ao senhor Bruno Pereira de Sousa, proprietário da BR Teto Solar, em reconhecimento à sua trajetória profissional, cuja atuação em Osasco desde 2007 tem fortalecido o setor automotivo e servido de inspiração a outros empreendedores.</t>
    </r>
  </si>
  <si>
    <r>
      <t xml:space="preserve">MOÇÃO DE RECONHECIMENTO Nº 619/2025 – GUILHERME PRADO - </t>
    </r>
    <r>
      <rPr>
        <sz val="11"/>
        <color theme="1"/>
        <rFont val="Arial"/>
        <family val="2"/>
      </rPr>
      <t>Ao Capitão Danilo José Franco, pelo compromisso, coragem e dedicação exemplar à segurança pública, com destaque para sua atuação firme, ética e responsável no serviço policial militar.</t>
    </r>
  </si>
  <si>
    <r>
      <t xml:space="preserve">MOÇÃO DE RECONHECIMENTO Nº 620/2025 – JOSIAS DA JUCO - </t>
    </r>
    <r>
      <rPr>
        <sz val="11"/>
        <color theme="1"/>
        <rFont val="Arial"/>
        <family val="2"/>
      </rPr>
      <t>À Dra. Meire Regina Hernandes, pelo relevante trabalho desenvolvido junto à Secretaria Executiva de Compras e Licitações – SECOL.</t>
    </r>
  </si>
  <si>
    <r>
      <t xml:space="preserve">MOÇÃO DE RECONHECIMENTO Nº 621/2025 – ALEXANDRE CAPRIOTTI - </t>
    </r>
    <r>
      <rPr>
        <sz val="11"/>
        <color theme="1"/>
        <rFont val="Arial"/>
        <family val="2"/>
      </rPr>
      <t>À Defesa Civil, à Secretaria de Serviços e Obras e à Secretaria de Meio Ambiente e Recursos Hídricos, pelo comprometimento dessas equipes com a proteção da comunidade em momentos de adversidade.</t>
    </r>
  </si>
  <si>
    <r>
      <t>MOÇÃO DE RECONHECIMENTO Nº 622/2025 – LAÉRCIO MENDONÇA -</t>
    </r>
    <r>
      <rPr>
        <sz val="11"/>
        <color theme="1"/>
        <rFont val="Arial"/>
        <family val="2"/>
      </rPr>
      <t xml:space="preserve"> Ao Projeto Esporte Esperança, por sua trajetória dedicada à formação humana, esportiva e educacional, bem como ao desenvolvimento social de crianças e adolescentes do município, também por suas ações sociais, expansão das modalidades esportivas e expressivas conquistas na temporada 2025, dando continuidade ao legado do saudoso Sílvio Raposo</t>
    </r>
  </si>
  <si>
    <r>
      <t xml:space="preserve">PROJETO DE LEI Nº 47/2025 - SÉRGIO FONTELLAS – </t>
    </r>
    <r>
      <rPr>
        <sz val="14"/>
        <color theme="1"/>
        <rFont val="Arial"/>
        <family val="2"/>
      </rPr>
      <t>Institui a Campanha Outubrinho Rosa.</t>
    </r>
    <r>
      <rPr>
        <b/>
        <sz val="14"/>
        <color theme="1"/>
        <rFont val="Arial"/>
        <family val="2"/>
      </rPr>
      <t xml:space="preserve"> </t>
    </r>
  </si>
  <si>
    <r>
      <t>PROJETO DE LEI Nº 32/2025 - RALFI –</t>
    </r>
    <r>
      <rPr>
        <sz val="14"/>
        <color theme="1"/>
        <rFont val="Arial"/>
        <family val="2"/>
      </rPr>
      <t xml:space="preserve"> Assegura o ingresso e a permanência de cães de assistência a pessoas com deficiência ou transtorno do espectro autista – TEA em locais de uso público ou privado.</t>
    </r>
  </si>
  <si>
    <r>
      <t xml:space="preserve">PROJETO DE LEI Nº 119/2025 - JOSIAS DA JUCO – </t>
    </r>
    <r>
      <rPr>
        <sz val="14"/>
        <color theme="1"/>
        <rFont val="Arial"/>
        <family val="2"/>
      </rPr>
      <t>Dispõe sobre a implantação de código tipo QR Code nas placas de denominação de ruas, praças, logradouros e equipamentos públicos do Município de Osasco.</t>
    </r>
  </si>
  <si>
    <t>Pedido de vistas por 30 dias.</t>
  </si>
  <si>
    <r>
      <t xml:space="preserve">PROJETO DE LEI Nº 216/2025 – GUILHERME PRADO – </t>
    </r>
    <r>
      <rPr>
        <sz val="11"/>
        <color theme="1"/>
        <rFont val="Arial"/>
        <family val="2"/>
      </rPr>
      <t>Dispõe sobre alteração da denominação da Rua General Labatut para Rua Padre Léo.</t>
    </r>
  </si>
  <si>
    <t>EMENDA Nº 1 AO PROJETO DE LEI Nº 216/2025 DE AUTORIA DO VEREADOR GUILHERME PRADO.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</si>
</sst>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O34" sqref="O3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105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106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2</v>
      </c>
      <c r="G14" s="102" t="s">
        <v>53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96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91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20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1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24</v>
      </c>
      <c r="V34" s="12"/>
      <c r="W34" s="12"/>
    </row>
    <row r="35" spans="1:23" ht="18">
      <c r="A35" s="34" t="s">
        <v>60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57</v>
      </c>
      <c r="V42" s="12"/>
      <c r="W42" s="12"/>
    </row>
    <row r="43" spans="1:23" ht="18">
      <c r="A43" s="34" t="s">
        <v>68</v>
      </c>
      <c r="V43" s="12"/>
      <c r="W43" s="12"/>
    </row>
    <row r="44" spans="1:23" ht="18">
      <c r="A44" s="34" t="s">
        <v>91</v>
      </c>
      <c r="V44" s="12"/>
      <c r="W44" s="12"/>
    </row>
    <row r="45" spans="1:23" ht="18">
      <c r="A45" s="34" t="s">
        <v>58</v>
      </c>
      <c r="V45" s="12"/>
      <c r="W45" s="12"/>
    </row>
    <row r="46" spans="1:23" ht="18">
      <c r="A46" s="34" t="s">
        <v>23</v>
      </c>
      <c r="B46" s="7"/>
      <c r="V46" s="12"/>
      <c r="W46" s="32"/>
    </row>
    <row r="47" spans="1:23" ht="18">
      <c r="A47" s="34" t="s">
        <v>69</v>
      </c>
      <c r="W47" s="12"/>
    </row>
    <row r="48" spans="1:23" ht="18">
      <c r="A48" s="34" t="s">
        <v>49</v>
      </c>
      <c r="W48" s="12"/>
    </row>
    <row r="49" spans="1:23" ht="18">
      <c r="A49" s="34" t="s">
        <v>26</v>
      </c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68</v>
      </c>
    </row>
    <row r="53" spans="1:23" ht="18">
      <c r="A53" s="34" t="s">
        <v>23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39"/>
  <sheetViews>
    <sheetView workbookViewId="0">
      <pane xSplit="1" topLeftCell="B1" activePane="topRight" state="frozen"/>
      <selection pane="topRight" activeCell="AE22" sqref="AE22"/>
    </sheetView>
  </sheetViews>
  <sheetFormatPr defaultColWidth="9.140625" defaultRowHeight="12.75"/>
  <cols>
    <col min="1" max="1" width="47.7109375" style="22" customWidth="1"/>
    <col min="2" max="19" width="23.7109375" style="22" customWidth="1"/>
    <col min="20" max="20" width="19" style="22" customWidth="1"/>
    <col min="21" max="21" width="26.28515625" style="22" customWidth="1"/>
    <col min="22" max="22" width="22.140625" style="22" customWidth="1"/>
    <col min="23" max="34" width="22.7109375" style="22" customWidth="1"/>
    <col min="35" max="16384" width="9.140625" style="22"/>
  </cols>
  <sheetData>
    <row r="1" spans="1:3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34" ht="15">
      <c r="A2" s="76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34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34" ht="63" customHeight="1">
      <c r="A4" s="51" t="str">
        <f>'[1]MOÇÃO E REQUERIMENTO'!B7</f>
        <v>EXPEDIENTE</v>
      </c>
      <c r="B4" s="50" t="s">
        <v>45</v>
      </c>
      <c r="C4" s="117" t="s">
        <v>107</v>
      </c>
      <c r="D4" s="117" t="s">
        <v>108</v>
      </c>
      <c r="E4" s="117" t="s">
        <v>109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7" t="s">
        <v>114</v>
      </c>
      <c r="K4" s="117" t="s">
        <v>115</v>
      </c>
      <c r="L4" s="117" t="s">
        <v>116</v>
      </c>
      <c r="M4" s="117" t="s">
        <v>117</v>
      </c>
      <c r="N4" s="117" t="s">
        <v>118</v>
      </c>
      <c r="O4" s="117" t="s">
        <v>119</v>
      </c>
      <c r="P4" s="117" t="s">
        <v>120</v>
      </c>
      <c r="Q4" s="117" t="s">
        <v>121</v>
      </c>
      <c r="R4" s="117" t="s">
        <v>122</v>
      </c>
      <c r="S4" s="117" t="s">
        <v>123</v>
      </c>
      <c r="T4" s="112" t="s">
        <v>34</v>
      </c>
      <c r="U4" s="124"/>
      <c r="V4" s="50" t="s">
        <v>27</v>
      </c>
      <c r="W4" s="84" t="s">
        <v>101</v>
      </c>
      <c r="X4" s="84" t="s">
        <v>102</v>
      </c>
      <c r="Y4" s="84" t="s">
        <v>103</v>
      </c>
      <c r="Z4" s="84" t="s">
        <v>124</v>
      </c>
      <c r="AA4" s="84" t="s">
        <v>125</v>
      </c>
      <c r="AB4" s="84" t="s">
        <v>126</v>
      </c>
      <c r="AC4" s="84" t="s">
        <v>127</v>
      </c>
      <c r="AD4" s="84" t="s">
        <v>128</v>
      </c>
      <c r="AE4" s="84" t="s">
        <v>129</v>
      </c>
      <c r="AF4" s="84" t="s">
        <v>130</v>
      </c>
      <c r="AG4" s="84" t="s">
        <v>131</v>
      </c>
      <c r="AH4" s="84" t="s">
        <v>132</v>
      </c>
    </row>
    <row r="5" spans="1:3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113"/>
      <c r="W5" s="118" t="s">
        <v>100</v>
      </c>
      <c r="X5" s="118" t="s">
        <v>99</v>
      </c>
      <c r="Y5" s="118" t="s">
        <v>100</v>
      </c>
      <c r="Z5" s="113" t="s">
        <v>65</v>
      </c>
      <c r="AA5" s="113" t="s">
        <v>65</v>
      </c>
      <c r="AB5" s="113" t="s">
        <v>65</v>
      </c>
      <c r="AC5" s="113" t="s">
        <v>65</v>
      </c>
      <c r="AD5" s="113" t="s">
        <v>65</v>
      </c>
      <c r="AE5" s="113" t="s">
        <v>65</v>
      </c>
      <c r="AF5" s="113" t="s">
        <v>65</v>
      </c>
      <c r="AG5" s="118" t="s">
        <v>99</v>
      </c>
      <c r="AH5" s="118" t="s">
        <v>99</v>
      </c>
    </row>
    <row r="6" spans="1:34" ht="15.75">
      <c r="A6" s="127" t="s">
        <v>51</v>
      </c>
      <c r="V6" s="23"/>
    </row>
    <row r="7" spans="1:34" ht="15.75">
      <c r="A7" s="127" t="s">
        <v>68</v>
      </c>
      <c r="V7" s="23"/>
    </row>
    <row r="8" spans="1:34" ht="15.75">
      <c r="A8" s="127" t="s">
        <v>54</v>
      </c>
      <c r="V8" s="23"/>
    </row>
    <row r="9" spans="1:34" ht="15.75">
      <c r="A9" s="128" t="s">
        <v>55</v>
      </c>
      <c r="V9" s="23"/>
    </row>
    <row r="10" spans="1:34" ht="15.75">
      <c r="A10" s="127" t="s">
        <v>28</v>
      </c>
      <c r="V10" s="23"/>
    </row>
    <row r="11" spans="1:34" ht="15.75">
      <c r="A11" s="127" t="s">
        <v>56</v>
      </c>
      <c r="V11" s="23"/>
    </row>
    <row r="12" spans="1:34" ht="15.75">
      <c r="A12" s="127" t="s">
        <v>22</v>
      </c>
      <c r="V12" s="23"/>
    </row>
    <row r="13" spans="1:34" ht="15.75">
      <c r="A13" s="127" t="s">
        <v>23</v>
      </c>
      <c r="V13" s="23"/>
    </row>
    <row r="14" spans="1:34" ht="15.75">
      <c r="A14" s="127" t="s">
        <v>24</v>
      </c>
      <c r="V14" s="23"/>
    </row>
    <row r="15" spans="1:34" ht="15.75">
      <c r="A15" s="127" t="s">
        <v>57</v>
      </c>
      <c r="V15" s="23"/>
    </row>
    <row r="16" spans="1:34" ht="15.75">
      <c r="A16" s="127" t="s">
        <v>58</v>
      </c>
      <c r="V16" s="23"/>
    </row>
    <row r="17" spans="1:22" ht="15.75">
      <c r="A17" s="127" t="s">
        <v>59</v>
      </c>
      <c r="V17" s="23"/>
    </row>
    <row r="18" spans="1:22" ht="15.75">
      <c r="A18" s="127" t="s">
        <v>25</v>
      </c>
      <c r="V18" s="23"/>
    </row>
    <row r="19" spans="1:22" ht="15.75">
      <c r="A19" s="127" t="s">
        <v>60</v>
      </c>
      <c r="V19" s="23"/>
    </row>
    <row r="20" spans="1:22" ht="15.75">
      <c r="A20" s="127" t="s">
        <v>96</v>
      </c>
      <c r="V20" s="23"/>
    </row>
    <row r="21" spans="1:22" ht="15.75">
      <c r="A21" s="127" t="s">
        <v>26</v>
      </c>
      <c r="V21" s="23"/>
    </row>
    <row r="22" spans="1:22" ht="15.75">
      <c r="A22" s="127" t="s">
        <v>61</v>
      </c>
      <c r="V22" s="23"/>
    </row>
    <row r="23" spans="1:22" ht="15.75">
      <c r="A23" s="127" t="s">
        <v>69</v>
      </c>
      <c r="V23" s="23"/>
    </row>
    <row r="24" spans="1:22" ht="15.75">
      <c r="A24" s="127" t="s">
        <v>49</v>
      </c>
      <c r="V24" s="23"/>
    </row>
    <row r="25" spans="1:22" ht="15.75">
      <c r="A25" s="127" t="s">
        <v>91</v>
      </c>
      <c r="V25" s="23"/>
    </row>
    <row r="26" spans="1:22" ht="15.75">
      <c r="A26" s="127" t="s">
        <v>62</v>
      </c>
      <c r="V26" s="23"/>
    </row>
    <row r="27" spans="1:22" s="25" customFormat="1">
      <c r="A27" s="24" t="s">
        <v>18</v>
      </c>
    </row>
    <row r="28" spans="1:22" s="27" customFormat="1">
      <c r="A28" s="26" t="s">
        <v>19</v>
      </c>
    </row>
    <row r="29" spans="1:22">
      <c r="A29" s="28" t="s">
        <v>11</v>
      </c>
    </row>
    <row r="30" spans="1:22" s="30" customFormat="1">
      <c r="A30" s="29" t="s">
        <v>20</v>
      </c>
    </row>
    <row r="32" spans="1:2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I12" sqref="I12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105</v>
      </c>
      <c r="B2" s="49"/>
      <c r="C2" s="74"/>
    </row>
    <row r="3" spans="1:47" ht="17.25" customHeight="1">
      <c r="A3" s="76" t="s">
        <v>106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133</v>
      </c>
      <c r="F4" s="140" t="s">
        <v>134</v>
      </c>
      <c r="G4" s="140" t="s">
        <v>135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37</v>
      </c>
      <c r="B5" s="78"/>
      <c r="C5" s="142"/>
      <c r="D5" s="79"/>
      <c r="E5" s="144" t="s">
        <v>104</v>
      </c>
      <c r="F5" s="144" t="s">
        <v>70</v>
      </c>
      <c r="G5" s="150" t="s">
        <v>136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51</v>
      </c>
      <c r="C6" s="107"/>
      <c r="E6" s="107"/>
      <c r="F6" s="107" t="s">
        <v>66</v>
      </c>
      <c r="G6" s="107"/>
    </row>
    <row r="7" spans="1:47" ht="20.25">
      <c r="A7" s="46" t="s">
        <v>68</v>
      </c>
      <c r="C7" s="107"/>
      <c r="E7" s="107"/>
      <c r="F7" s="107" t="s">
        <v>66</v>
      </c>
      <c r="G7" s="107"/>
    </row>
    <row r="8" spans="1:47" ht="20.25">
      <c r="A8" s="46" t="s">
        <v>54</v>
      </c>
      <c r="C8" s="107"/>
      <c r="E8" s="107"/>
      <c r="F8" s="107" t="s">
        <v>66</v>
      </c>
      <c r="G8" s="107"/>
    </row>
    <row r="9" spans="1:47" ht="20.25">
      <c r="A9" s="82" t="s">
        <v>55</v>
      </c>
      <c r="C9" s="114"/>
      <c r="E9" s="114"/>
      <c r="F9" s="114" t="s">
        <v>97</v>
      </c>
      <c r="G9" s="114"/>
    </row>
    <row r="10" spans="1:47" ht="20.25">
      <c r="A10" s="46" t="s">
        <v>28</v>
      </c>
      <c r="C10" s="107"/>
      <c r="E10" s="107"/>
      <c r="F10" s="107" t="s">
        <v>66</v>
      </c>
      <c r="G10" s="107"/>
    </row>
    <row r="11" spans="1:47" ht="20.25">
      <c r="A11" s="46" t="s">
        <v>56</v>
      </c>
      <c r="C11" s="107"/>
      <c r="E11" s="107"/>
      <c r="F11" s="107" t="s">
        <v>66</v>
      </c>
      <c r="G11" s="114"/>
    </row>
    <row r="12" spans="1:47" ht="20.25">
      <c r="A12" s="46" t="s">
        <v>22</v>
      </c>
      <c r="C12" s="107"/>
      <c r="E12" s="107"/>
      <c r="F12" s="107" t="s">
        <v>66</v>
      </c>
      <c r="G12" s="107"/>
    </row>
    <row r="13" spans="1:47" ht="20.25">
      <c r="A13" s="46" t="s">
        <v>23</v>
      </c>
      <c r="C13" s="114"/>
      <c r="E13" s="114"/>
      <c r="F13" s="107" t="s">
        <v>66</v>
      </c>
      <c r="G13" s="114"/>
    </row>
    <row r="14" spans="1:47" ht="20.25">
      <c r="A14" s="46" t="s">
        <v>24</v>
      </c>
      <c r="C14" s="107"/>
      <c r="E14" s="107"/>
      <c r="F14" s="114" t="s">
        <v>53</v>
      </c>
      <c r="G14" s="107"/>
    </row>
    <row r="15" spans="1:47" ht="20.25">
      <c r="A15" s="46" t="s">
        <v>57</v>
      </c>
      <c r="C15" s="107"/>
      <c r="E15" s="107"/>
      <c r="F15" s="107" t="s">
        <v>66</v>
      </c>
      <c r="G15" s="107"/>
    </row>
    <row r="16" spans="1:47" ht="20.25">
      <c r="A16" s="46" t="s">
        <v>58</v>
      </c>
      <c r="C16" s="107"/>
      <c r="E16" s="107"/>
      <c r="F16" s="107" t="s">
        <v>66</v>
      </c>
      <c r="G16" s="107"/>
    </row>
    <row r="17" spans="1:132" ht="20.25">
      <c r="A17" s="46" t="s">
        <v>59</v>
      </c>
      <c r="C17" s="114"/>
      <c r="E17" s="114"/>
      <c r="F17" s="107" t="s">
        <v>66</v>
      </c>
      <c r="G17" s="114"/>
    </row>
    <row r="18" spans="1:132" ht="20.25">
      <c r="A18" s="46" t="s">
        <v>25</v>
      </c>
      <c r="C18" s="107"/>
      <c r="E18" s="107"/>
      <c r="F18" s="107" t="s">
        <v>66</v>
      </c>
      <c r="G18" s="107"/>
    </row>
    <row r="19" spans="1:132" ht="20.25">
      <c r="A19" s="46" t="s">
        <v>60</v>
      </c>
      <c r="C19" s="107"/>
      <c r="E19" s="107"/>
      <c r="F19" s="107" t="s">
        <v>66</v>
      </c>
      <c r="G19" s="107"/>
    </row>
    <row r="20" spans="1:132" ht="20.25">
      <c r="A20" s="46" t="s">
        <v>96</v>
      </c>
      <c r="C20" s="107"/>
      <c r="E20" s="107"/>
      <c r="F20" s="107" t="s">
        <v>66</v>
      </c>
      <c r="G20" s="107"/>
    </row>
    <row r="21" spans="1:132" ht="20.25">
      <c r="A21" s="46" t="s">
        <v>26</v>
      </c>
      <c r="C21" s="107"/>
      <c r="E21" s="107"/>
      <c r="F21" s="107" t="s">
        <v>66</v>
      </c>
      <c r="G21" s="114"/>
    </row>
    <row r="22" spans="1:132" ht="20.25">
      <c r="A22" s="46" t="s">
        <v>61</v>
      </c>
      <c r="C22" s="114"/>
      <c r="E22" s="114"/>
      <c r="F22" s="107" t="s">
        <v>66</v>
      </c>
      <c r="G22" s="107"/>
    </row>
    <row r="23" spans="1:132" ht="20.25">
      <c r="A23" s="46" t="s">
        <v>69</v>
      </c>
      <c r="C23" s="114"/>
      <c r="E23" s="107"/>
      <c r="F23" s="107" t="s">
        <v>66</v>
      </c>
      <c r="G23" s="107"/>
    </row>
    <row r="24" spans="1:132" ht="20.25">
      <c r="A24" s="46" t="s">
        <v>49</v>
      </c>
      <c r="C24" s="107"/>
      <c r="E24" s="107"/>
      <c r="F24" s="107" t="s">
        <v>66</v>
      </c>
      <c r="G24" s="114"/>
    </row>
    <row r="25" spans="1:132" ht="20.25">
      <c r="A25" s="46" t="s">
        <v>91</v>
      </c>
      <c r="C25" s="107"/>
      <c r="E25" s="107"/>
      <c r="F25" s="107" t="s">
        <v>66</v>
      </c>
      <c r="G25" s="107"/>
    </row>
    <row r="26" spans="1:132" ht="20.25">
      <c r="A26" s="46" t="s">
        <v>62</v>
      </c>
      <c r="C26" s="107"/>
      <c r="E26" s="107"/>
      <c r="F26" s="107" t="s">
        <v>66</v>
      </c>
      <c r="G26" s="107"/>
    </row>
    <row r="27" spans="1:132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G27" si="1">COUNTIF(E6:E26,"sim")</f>
        <v>0</v>
      </c>
      <c r="F27" s="103">
        <f t="shared" ref="F27" si="2">COUNTIF(F6:F26,"sim")</f>
        <v>19</v>
      </c>
      <c r="G27" s="103">
        <f t="shared" si="1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 t="shared" ref="C28" si="3">COUNTIF(C6:C26,"não")</f>
        <v>0</v>
      </c>
      <c r="D28"/>
      <c r="E28" s="104">
        <f t="shared" ref="E28:G28" si="4">COUNTIF(E6:E26,"não")</f>
        <v>0</v>
      </c>
      <c r="F28" s="104">
        <f t="shared" ref="F28" si="5">COUNTIF(F6:F26,"não")</f>
        <v>0</v>
      </c>
      <c r="G28" s="104">
        <f t="shared" si="4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 t="shared" ref="C29" si="6">COUNTIF(C6:C26,"ausente")</f>
        <v>0</v>
      </c>
      <c r="E29" s="40">
        <f t="shared" ref="E29:G29" si="7">COUNTIF(E6:E26,"ausente")</f>
        <v>0</v>
      </c>
      <c r="F29" s="40">
        <f t="shared" ref="F29" si="8">COUNTIF(F6:F26,"ausente")</f>
        <v>1</v>
      </c>
      <c r="G29" s="40">
        <f t="shared" si="7"/>
        <v>0</v>
      </c>
    </row>
    <row r="30" spans="1:132" s="20" customFormat="1" ht="15.75">
      <c r="A30" s="19" t="s">
        <v>20</v>
      </c>
      <c r="B30"/>
      <c r="C30" s="105">
        <f t="shared" ref="C30" si="9">COUNTIF(C6:C26,"abstenção")</f>
        <v>0</v>
      </c>
      <c r="D30"/>
      <c r="E30" s="105">
        <f t="shared" ref="E30:G30" si="10">COUNTIF(E6:E26,"abstenção")</f>
        <v>0</v>
      </c>
      <c r="F30" s="105">
        <f t="shared" ref="F30" si="11">COUNTIF(F6:F26,"abstenção")</f>
        <v>0</v>
      </c>
      <c r="G30" s="105">
        <f t="shared" si="10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8" sqref="G1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137</v>
      </c>
      <c r="D4" s="139" t="s">
        <v>138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70</v>
      </c>
      <c r="D5" s="144" t="s">
        <v>65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 t="s">
        <v>66</v>
      </c>
      <c r="D6" s="114" t="s">
        <v>53</v>
      </c>
      <c r="V6" s="7"/>
      <c r="W6" s="7"/>
    </row>
    <row r="7" spans="1:30" ht="18">
      <c r="A7" s="129" t="s">
        <v>68</v>
      </c>
      <c r="C7" s="107" t="s">
        <v>66</v>
      </c>
      <c r="D7" s="107" t="s">
        <v>66</v>
      </c>
      <c r="V7" s="7"/>
      <c r="W7" s="7"/>
    </row>
    <row r="8" spans="1:30" ht="18">
      <c r="A8" s="129" t="s">
        <v>54</v>
      </c>
      <c r="C8" s="107" t="s">
        <v>66</v>
      </c>
      <c r="D8" s="107" t="s">
        <v>66</v>
      </c>
      <c r="V8" s="7"/>
      <c r="W8" s="7"/>
    </row>
    <row r="9" spans="1:30" ht="18">
      <c r="A9" s="130" t="s">
        <v>55</v>
      </c>
      <c r="C9" s="107" t="s">
        <v>66</v>
      </c>
      <c r="D9" s="107" t="s">
        <v>66</v>
      </c>
      <c r="V9" s="7"/>
      <c r="W9" s="7"/>
    </row>
    <row r="10" spans="1:30" ht="18">
      <c r="A10" s="129" t="s">
        <v>28</v>
      </c>
      <c r="C10" s="107" t="s">
        <v>66</v>
      </c>
      <c r="D10" s="107" t="s">
        <v>66</v>
      </c>
      <c r="V10" s="7"/>
      <c r="W10" s="7"/>
    </row>
    <row r="11" spans="1:30" ht="18">
      <c r="A11" s="129" t="s">
        <v>56</v>
      </c>
      <c r="C11" s="114" t="s">
        <v>53</v>
      </c>
      <c r="D11" s="107" t="s">
        <v>66</v>
      </c>
      <c r="V11" s="7"/>
      <c r="W11" s="7"/>
    </row>
    <row r="12" spans="1:30" ht="18">
      <c r="A12" s="129" t="s">
        <v>22</v>
      </c>
      <c r="C12" s="107" t="s">
        <v>66</v>
      </c>
      <c r="D12" s="107" t="s">
        <v>66</v>
      </c>
      <c r="V12" s="7"/>
      <c r="W12" s="7"/>
    </row>
    <row r="13" spans="1:30" ht="18">
      <c r="A13" s="129" t="s">
        <v>23</v>
      </c>
      <c r="C13" s="107" t="s">
        <v>66</v>
      </c>
      <c r="D13" s="107" t="s">
        <v>66</v>
      </c>
      <c r="V13" s="7"/>
      <c r="W13" s="7"/>
    </row>
    <row r="14" spans="1:30" ht="18">
      <c r="A14" s="129" t="s">
        <v>24</v>
      </c>
      <c r="C14" s="107" t="s">
        <v>66</v>
      </c>
      <c r="D14" s="107" t="s">
        <v>66</v>
      </c>
      <c r="V14" s="7"/>
      <c r="W14" s="7"/>
    </row>
    <row r="15" spans="1:30" ht="18">
      <c r="A15" s="129" t="s">
        <v>57</v>
      </c>
      <c r="C15" s="107" t="s">
        <v>66</v>
      </c>
      <c r="D15" s="107" t="s">
        <v>66</v>
      </c>
      <c r="V15" s="7"/>
      <c r="W15" s="7"/>
    </row>
    <row r="16" spans="1:30" ht="18">
      <c r="A16" s="129" t="s">
        <v>58</v>
      </c>
      <c r="C16" s="107" t="s">
        <v>66</v>
      </c>
      <c r="D16" s="107" t="s">
        <v>66</v>
      </c>
      <c r="V16" s="7"/>
      <c r="W16" s="7"/>
    </row>
    <row r="17" spans="1:124" ht="15" customHeight="1">
      <c r="A17" s="129" t="s">
        <v>59</v>
      </c>
      <c r="C17" s="107" t="s">
        <v>66</v>
      </c>
      <c r="D17" s="107" t="s">
        <v>66</v>
      </c>
      <c r="U17" s="8"/>
      <c r="V17" s="7"/>
      <c r="W17" s="7"/>
    </row>
    <row r="18" spans="1:124" ht="18">
      <c r="A18" s="129" t="s">
        <v>25</v>
      </c>
      <c r="C18" s="107" t="s">
        <v>66</v>
      </c>
      <c r="D18" s="107" t="s">
        <v>66</v>
      </c>
      <c r="V18" s="7"/>
      <c r="W18" s="7"/>
    </row>
    <row r="19" spans="1:124" ht="18">
      <c r="A19" s="129" t="s">
        <v>60</v>
      </c>
      <c r="C19" s="107" t="s">
        <v>66</v>
      </c>
      <c r="D19" s="107" t="s">
        <v>66</v>
      </c>
      <c r="V19" s="7"/>
      <c r="W19" s="7"/>
    </row>
    <row r="20" spans="1:124" ht="18">
      <c r="A20" s="129" t="s">
        <v>96</v>
      </c>
      <c r="C20" s="114" t="s">
        <v>53</v>
      </c>
      <c r="D20" s="107" t="s">
        <v>66</v>
      </c>
      <c r="V20" s="7"/>
      <c r="W20" s="7"/>
    </row>
    <row r="21" spans="1:124" ht="18">
      <c r="A21" s="129" t="s">
        <v>26</v>
      </c>
      <c r="C21" s="107" t="s">
        <v>66</v>
      </c>
      <c r="D21" s="107" t="s">
        <v>66</v>
      </c>
      <c r="V21" s="7"/>
      <c r="W21" s="7"/>
    </row>
    <row r="22" spans="1:124" ht="18">
      <c r="A22" s="129" t="s">
        <v>61</v>
      </c>
      <c r="C22" s="107" t="s">
        <v>66</v>
      </c>
      <c r="D22" s="107" t="s">
        <v>66</v>
      </c>
      <c r="V22" s="7"/>
      <c r="W22" s="7"/>
    </row>
    <row r="23" spans="1:124" ht="18">
      <c r="A23" s="129" t="s">
        <v>69</v>
      </c>
      <c r="C23" s="107" t="s">
        <v>66</v>
      </c>
      <c r="D23" s="107" t="s">
        <v>66</v>
      </c>
      <c r="V23" s="7"/>
      <c r="W23" s="7"/>
    </row>
    <row r="24" spans="1:124" ht="18">
      <c r="A24" s="129" t="s">
        <v>49</v>
      </c>
      <c r="C24" s="107" t="s">
        <v>66</v>
      </c>
      <c r="D24" s="107" t="s">
        <v>66</v>
      </c>
      <c r="V24" s="7"/>
      <c r="W24" s="7"/>
    </row>
    <row r="25" spans="1:124" ht="18">
      <c r="A25" s="129" t="s">
        <v>91</v>
      </c>
      <c r="C25" s="107" t="s">
        <v>66</v>
      </c>
      <c r="D25" s="107" t="s">
        <v>66</v>
      </c>
      <c r="V25" s="7"/>
      <c r="W25" s="7"/>
    </row>
    <row r="26" spans="1:124" ht="18">
      <c r="A26" s="129" t="s">
        <v>62</v>
      </c>
      <c r="C26" s="107" t="s">
        <v>66</v>
      </c>
      <c r="D26" s="107" t="s">
        <v>66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19</v>
      </c>
      <c r="D27" s="103">
        <f t="shared" ref="D27" si="2">COUNTIF(D6:D26,"sim")</f>
        <v>20</v>
      </c>
      <c r="K27" s="16">
        <f t="shared" ref="K27:AP27" si="3">COUNTIF(K6:K26,"sim")</f>
        <v>0</v>
      </c>
      <c r="L27" s="16">
        <f t="shared" si="3"/>
        <v>0</v>
      </c>
      <c r="M27" s="16">
        <f t="shared" si="3"/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ref="AQ27:BV27" si="4">COUNTIF(AQ6:AQ26,"sim")</f>
        <v>0</v>
      </c>
      <c r="AR27" s="16">
        <f t="shared" si="4"/>
        <v>0</v>
      </c>
      <c r="AS27" s="16">
        <f t="shared" si="4"/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ref="BW27:DB27" si="5">COUNTIF(BW6:BW26,"sim")</f>
        <v>0</v>
      </c>
      <c r="BX27" s="16">
        <f t="shared" si="5"/>
        <v>0</v>
      </c>
      <c r="BY27" s="16">
        <f t="shared" si="5"/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ref="DC27:DT27" si="6">COUNTIF(DC6:DC26,"sim")</f>
        <v>0</v>
      </c>
      <c r="DD27" s="16">
        <f t="shared" si="6"/>
        <v>0</v>
      </c>
      <c r="DE27" s="16">
        <f t="shared" si="6"/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</row>
    <row r="28" spans="1:124" s="18" customFormat="1" ht="15.75">
      <c r="A28" s="17" t="s">
        <v>19</v>
      </c>
      <c r="B28" s="18">
        <f t="shared" ref="B28" si="7">COUNTIF(B6:B26,"não")</f>
        <v>0</v>
      </c>
      <c r="C28" s="104">
        <f t="shared" ref="C28" si="8">COUNTIF(C6:C26,"não")</f>
        <v>0</v>
      </c>
      <c r="D28" s="104">
        <f t="shared" ref="D28" si="9">COUNTIF(D6:D26,"não")</f>
        <v>0</v>
      </c>
      <c r="K28" s="18">
        <f t="shared" ref="K28:AP28" si="10">COUNTIF(K6:K27,"não")</f>
        <v>0</v>
      </c>
      <c r="L28" s="18">
        <f t="shared" si="10"/>
        <v>0</v>
      </c>
      <c r="M28" s="18">
        <f t="shared" si="10"/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ref="AQ28:BV28" si="11">COUNTIF(AQ6:AQ27,"não")</f>
        <v>0</v>
      </c>
      <c r="AR28" s="18">
        <f t="shared" si="11"/>
        <v>0</v>
      </c>
      <c r="AS28" s="18">
        <f t="shared" si="11"/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ref="BW28:DB28" si="12">COUNTIF(BW6:BW27,"não")</f>
        <v>0</v>
      </c>
      <c r="BX28" s="18">
        <f t="shared" si="12"/>
        <v>0</v>
      </c>
      <c r="BY28" s="18">
        <f t="shared" si="12"/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ref="DC28:DT28" si="13">COUNTIF(DC6:DC27,"não")</f>
        <v>0</v>
      </c>
      <c r="DD28" s="18">
        <f t="shared" si="13"/>
        <v>0</v>
      </c>
      <c r="DE28" s="18">
        <f t="shared" si="13"/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</row>
    <row r="29" spans="1:124" ht="15.75">
      <c r="A29" s="14" t="s">
        <v>11</v>
      </c>
      <c r="B29">
        <f t="shared" ref="B29" si="14">COUNTIF(B6:B26,"ausente")</f>
        <v>0</v>
      </c>
      <c r="C29" s="40">
        <f t="shared" ref="C29" si="15">COUNTIF(C6:C26,"ausente")</f>
        <v>2</v>
      </c>
      <c r="D29" s="40">
        <f t="shared" ref="D29" si="16">COUNTIF(D6:D26,"ausente")</f>
        <v>1</v>
      </c>
      <c r="K29">
        <f t="shared" ref="K29:AP29" si="17">COUNTIF(K6:K28,"ausente")</f>
        <v>0</v>
      </c>
      <c r="L29">
        <f t="shared" si="17"/>
        <v>0</v>
      </c>
      <c r="M29">
        <f t="shared" si="17"/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ref="AQ29:BV29" si="18">COUNTIF(AQ6:AQ28,"ausente")</f>
        <v>0</v>
      </c>
      <c r="AR29">
        <f t="shared" si="18"/>
        <v>0</v>
      </c>
      <c r="AS29">
        <f t="shared" si="18"/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ref="BW29:DB29" si="19">COUNTIF(BW6:BW28,"ausente")</f>
        <v>0</v>
      </c>
      <c r="BX29">
        <f t="shared" si="19"/>
        <v>0</v>
      </c>
      <c r="BY29">
        <f t="shared" si="19"/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ref="DC29:DT29" si="20">COUNTIF(DC6:DC28,"ausente")</f>
        <v>0</v>
      </c>
      <c r="DD29">
        <f t="shared" si="20"/>
        <v>0</v>
      </c>
      <c r="DE29">
        <f t="shared" si="20"/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</row>
    <row r="30" spans="1:124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" si="22">COUNTIF(C6:C26,"abstenção")</f>
        <v>0</v>
      </c>
      <c r="D30" s="105">
        <f t="shared" ref="D30" si="23">COUNTIF(D6:D26,"abstenção")</f>
        <v>0</v>
      </c>
      <c r="K30" s="20">
        <f t="shared" ref="K30:AP30" si="24">COUNTIF(K10:K29,"abstenção")</f>
        <v>0</v>
      </c>
      <c r="L30" s="20">
        <f t="shared" si="24"/>
        <v>0</v>
      </c>
      <c r="M30" s="20">
        <f t="shared" si="24"/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ref="AQ30:BI30" si="25">COUNTIF(AQ10:AQ29,"abstenção")</f>
        <v>0</v>
      </c>
      <c r="AR30" s="20">
        <f t="shared" si="25"/>
        <v>0</v>
      </c>
      <c r="AS30" s="20">
        <f t="shared" si="25"/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ref="BJ30:DT30" si="26">COUNTIF(BJ10:BJ29,"abstenção")</f>
        <v>0</v>
      </c>
      <c r="BK30" s="20">
        <f t="shared" si="26"/>
        <v>0</v>
      </c>
      <c r="BL30" s="20">
        <f t="shared" si="26"/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4" sqref="C4: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105</v>
      </c>
      <c r="B2" s="2"/>
    </row>
    <row r="3" spans="1:3" ht="15.75" thickBot="1">
      <c r="A3" s="121" t="s">
        <v>106</v>
      </c>
      <c r="B3" s="2"/>
    </row>
    <row r="4" spans="1:3" ht="78.75" customHeight="1" thickBot="1">
      <c r="A4" s="120" t="s">
        <v>5</v>
      </c>
      <c r="B4" s="111" t="s">
        <v>21</v>
      </c>
      <c r="C4" s="139"/>
    </row>
    <row r="5" spans="1:3" s="6" customFormat="1" ht="60.75" customHeight="1">
      <c r="A5" s="122"/>
      <c r="B5" s="111"/>
      <c r="C5" s="144"/>
    </row>
    <row r="6" spans="1:3" ht="15.75">
      <c r="A6" s="127" t="s">
        <v>51</v>
      </c>
      <c r="C6" s="107"/>
    </row>
    <row r="7" spans="1:3" ht="15.75">
      <c r="A7" s="127" t="s">
        <v>68</v>
      </c>
      <c r="C7" s="107"/>
    </row>
    <row r="8" spans="1:3" ht="15.75">
      <c r="A8" s="127" t="s">
        <v>54</v>
      </c>
      <c r="C8" s="107"/>
    </row>
    <row r="9" spans="1:3" ht="15.75">
      <c r="A9" s="128" t="s">
        <v>55</v>
      </c>
      <c r="C9" s="107"/>
    </row>
    <row r="10" spans="1:3" ht="15.75">
      <c r="A10" s="127" t="s">
        <v>28</v>
      </c>
      <c r="C10" s="107"/>
    </row>
    <row r="11" spans="1:3" ht="15.75">
      <c r="A11" s="127" t="s">
        <v>56</v>
      </c>
      <c r="C11" s="114"/>
    </row>
    <row r="12" spans="1:3" ht="15.75">
      <c r="A12" s="127" t="s">
        <v>22</v>
      </c>
      <c r="C12" s="107"/>
    </row>
    <row r="13" spans="1:3" ht="15.75">
      <c r="A13" s="127" t="s">
        <v>23</v>
      </c>
      <c r="B13" s="138"/>
      <c r="C13" s="114"/>
    </row>
    <row r="14" spans="1:3" ht="15.75">
      <c r="A14" s="127" t="s">
        <v>24</v>
      </c>
      <c r="C14" s="107"/>
    </row>
    <row r="15" spans="1:3" ht="15.75">
      <c r="A15" s="127" t="s">
        <v>57</v>
      </c>
      <c r="C15" s="107"/>
    </row>
    <row r="16" spans="1:3" ht="15.75">
      <c r="A16" s="127" t="s">
        <v>58</v>
      </c>
      <c r="C16" s="107"/>
    </row>
    <row r="17" spans="1:3" ht="15.75">
      <c r="A17" s="127" t="s">
        <v>59</v>
      </c>
      <c r="C17" s="114"/>
    </row>
    <row r="18" spans="1:3" ht="15.75">
      <c r="A18" s="127" t="s">
        <v>25</v>
      </c>
      <c r="C18" s="107"/>
    </row>
    <row r="19" spans="1:3" ht="15.75">
      <c r="A19" s="127" t="s">
        <v>60</v>
      </c>
      <c r="C19" s="107"/>
    </row>
    <row r="20" spans="1:3" ht="15.75">
      <c r="A20" s="127" t="s">
        <v>96</v>
      </c>
      <c r="C20" s="107"/>
    </row>
    <row r="21" spans="1:3" ht="15.75">
      <c r="A21" s="127" t="s">
        <v>26</v>
      </c>
      <c r="C21" s="114"/>
    </row>
    <row r="22" spans="1:3" ht="15.75">
      <c r="A22" s="127" t="s">
        <v>61</v>
      </c>
      <c r="C22" s="107"/>
    </row>
    <row r="23" spans="1:3" ht="15.75">
      <c r="A23" s="127" t="s">
        <v>69</v>
      </c>
      <c r="C23" s="107"/>
    </row>
    <row r="24" spans="1:3" ht="15.75">
      <c r="A24" s="127" t="s">
        <v>49</v>
      </c>
      <c r="C24" s="114"/>
    </row>
    <row r="25" spans="1:3" ht="15.75">
      <c r="A25" s="127" t="s">
        <v>91</v>
      </c>
      <c r="C25" s="107"/>
    </row>
    <row r="26" spans="1:3" ht="15.75">
      <c r="A26" s="127" t="s">
        <v>62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1" t="s">
        <v>106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92</v>
      </c>
      <c r="G4" s="143" t="s">
        <v>93</v>
      </c>
      <c r="H4" s="143" t="s">
        <v>94</v>
      </c>
      <c r="I4" s="143" t="s">
        <v>95</v>
      </c>
      <c r="J4" s="143" t="s">
        <v>98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68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96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69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91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F17" sqref="F17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71</v>
      </c>
      <c r="E4" s="106" t="s">
        <v>72</v>
      </c>
      <c r="F4" s="106" t="s">
        <v>73</v>
      </c>
      <c r="G4" s="106" t="s">
        <v>74</v>
      </c>
      <c r="H4" s="106" t="s">
        <v>75</v>
      </c>
      <c r="I4" s="106" t="s">
        <v>76</v>
      </c>
      <c r="J4" s="106" t="s">
        <v>77</v>
      </c>
      <c r="K4" s="106" t="s">
        <v>78</v>
      </c>
      <c r="L4" s="106" t="s">
        <v>79</v>
      </c>
      <c r="M4" s="106" t="s">
        <v>80</v>
      </c>
      <c r="N4" s="106" t="s">
        <v>81</v>
      </c>
      <c r="O4" s="106" t="s">
        <v>82</v>
      </c>
      <c r="P4" s="106" t="s">
        <v>83</v>
      </c>
      <c r="Q4" s="106" t="s">
        <v>84</v>
      </c>
      <c r="R4" s="106" t="s">
        <v>85</v>
      </c>
      <c r="S4" s="106" t="s">
        <v>86</v>
      </c>
      <c r="T4" s="106" t="s">
        <v>87</v>
      </c>
      <c r="U4" s="106" t="s">
        <v>88</v>
      </c>
      <c r="V4" s="106" t="s">
        <v>89</v>
      </c>
      <c r="W4" s="106" t="s">
        <v>90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96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91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2026-01-07T15:12:18Z</dcterms:modified>
</cp:coreProperties>
</file>