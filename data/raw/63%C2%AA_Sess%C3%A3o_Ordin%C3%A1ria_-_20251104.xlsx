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90454A5-E0E6-4780-9BA8-A6B454CD4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C28" i="3"/>
  <c r="D28" i="3"/>
  <c r="E28" i="3"/>
  <c r="C29" i="3"/>
  <c r="D29" i="3"/>
  <c r="E29" i="3"/>
  <c r="C30" i="3"/>
  <c r="D30" i="3"/>
  <c r="E30" i="3"/>
  <c r="D28" i="10"/>
  <c r="D29" i="10"/>
  <c r="D30" i="10"/>
  <c r="D31" i="10"/>
  <c r="E27" i="2"/>
  <c r="E28" i="2"/>
  <c r="E29" i="2"/>
  <c r="E30" i="2"/>
  <c r="F27" i="3"/>
  <c r="F28" i="3"/>
  <c r="F29" i="3"/>
  <c r="F30" i="3"/>
  <c r="A4" i="14" l="1"/>
  <c r="C28" i="10"/>
  <c r="C29" i="10"/>
  <c r="C30" i="10"/>
  <c r="C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H28" i="11" l="1"/>
  <c r="H29" i="11"/>
  <c r="H30" i="11"/>
  <c r="H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V27" i="3" l="1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<sst xmlns="http://schemas.openxmlformats.org/spreadsheetml/2006/main" count="462" uniqueCount="130">
  <si>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</si>
  <si>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</si>
  <si>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</si>
  <si>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</si>
  <si>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</si>
  <si>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</si>
  <si>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</si>
  <si>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</si>
  <si>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</si>
  <si>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</si>
  <si>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</si>
  <si>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</si>
  <si>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</si>
  <si>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</si>
  <si>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</si>
  <si>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</si>
  <si>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</si>
  <si>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</si>
  <si>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</si>
  <si>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</si>
  <si>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</si>
  <si>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</si>
  <si>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</si>
  <si>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</si>
  <si>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</si>
  <si>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</si>
  <si>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</si>
  <si>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</si>
  <si>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</si>
  <si>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</si>
  <si>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</si>
  <si>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</si>
  <si>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</si>
  <si>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</si>
  <si>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</si>
  <si>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</si>
  <si>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</si>
  <si>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</si>
  <si>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</si>
  <si>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</si>
  <si>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</si>
  <si>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</si>
  <si>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</si>
  <si>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</si>
  <si>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</si>
  <si>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</si>
  <si>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</si>
  <si>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</si>
  <si>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</si>
  <si>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</si>
  <si>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</si>
  <si>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</si>
  <si>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</si>
  <si>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</si>
  <si>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</si>
  <si>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</si>
  <si>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</si>
  <si>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</si>
  <si>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</si>
  <si>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</si>
  <si>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</si>
  <si>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</si>
  <si>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</si>
  <si>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</si>
  <si>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</si>
  <si>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</si>
  <si>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</si>
  <si>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</si>
  <si>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</si>
  <si>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</si>
  <si>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</si>
  <si>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</si>
  <si>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</si>
  <si>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</si>
  <si>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</si>
  <si>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</si>
  <si>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</si>
  <si>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</si>
  <si>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</si>
  <si>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</si>
  <si>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</si>
  <si>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</si>
  <si>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</si>
  <si>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</si>
  <si>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</si>
  <si>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</si>
  <si>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</si>
  <si>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</si>
  <si>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</si>
  <si>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</si>
  <si>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</si>
  <si>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</si>
  <si>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</si>
  <si>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</si>
  <si>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pela ausência da autora, será pautada na próxima sessão.</t>
  </si>
  <si>
    <r>
      <t xml:space="preserve">MOÇÃO DE PESAR Nº 517/2025 – LÚCIA DA SAÚDE – </t>
    </r>
    <r>
      <rPr>
        <sz val="11"/>
        <color theme="1"/>
        <rFont val="Arial"/>
        <family val="2"/>
      </rPr>
      <t>Pelo falecimento do Dr. Fernando Geraldo Batista em 22 de outubro.</t>
    </r>
  </si>
  <si>
    <r>
      <t xml:space="preserve">MOÇÃO DE APLAUSOS Nº 523/2025 – DÉLBIO TERUEL – </t>
    </r>
    <r>
      <rPr>
        <sz val="11"/>
        <color theme="1"/>
        <rFont val="Arial"/>
        <family val="2"/>
      </rPr>
      <t>Ao Deputado Estadual Rogério Santos e a Frente Parlamentar em Prol da Vida e da Família da ALESP pela realização da Semana de Formação e Capacitação em Políticas Públicas Familiares.</t>
    </r>
  </si>
  <si>
    <r>
      <t xml:space="preserve">MOÇÃO DE APLAUSOS Nº 524/2025 – ELSA OLIVEIRA - </t>
    </r>
    <r>
      <rPr>
        <sz val="11"/>
        <color theme="1"/>
        <rFont val="Arial"/>
        <family val="2"/>
      </rPr>
      <t>Às Gerentes dos Centros de Referência de Assistência Social (CRAS), pelo trabalho essencial que realizam na promoção da justiça social e no fortalecimento das políticas públicas de assistência social.</t>
    </r>
  </si>
  <si>
    <r>
      <t>PROJETO DE DECRETO LEGISLATIVO Nº 56/2024 – JOSIAS DA JUCO -</t>
    </r>
    <r>
      <rPr>
        <sz val="11"/>
        <color theme="1"/>
        <rFont val="Arial"/>
        <family val="2"/>
      </rPr>
      <t xml:space="preserve"> Dispõe sobre a concessão de Cartão de Prata ao Sr. Luciano da Silva Bastos.</t>
    </r>
  </si>
  <si>
    <t>63ª SESSÃO ORDINÁRIA</t>
  </si>
  <si>
    <t>DIA 4 DE NOVEMBRO DE 2025 - TERÇA-FEIRA</t>
  </si>
  <si>
    <r>
      <t>MOÇÃO DE AGRADECIMENTO Nº 513/2025 – LÚCIA DA SAÚDE –</t>
    </r>
    <r>
      <rPr>
        <sz val="11"/>
        <color theme="1"/>
        <rFont val="Arial"/>
        <family val="2"/>
      </rPr>
      <t xml:space="preserve"> Ao vereador Josias da Juco, extensiva à sua dedicada equipe, pela solidariedade e humanidade demonstrados no momento difícil da sua vida: a perda precoce e irreparável do seu neto Asafe.</t>
    </r>
  </si>
  <si>
    <r>
      <t xml:space="preserve">MOÇÃO DE REPÚDIO Nº 518/2025 – LÚCIA DA SAÚDE – </t>
    </r>
    <r>
      <rPr>
        <sz val="11"/>
        <color theme="1"/>
        <rFont val="Arial"/>
        <family val="2"/>
      </rPr>
      <t>Pela conduta negligente de profissionais no caso do recém-nascido dado como morto e posteriormente encontrado com vida, em Rio Branco no Estado do Acre.</t>
    </r>
  </si>
  <si>
    <r>
      <t xml:space="preserve">MOÇÃO DE APLAUSOS Nº 520/2025 – JOSIAS DA JUCO – </t>
    </r>
    <r>
      <rPr>
        <sz val="11"/>
        <color theme="1"/>
        <rFont val="Arial"/>
        <family val="2"/>
      </rPr>
      <t>Ao Senhor Marcelo da Silva pelo excelente trabalho na condução da Secretaria de Educação.</t>
    </r>
  </si>
  <si>
    <r>
      <t>MOÇÃO DE APLAUSO Nº 531/2025 – ALEXANDRE CAPRIOTTI –</t>
    </r>
    <r>
      <rPr>
        <sz val="11"/>
        <color theme="1"/>
        <rFont val="Arial"/>
        <family val="2"/>
      </rPr>
      <t xml:space="preserve"> Ao atleta Caique Augusto Carvalho Santos, por sua trajetória na natação.</t>
    </r>
  </si>
  <si>
    <r>
      <t xml:space="preserve">MOÇÃO DE APLAUSO Nº 532/2025 – BATISTA COMUNIDADE – </t>
    </r>
    <r>
      <rPr>
        <sz val="11"/>
        <color theme="1"/>
        <rFont val="Arial"/>
        <family val="2"/>
      </rPr>
      <t>Ao Dr. Marcos Vinícius da Silva Konesuk Barboza médico atuante na Unidade Básica de Saúde da Vila Menck, por seu compromisso, dedicação e atuação exemplar em favor da saúde e do bem-estar da comunidade.</t>
    </r>
  </si>
  <si>
    <r>
      <t xml:space="preserve">MOÇÃO DE APLAUSO Nº 533/2025 – BATISTA COMUNIDADE – </t>
    </r>
    <r>
      <rPr>
        <sz val="11"/>
        <color theme="1"/>
        <rFont val="Arial"/>
        <family val="2"/>
      </rPr>
      <t>Ao Sr. Diney Castilho por seu notável trabalho social, político e comunitário em prol da população.</t>
    </r>
  </si>
  <si>
    <r>
      <t xml:space="preserve">MOÇÃO DE PESAR Nº 535/2025 – DÉLBIO TERUEL – </t>
    </r>
    <r>
      <rPr>
        <sz val="11"/>
        <color theme="1"/>
        <rFont val="Arial"/>
        <family val="2"/>
      </rPr>
      <t>Pelo falecimento dos policiais Rodrigo Velloso Cabral, Marcus Vinícius Cardoso de Carvalho, PM Heber Carvalho da Fonseca e PM Cleiton Serafim Gonçalves ocorrido durante o cumprimento do dever, na Operação Contenção, no Rio de Janeiro.</t>
    </r>
  </si>
  <si>
    <r>
      <t>MOÇÃO DE APLAUSO Nº 536/2025 – GABRIEL SAÚDE –</t>
    </r>
    <r>
      <rPr>
        <sz val="11"/>
        <color theme="1"/>
        <rFont val="Arial"/>
        <family val="2"/>
      </rPr>
      <t xml:space="preserve"> Ao senhor Michael Luiz dos Santos Carvalho em reconhecimento à sua trajetória de esforço, superação e dedicação ao trabalho, que simboliza o verdadeiro espírito empreendedor e solidário do povo osasquense.</t>
    </r>
  </si>
  <si>
    <r>
      <t xml:space="preserve">MOÇÃO DE APLAUSOS Nº 537/2025 – DÉLBIO TERUEL – </t>
    </r>
    <r>
      <rPr>
        <sz val="11"/>
        <color theme="1"/>
        <rFont val="Arial"/>
        <family val="2"/>
      </rPr>
      <t>Ao 14º Batalhão de Polícia Militar Metropolitano – Osasco/SP, sob o comando do Tenente Coronel Edson Garnica Mota, pela comemoração de seus 133 anos de fundação.</t>
    </r>
  </si>
  <si>
    <r>
      <t>PROJETO DE LEI Nº 55/2025 - STEPHANE ROSSI –</t>
    </r>
    <r>
      <rPr>
        <sz val="11"/>
        <color theme="1"/>
        <rFont val="Arial"/>
        <family val="2"/>
      </rPr>
      <t xml:space="preserve"> Institui o mês Maio Laranja. 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</si>
  <si>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</si>
  <si>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r>
      <t xml:space="preserve">APROVADA
</t>
    </r>
    <r>
      <rPr>
        <b/>
        <sz val="14"/>
        <color rgb="FF00B050"/>
        <rFont val="Arial"/>
        <family val="2"/>
      </rPr>
      <t>VOTAÇÃO SIMBÓLICA</t>
    </r>
  </si>
  <si>
    <t>EMENDA 1/2025 DA VEREADORA STEPHANE ROSSI AO PROJETO DE LEI Nº 55/2025.</t>
  </si>
  <si>
    <r>
      <t xml:space="preserve">PROJETO DE LEI Nº 80/2024 - BATISTA COMUNIDADE – </t>
    </r>
    <r>
      <rPr>
        <sz val="11"/>
        <color theme="1"/>
        <rFont val="Arial"/>
        <family val="2"/>
      </rPr>
      <t xml:space="preserve">Institui no Calendário Oficial do Município de Osasco o Dia da Moda. </t>
    </r>
  </si>
  <si>
    <t>EMENDA 1/2025 DO VEREADOR BATISTA COMUNIDADE AOPROJETO DE LEI Nº 80/2024.</t>
  </si>
  <si>
    <r>
      <t xml:space="preserve">PROJETO DE DECRETO LEGISLATIVO Nº 54/2025 – ALEXANDRE CAPRIOTTI - </t>
    </r>
    <r>
      <rPr>
        <sz val="11"/>
        <color theme="1"/>
        <rFont val="Arial"/>
        <family val="2"/>
      </rPr>
      <t>Dispõe sobre a concessão de Cartão de Prata ao Senhor Bruno Marcello de Oliveira Lima.</t>
    </r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</si>
  <si>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</si>
  <si>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</si>
  <si>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</si>
  <si>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Decreto nº 14.875, de 24 de outubro de 2025 - Prefeito do Município de Osasco – Dispõe sobre abertura de crédito adicional especial ao orçamento vigente 
e dá outras providências.</t>
  </si>
  <si>
    <t>Decretos nº 14.876, 14.877 e 14878 14, de 24 de outubro de 2025 - Prefeito do Município de Osasco – Dispõe sobre abertura de crédito adicional suplementar 
ao orçamento vigente e dá outras providências.</t>
  </si>
  <si>
    <t>Decreto nº 14.874, de 24 de outubro de 2025 - Prefeito do Município de Osasco – Dispõe sobre abertura de crédito adicional suplementar ao orçamento 
vigente e dá outras providências.</t>
  </si>
  <si>
    <t>Decreto nº 14.873, de 24 de outubro de 2025 - Prefeito do Município de Osasco - Dispõe sobre a revogação da permissão de uso de área pública à 
Cooperativa de Trabalho dos Catadores da Coleta Seletiva, Triagem, Comercialização 
de Materiais Recicláveis e Prestação de Serviços – CooperAREIS.</t>
  </si>
  <si>
    <t>Decreto nº 14.872, de 23 de outubro de 2025 - Prefeito do Município de Osasco - Dispõe sobre o procedimento para habilitação e credenciamento de 
entidades privadas, sem fins lucrativos, para desenvolvimento de projetos 
habitacionais.</t>
  </si>
  <si>
    <t>Decreto nº 14.871, de 23 de outubro de 2025 - Prefeito do Município de Osasco – Dispõe sobre abertura de crédito adicional suplementar ao orçamento 
vigente e dá outras providências.</t>
  </si>
  <si>
    <t>Decreto nº 14.879, de 24 de agosto de 2025 - Prefeito do Município de Osasco – Dispõe sobre Permissão de Uso de área de terreno pelo Circolo Italiano di 
Osasco</t>
  </si>
  <si>
    <t>Decreto nº 14.880, de 24 de outubro de 2025 - Prefeito do Município de Osasco - Dispõe sobre os procedimentos e prazos para a operacionalização de ações 
governamentais com recursos oriundos de emendas parlamentares municipais 
impositivas.</t>
  </si>
  <si>
    <t>Decreto nº 14.881, de 29 de outubro de 2025 - Prefeito do Município de Osasco - Dispõe sobre abertura de crédito adicional especial ao orçamento vigente 
e dá outras providências.</t>
  </si>
  <si>
    <t>Decreto nº 14.882, de 29 de outubro de 2025 - Prefeito do Município de Osasco - Estabelece a tarifa gratuita para a utilização dos veículos que operam no 
Sistema de Transporte Coletivo Urbano de Passageiros na Cidade de Osasco no 
Exame Nacional do Ensino Médio Enem.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</si>
</sst>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5" fillId="0" borderId="1" xfId="0" applyFont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topLeftCell="A3" zoomScale="70" zoomScaleNormal="70" workbookViewId="0">
      <selection activeCell="A43" sqref="A4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3" t="s">
        <v>29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0"/>
      <c r="O1" s="70"/>
      <c r="P1" s="70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3" t="s">
        <v>99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0"/>
      <c r="O2" s="70"/>
      <c r="P2" s="70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3" t="s">
        <v>100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0"/>
      <c r="O3" s="70"/>
      <c r="P3" s="70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7"/>
      <c r="U4" s="147"/>
      <c r="V4" s="147"/>
      <c r="W4" s="147"/>
      <c r="X4" s="147"/>
      <c r="Y4" s="147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7"/>
      <c r="U5" s="147"/>
      <c r="V5" s="147"/>
      <c r="W5" s="147"/>
      <c r="X5" s="147"/>
      <c r="Y5" s="147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7"/>
      <c r="U6" s="147"/>
      <c r="V6" s="147"/>
      <c r="W6" s="147"/>
      <c r="X6" s="147"/>
      <c r="Y6" s="147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7"/>
      <c r="U7" s="147"/>
      <c r="V7" s="147"/>
      <c r="W7" s="147"/>
      <c r="X7" s="147"/>
      <c r="Y7" s="147"/>
    </row>
    <row r="8" spans="1:28" ht="18" customHeight="1">
      <c r="A8" s="82" t="s">
        <v>55</v>
      </c>
      <c r="B8" s="88">
        <v>2</v>
      </c>
      <c r="C8" s="102" t="s">
        <v>53</v>
      </c>
      <c r="D8" s="63"/>
      <c r="E8" s="62"/>
      <c r="F8" s="88">
        <v>2</v>
      </c>
      <c r="G8" s="102" t="s">
        <v>53</v>
      </c>
      <c r="H8" s="63"/>
      <c r="I8" s="62"/>
      <c r="J8" s="63">
        <v>2</v>
      </c>
      <c r="K8" s="102" t="s">
        <v>53</v>
      </c>
      <c r="L8" s="67"/>
      <c r="M8" s="65"/>
      <c r="N8" s="63"/>
      <c r="O8" s="62"/>
      <c r="P8" s="63"/>
      <c r="Q8" s="63"/>
      <c r="R8" s="62"/>
      <c r="S8" s="89"/>
      <c r="T8" s="147"/>
      <c r="U8" s="147"/>
      <c r="V8" s="147"/>
      <c r="W8" s="147"/>
      <c r="X8" s="147"/>
      <c r="Y8" s="147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7"/>
      <c r="U9" s="147"/>
      <c r="V9" s="147"/>
      <c r="W9" s="147"/>
      <c r="X9" s="147"/>
      <c r="Y9" s="147"/>
    </row>
    <row r="10" spans="1:28" ht="18" customHeight="1">
      <c r="A10" s="46" t="s">
        <v>56</v>
      </c>
      <c r="B10" s="88">
        <v>1</v>
      </c>
      <c r="C10" s="62" t="s">
        <v>52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7"/>
      <c r="U10" s="147"/>
      <c r="V10" s="147"/>
      <c r="W10" s="147"/>
      <c r="X10" s="147"/>
      <c r="Y10" s="147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7"/>
      <c r="U11" s="147"/>
      <c r="V11" s="147"/>
      <c r="W11" s="147"/>
      <c r="X11" s="147"/>
      <c r="Y11" s="147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7"/>
      <c r="U13" s="147"/>
      <c r="V13" s="147"/>
      <c r="W13" s="147"/>
      <c r="X13" s="147"/>
      <c r="Y13" s="147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7"/>
      <c r="U14" s="147"/>
      <c r="V14" s="147"/>
      <c r="W14" s="147"/>
      <c r="X14" s="147"/>
      <c r="Y14" s="147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7"/>
      <c r="U15" s="147"/>
      <c r="V15" s="147"/>
      <c r="W15" s="147"/>
      <c r="X15" s="147"/>
      <c r="Y15" s="147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7"/>
      <c r="U16" s="147"/>
      <c r="V16" s="147"/>
      <c r="W16" s="147"/>
      <c r="X16" s="147"/>
      <c r="Y16" s="147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7"/>
      <c r="U17" s="147"/>
      <c r="V17" s="147"/>
      <c r="W17" s="147"/>
      <c r="X17" s="147"/>
      <c r="Y17" s="147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7"/>
      <c r="U18" s="147"/>
      <c r="V18" s="147"/>
      <c r="W18" s="147"/>
      <c r="X18" s="147"/>
      <c r="Y18" s="147"/>
    </row>
    <row r="19" spans="1:28" ht="18" customHeight="1">
      <c r="A19" s="46" t="s">
        <v>69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7"/>
      <c r="U19" s="147"/>
      <c r="V19" s="147"/>
      <c r="W19" s="147"/>
      <c r="X19" s="147"/>
      <c r="Y19" s="147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7"/>
      <c r="U20" s="147"/>
      <c r="V20" s="147"/>
      <c r="W20" s="147"/>
      <c r="X20" s="147"/>
      <c r="Y20" s="147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7"/>
      <c r="U21" s="147"/>
      <c r="V21" s="147"/>
      <c r="W21" s="147"/>
      <c r="X21" s="147"/>
      <c r="Y21" s="147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7"/>
      <c r="U22" s="147"/>
      <c r="V22" s="147"/>
      <c r="W22" s="147"/>
      <c r="X22" s="147"/>
      <c r="Y22" s="147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7"/>
      <c r="U23" s="147"/>
      <c r="V23" s="147"/>
      <c r="W23" s="147"/>
      <c r="X23" s="147"/>
      <c r="Y23" s="147"/>
    </row>
    <row r="24" spans="1:28" ht="20.25">
      <c r="A24" s="46" t="s">
        <v>93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47"/>
      <c r="U24" s="147"/>
      <c r="V24" s="147"/>
      <c r="W24" s="147"/>
      <c r="X24" s="147"/>
      <c r="Y24" s="147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7"/>
      <c r="U25" s="147"/>
      <c r="V25" s="147"/>
      <c r="W25" s="147"/>
      <c r="X25" s="147"/>
      <c r="Y25" s="147"/>
    </row>
    <row r="26" spans="1:28" ht="16.5" thickBot="1">
      <c r="A26" s="38" t="s">
        <v>13</v>
      </c>
      <c r="B26" s="98">
        <v>12</v>
      </c>
      <c r="C26" s="96" t="s">
        <v>46</v>
      </c>
      <c r="D26" s="98"/>
      <c r="E26" s="96" t="s">
        <v>46</v>
      </c>
      <c r="F26" s="98">
        <v>14</v>
      </c>
      <c r="G26" s="96" t="s">
        <v>46</v>
      </c>
      <c r="H26" s="100"/>
      <c r="I26" s="101"/>
      <c r="J26" s="98">
        <v>15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47</v>
      </c>
      <c r="D27" s="98"/>
      <c r="E27" s="96" t="s">
        <v>47</v>
      </c>
      <c r="F27" s="98">
        <v>7</v>
      </c>
      <c r="G27" s="96" t="s">
        <v>47</v>
      </c>
      <c r="H27" s="100"/>
      <c r="I27" s="96"/>
      <c r="J27" s="98">
        <v>6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61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68</v>
      </c>
      <c r="V42" s="12"/>
      <c r="W42" s="12"/>
    </row>
    <row r="43" spans="1:23" ht="18">
      <c r="A43" s="34" t="s">
        <v>24</v>
      </c>
      <c r="V43" s="12"/>
      <c r="W43" s="12"/>
    </row>
    <row r="44" spans="1:23" ht="18">
      <c r="A44" s="34" t="s">
        <v>93</v>
      </c>
      <c r="V44" s="12"/>
      <c r="W44" s="12"/>
    </row>
    <row r="45" spans="1:23" ht="18">
      <c r="A45" s="34" t="s">
        <v>23</v>
      </c>
      <c r="V45" s="12"/>
      <c r="W45" s="12"/>
    </row>
    <row r="46" spans="1:23" ht="18">
      <c r="A46" s="34" t="s">
        <v>26</v>
      </c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23</v>
      </c>
    </row>
    <row r="53" spans="1:23" ht="18">
      <c r="A53" s="34" t="s">
        <v>25</v>
      </c>
    </row>
    <row r="54" spans="1:23" ht="18">
      <c r="A54" s="34" t="s">
        <v>69</v>
      </c>
    </row>
    <row r="55" spans="1:23" ht="18">
      <c r="A55" s="34" t="s">
        <v>93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A39"/>
  <sheetViews>
    <sheetView workbookViewId="0">
      <pane xSplit="1" topLeftCell="B1" activePane="topRight" state="frozen"/>
      <selection pane="topRight" activeCell="M11" sqref="M11"/>
    </sheetView>
  </sheetViews>
  <sheetFormatPr defaultColWidth="9.140625" defaultRowHeight="12.75"/>
  <cols>
    <col min="1" max="1" width="47.7109375" style="22" customWidth="1"/>
    <col min="2" max="12" width="23.7109375" style="22" customWidth="1"/>
    <col min="13" max="13" width="19" style="22" customWidth="1"/>
    <col min="14" max="14" width="26.28515625" style="22" customWidth="1"/>
    <col min="15" max="15" width="22.140625" style="22" customWidth="1"/>
    <col min="16" max="27" width="22.7109375" style="22" customWidth="1"/>
    <col min="28" max="16384" width="9.140625" style="22"/>
  </cols>
  <sheetData>
    <row r="1" spans="1:27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7" ht="15">
      <c r="A2" s="76" t="s">
        <v>99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7" ht="17.25" customHeight="1">
      <c r="A3" s="76" t="s">
        <v>100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27" ht="63" customHeight="1">
      <c r="A4" s="51" t="str">
        <f>'[1]MOÇÃO E REQUERIMENTO'!B7</f>
        <v>EXPEDIENTE</v>
      </c>
      <c r="B4" s="50" t="s">
        <v>45</v>
      </c>
      <c r="C4" s="117" t="s">
        <v>125</v>
      </c>
      <c r="D4" s="117" t="s">
        <v>124</v>
      </c>
      <c r="E4" s="117" t="s">
        <v>123</v>
      </c>
      <c r="F4" s="117" t="s">
        <v>122</v>
      </c>
      <c r="G4" s="117" t="s">
        <v>120</v>
      </c>
      <c r="H4" s="117" t="s">
        <v>121</v>
      </c>
      <c r="I4" s="117" t="s">
        <v>126</v>
      </c>
      <c r="J4" s="117" t="s">
        <v>127</v>
      </c>
      <c r="K4" s="117" t="s">
        <v>128</v>
      </c>
      <c r="L4" s="117" t="s">
        <v>129</v>
      </c>
      <c r="M4" s="112" t="s">
        <v>34</v>
      </c>
      <c r="N4" s="124"/>
      <c r="O4" s="50" t="s">
        <v>27</v>
      </c>
      <c r="P4" s="84" t="s">
        <v>101</v>
      </c>
      <c r="Q4" s="84" t="s">
        <v>95</v>
      </c>
      <c r="R4" s="84" t="s">
        <v>102</v>
      </c>
      <c r="S4" s="84" t="s">
        <v>103</v>
      </c>
      <c r="T4" s="84" t="s">
        <v>96</v>
      </c>
      <c r="U4" s="84" t="s">
        <v>97</v>
      </c>
      <c r="V4" s="84" t="s">
        <v>104</v>
      </c>
      <c r="W4" s="84" t="s">
        <v>105</v>
      </c>
      <c r="X4" s="84" t="s">
        <v>106</v>
      </c>
      <c r="Y4" s="84" t="s">
        <v>107</v>
      </c>
      <c r="Z4" s="84" t="s">
        <v>108</v>
      </c>
      <c r="AA4" s="84" t="s">
        <v>109</v>
      </c>
    </row>
    <row r="5" spans="1:27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13"/>
      <c r="P5" s="113" t="s">
        <v>65</v>
      </c>
      <c r="Q5" s="113" t="s">
        <v>65</v>
      </c>
      <c r="R5" s="113" t="s">
        <v>65</v>
      </c>
      <c r="S5" s="118" t="s">
        <v>72</v>
      </c>
      <c r="T5" s="118" t="s">
        <v>72</v>
      </c>
      <c r="U5" s="118" t="s">
        <v>94</v>
      </c>
      <c r="V5" s="118" t="s">
        <v>72</v>
      </c>
      <c r="W5" s="113" t="s">
        <v>65</v>
      </c>
      <c r="X5" s="118" t="s">
        <v>72</v>
      </c>
      <c r="Y5" s="113" t="s">
        <v>65</v>
      </c>
      <c r="Z5" s="113" t="s">
        <v>65</v>
      </c>
      <c r="AA5" s="113" t="s">
        <v>65</v>
      </c>
    </row>
    <row r="6" spans="1:27" ht="15.75">
      <c r="A6" s="127" t="s">
        <v>51</v>
      </c>
      <c r="O6" s="23"/>
    </row>
    <row r="7" spans="1:27" ht="15.75">
      <c r="A7" s="127" t="s">
        <v>68</v>
      </c>
      <c r="O7" s="23"/>
    </row>
    <row r="8" spans="1:27" ht="15.75">
      <c r="A8" s="127" t="s">
        <v>54</v>
      </c>
      <c r="O8" s="23"/>
    </row>
    <row r="9" spans="1:27" ht="15.75">
      <c r="A9" s="128" t="s">
        <v>55</v>
      </c>
      <c r="O9" s="23"/>
    </row>
    <row r="10" spans="1:27" ht="15.75">
      <c r="A10" s="127" t="s">
        <v>28</v>
      </c>
      <c r="O10" s="23"/>
    </row>
    <row r="11" spans="1:27" ht="15.75">
      <c r="A11" s="127" t="s">
        <v>56</v>
      </c>
      <c r="O11" s="23"/>
    </row>
    <row r="12" spans="1:27" ht="15.75">
      <c r="A12" s="127" t="s">
        <v>22</v>
      </c>
      <c r="O12" s="23"/>
    </row>
    <row r="13" spans="1:27" ht="15.75">
      <c r="A13" s="127" t="s">
        <v>23</v>
      </c>
      <c r="O13" s="23"/>
    </row>
    <row r="14" spans="1:27" ht="15.75">
      <c r="A14" s="127" t="s">
        <v>24</v>
      </c>
      <c r="O14" s="23"/>
    </row>
    <row r="15" spans="1:27" ht="15.75">
      <c r="A15" s="127" t="s">
        <v>57</v>
      </c>
      <c r="O15" s="23"/>
    </row>
    <row r="16" spans="1:27" ht="15.75">
      <c r="A16" s="127" t="s">
        <v>58</v>
      </c>
      <c r="O16" s="23"/>
    </row>
    <row r="17" spans="1:15" ht="15.75">
      <c r="A17" s="127" t="s">
        <v>59</v>
      </c>
      <c r="O17" s="23"/>
    </row>
    <row r="18" spans="1:15" ht="15.75">
      <c r="A18" s="127" t="s">
        <v>25</v>
      </c>
      <c r="O18" s="23"/>
    </row>
    <row r="19" spans="1:15" ht="15.75">
      <c r="A19" s="127" t="s">
        <v>60</v>
      </c>
      <c r="O19" s="23"/>
    </row>
    <row r="20" spans="1:15" ht="15.75">
      <c r="A20" s="127" t="s">
        <v>69</v>
      </c>
      <c r="O20" s="23"/>
    </row>
    <row r="21" spans="1:15" ht="15.75">
      <c r="A21" s="127" t="s">
        <v>26</v>
      </c>
      <c r="O21" s="23"/>
    </row>
    <row r="22" spans="1:15" ht="15.75">
      <c r="A22" s="127" t="s">
        <v>61</v>
      </c>
      <c r="O22" s="23"/>
    </row>
    <row r="23" spans="1:15" ht="15.75">
      <c r="A23" s="127" t="s">
        <v>70</v>
      </c>
      <c r="O23" s="23"/>
    </row>
    <row r="24" spans="1:15" ht="15.75">
      <c r="A24" s="127" t="s">
        <v>49</v>
      </c>
      <c r="O24" s="23"/>
    </row>
    <row r="25" spans="1:15" ht="15.75">
      <c r="A25" s="127" t="s">
        <v>93</v>
      </c>
      <c r="O25" s="23"/>
    </row>
    <row r="26" spans="1:15" ht="15.75">
      <c r="A26" s="127" t="s">
        <v>62</v>
      </c>
      <c r="O26" s="23"/>
    </row>
    <row r="27" spans="1:15" s="25" customFormat="1">
      <c r="A27" s="24" t="s">
        <v>18</v>
      </c>
    </row>
    <row r="28" spans="1:15" s="27" customFormat="1">
      <c r="A28" s="26" t="s">
        <v>19</v>
      </c>
    </row>
    <row r="29" spans="1:15">
      <c r="A29" s="28" t="s">
        <v>11</v>
      </c>
    </row>
    <row r="30" spans="1:15" s="30" customFormat="1">
      <c r="A30" s="29" t="s">
        <v>20</v>
      </c>
    </row>
    <row r="32" spans="1:15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15" sqref="G1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99</v>
      </c>
      <c r="B2" s="49"/>
      <c r="C2" s="74"/>
    </row>
    <row r="3" spans="1:45" ht="17.25" customHeight="1">
      <c r="A3" s="76" t="s">
        <v>100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13"/>
      <c r="D5" s="79"/>
      <c r="E5" s="142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14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14"/>
    </row>
    <row r="19" spans="1:130" ht="20.25">
      <c r="A19" s="46" t="s">
        <v>60</v>
      </c>
      <c r="C19" s="107"/>
      <c r="E19" s="107"/>
    </row>
    <row r="20" spans="1:130" ht="20.25">
      <c r="A20" s="46" t="s">
        <v>69</v>
      </c>
      <c r="C20" s="114"/>
      <c r="E20" s="107"/>
    </row>
    <row r="21" spans="1:130" ht="20.25">
      <c r="A21" s="46" t="s">
        <v>26</v>
      </c>
      <c r="C21" s="114"/>
      <c r="E21" s="114"/>
    </row>
    <row r="22" spans="1:130" ht="20.25">
      <c r="A22" s="46" t="s">
        <v>61</v>
      </c>
      <c r="C22" s="107"/>
      <c r="E22" s="107"/>
    </row>
    <row r="23" spans="1:130" ht="20.25">
      <c r="A23" s="46" t="s">
        <v>70</v>
      </c>
      <c r="C23" s="107"/>
      <c r="E23" s="114"/>
    </row>
    <row r="24" spans="1:130" ht="20.25">
      <c r="A24" s="46" t="s">
        <v>49</v>
      </c>
      <c r="C24" s="107"/>
      <c r="E24" s="107"/>
    </row>
    <row r="25" spans="1:130" ht="20.25">
      <c r="A25" s="46" t="s">
        <v>93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zoomScale="90" zoomScaleNormal="90" workbookViewId="0">
      <pane xSplit="1" topLeftCell="B1" activePane="topRight" state="frozen"/>
      <selection pane="topRight" activeCell="H4" sqref="H4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6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6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20" t="s">
        <v>5</v>
      </c>
      <c r="B4" s="119" t="s">
        <v>7</v>
      </c>
      <c r="C4" s="139" t="s">
        <v>110</v>
      </c>
      <c r="D4" s="139" t="s">
        <v>113</v>
      </c>
      <c r="E4" s="139" t="s">
        <v>114</v>
      </c>
      <c r="F4" s="139" t="s">
        <v>115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7" customFormat="1" ht="51.75" customHeight="1">
      <c r="B5" s="75"/>
      <c r="C5" s="142" t="s">
        <v>111</v>
      </c>
      <c r="D5" s="142" t="s">
        <v>112</v>
      </c>
      <c r="E5" s="142" t="s">
        <v>111</v>
      </c>
      <c r="F5" s="142" t="s">
        <v>112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AC5" s="75"/>
      <c r="AD5" s="75"/>
    </row>
    <row r="6" spans="1:32" ht="18">
      <c r="A6" s="129" t="s">
        <v>51</v>
      </c>
      <c r="C6" s="107"/>
      <c r="D6" s="107"/>
      <c r="E6" s="107"/>
      <c r="F6" s="107"/>
      <c r="X6" s="7"/>
      <c r="Y6" s="7"/>
    </row>
    <row r="7" spans="1:32" ht="18">
      <c r="A7" s="129" t="s">
        <v>68</v>
      </c>
      <c r="C7" s="107"/>
      <c r="D7" s="107"/>
      <c r="E7" s="107"/>
      <c r="F7" s="107"/>
      <c r="X7" s="7"/>
      <c r="Y7" s="7"/>
    </row>
    <row r="8" spans="1:32" ht="18">
      <c r="A8" s="129" t="s">
        <v>54</v>
      </c>
      <c r="C8" s="107"/>
      <c r="D8" s="107"/>
      <c r="E8" s="107"/>
      <c r="F8" s="107"/>
      <c r="X8" s="7"/>
      <c r="Y8" s="7"/>
    </row>
    <row r="9" spans="1:32" ht="18">
      <c r="A9" s="130" t="s">
        <v>55</v>
      </c>
      <c r="C9" s="114"/>
      <c r="D9" s="114"/>
      <c r="E9" s="114"/>
      <c r="F9" s="114"/>
      <c r="X9" s="7"/>
      <c r="Y9" s="7"/>
    </row>
    <row r="10" spans="1:32" ht="18">
      <c r="A10" s="129" t="s">
        <v>28</v>
      </c>
      <c r="C10" s="107"/>
      <c r="D10" s="107"/>
      <c r="E10" s="107"/>
      <c r="F10" s="107"/>
      <c r="X10" s="7"/>
      <c r="Y10" s="7"/>
    </row>
    <row r="11" spans="1:32" ht="18">
      <c r="A11" s="129" t="s">
        <v>56</v>
      </c>
      <c r="C11" s="107"/>
      <c r="D11" s="107"/>
      <c r="E11" s="107"/>
      <c r="F11" s="107"/>
      <c r="X11" s="7"/>
      <c r="Y11" s="7"/>
    </row>
    <row r="12" spans="1:32" ht="18">
      <c r="A12" s="129" t="s">
        <v>22</v>
      </c>
      <c r="C12" s="107"/>
      <c r="D12" s="107"/>
      <c r="E12" s="107"/>
      <c r="F12" s="107"/>
      <c r="X12" s="7"/>
      <c r="Y12" s="7"/>
    </row>
    <row r="13" spans="1:32" ht="18">
      <c r="A13" s="129" t="s">
        <v>23</v>
      </c>
      <c r="C13" s="107"/>
      <c r="D13" s="107"/>
      <c r="E13" s="107"/>
      <c r="F13" s="107"/>
      <c r="X13" s="7"/>
      <c r="Y13" s="7"/>
    </row>
    <row r="14" spans="1:32" ht="18">
      <c r="A14" s="129" t="s">
        <v>24</v>
      </c>
      <c r="C14" s="107"/>
      <c r="D14" s="107"/>
      <c r="E14" s="107"/>
      <c r="F14" s="107"/>
      <c r="X14" s="7"/>
      <c r="Y14" s="7"/>
    </row>
    <row r="15" spans="1:32" ht="18">
      <c r="A15" s="129" t="s">
        <v>57</v>
      </c>
      <c r="C15" s="107"/>
      <c r="D15" s="107"/>
      <c r="E15" s="107"/>
      <c r="F15" s="107"/>
      <c r="X15" s="7"/>
      <c r="Y15" s="7"/>
    </row>
    <row r="16" spans="1:32" ht="18">
      <c r="A16" s="129" t="s">
        <v>58</v>
      </c>
      <c r="C16" s="107"/>
      <c r="D16" s="107"/>
      <c r="E16" s="107"/>
      <c r="F16" s="107"/>
      <c r="X16" s="7"/>
      <c r="Y16" s="7"/>
    </row>
    <row r="17" spans="1:126" ht="15" customHeight="1">
      <c r="A17" s="129" t="s">
        <v>59</v>
      </c>
      <c r="C17" s="107"/>
      <c r="D17" s="107"/>
      <c r="E17" s="107"/>
      <c r="F17" s="107"/>
      <c r="W17" s="8"/>
      <c r="X17" s="7"/>
      <c r="Y17" s="7"/>
    </row>
    <row r="18" spans="1:126" ht="18">
      <c r="A18" s="129" t="s">
        <v>25</v>
      </c>
      <c r="C18" s="107"/>
      <c r="D18" s="107"/>
      <c r="E18" s="107"/>
      <c r="F18" s="107"/>
      <c r="X18" s="7"/>
      <c r="Y18" s="7"/>
    </row>
    <row r="19" spans="1:126" ht="18">
      <c r="A19" s="129" t="s">
        <v>60</v>
      </c>
      <c r="C19" s="107"/>
      <c r="D19" s="107"/>
      <c r="E19" s="107"/>
      <c r="F19" s="107"/>
      <c r="X19" s="7"/>
      <c r="Y19" s="7"/>
    </row>
    <row r="20" spans="1:126" ht="18">
      <c r="A20" s="129" t="s">
        <v>69</v>
      </c>
      <c r="C20" s="107"/>
      <c r="D20" s="107"/>
      <c r="E20" s="107"/>
      <c r="F20" s="107"/>
      <c r="X20" s="7"/>
      <c r="Y20" s="7"/>
    </row>
    <row r="21" spans="1:126" ht="18">
      <c r="A21" s="129" t="s">
        <v>26</v>
      </c>
      <c r="C21" s="114"/>
      <c r="D21" s="114"/>
      <c r="E21" s="114"/>
      <c r="F21" s="114"/>
      <c r="X21" s="7"/>
      <c r="Y21" s="7"/>
    </row>
    <row r="22" spans="1:126" ht="18">
      <c r="A22" s="129" t="s">
        <v>61</v>
      </c>
      <c r="C22" s="107"/>
      <c r="D22" s="107"/>
      <c r="E22" s="107"/>
      <c r="F22" s="107"/>
      <c r="X22" s="7"/>
      <c r="Y22" s="7"/>
    </row>
    <row r="23" spans="1:126" ht="18">
      <c r="A23" s="129" t="s">
        <v>70</v>
      </c>
      <c r="C23" s="107"/>
      <c r="D23" s="107"/>
      <c r="E23" s="107"/>
      <c r="F23" s="107"/>
      <c r="X23" s="7"/>
      <c r="Y23" s="7"/>
    </row>
    <row r="24" spans="1:126" ht="18">
      <c r="A24" s="129" t="s">
        <v>49</v>
      </c>
      <c r="C24" s="114"/>
      <c r="D24" s="114"/>
      <c r="E24" s="114"/>
      <c r="F24" s="114"/>
      <c r="X24" s="7"/>
      <c r="Y24" s="7"/>
    </row>
    <row r="25" spans="1:126" ht="18">
      <c r="A25" s="129" t="s">
        <v>93</v>
      </c>
      <c r="C25" s="107"/>
      <c r="D25" s="107"/>
      <c r="E25" s="107"/>
      <c r="F25" s="107"/>
      <c r="X25" s="7"/>
      <c r="Y25" s="7"/>
    </row>
    <row r="26" spans="1:126" ht="18">
      <c r="A26" s="129" t="s">
        <v>62</v>
      </c>
      <c r="C26" s="114"/>
      <c r="D26" s="114"/>
      <c r="E26" s="114"/>
      <c r="F26" s="114"/>
      <c r="X26" s="7"/>
      <c r="Y26" s="7"/>
    </row>
    <row r="27" spans="1:126" s="16" customFormat="1" ht="15.75">
      <c r="A27" s="15" t="s">
        <v>18</v>
      </c>
      <c r="B27" s="16">
        <f t="shared" ref="B27:F27" si="0">COUNTIF(B6:B26,"sim")</f>
        <v>0</v>
      </c>
      <c r="C27" s="103">
        <f t="shared" ref="C27:E27" si="1">COUNTIF(C6:C26,"sim")</f>
        <v>0</v>
      </c>
      <c r="D27" s="103">
        <f t="shared" si="1"/>
        <v>0</v>
      </c>
      <c r="E27" s="103">
        <f t="shared" si="1"/>
        <v>0</v>
      </c>
      <c r="F27" s="103">
        <f t="shared" si="0"/>
        <v>0</v>
      </c>
      <c r="M27" s="16">
        <f t="shared" ref="M27:AR27" si="2">COUNTIF(M6:M26,"sim")</f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ref="AS27:BX27" si="3">COUNTIF(AS6:AS26,"sim")</f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ref="BY27:DD27" si="4">COUNTIF(BY6:BY26,"sim")</f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ref="DE27:DV27" si="5">COUNTIF(DE6:DE26,"sim")</f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</row>
    <row r="28" spans="1:126" s="18" customFormat="1" ht="15.75">
      <c r="A28" s="17" t="s">
        <v>19</v>
      </c>
      <c r="B28" s="18">
        <f t="shared" ref="B28:F28" si="6">COUNTIF(B6:B26,"não")</f>
        <v>0</v>
      </c>
      <c r="C28" s="104">
        <f t="shared" ref="C28:E28" si="7">COUNTIF(C6:C26,"não")</f>
        <v>0</v>
      </c>
      <c r="D28" s="104">
        <f t="shared" si="7"/>
        <v>0</v>
      </c>
      <c r="E28" s="104">
        <f t="shared" si="7"/>
        <v>0</v>
      </c>
      <c r="F28" s="104">
        <f t="shared" si="6"/>
        <v>0</v>
      </c>
      <c r="M28" s="18">
        <f t="shared" ref="M28:AR28" si="8">COUNTIF(M6:M27,"não")</f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ref="AS28:BX28" si="9">COUNTIF(AS6:AS27,"não")</f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ref="BY28:DD28" si="10">COUNTIF(BY6:BY27,"não")</f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ref="DE28:DV28" si="11">COUNTIF(DE6:DE27,"não")</f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</row>
    <row r="29" spans="1:126" ht="15.75">
      <c r="A29" s="14" t="s">
        <v>11</v>
      </c>
      <c r="B29">
        <f t="shared" ref="B29:F29" si="12">COUNTIF(B6:B26,"ausente")</f>
        <v>0</v>
      </c>
      <c r="C29" s="40">
        <f t="shared" ref="C29:E29" si="13">COUNTIF(C6:C26,"ausente")</f>
        <v>0</v>
      </c>
      <c r="D29" s="40">
        <f t="shared" si="13"/>
        <v>0</v>
      </c>
      <c r="E29" s="40">
        <f t="shared" si="13"/>
        <v>0</v>
      </c>
      <c r="F29" s="40">
        <f t="shared" si="12"/>
        <v>0</v>
      </c>
      <c r="M29">
        <f t="shared" ref="M29:AR29" si="14">COUNTIF(M6:M28,"ausente")</f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ref="AS29:BX29" si="15">COUNTIF(AS6:AS28,"ausente")</f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ref="BY29:DD29" si="16">COUNTIF(BY6:BY28,"ausente")</f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ref="DE29:DV29" si="17">COUNTIF(DE6:DE28,"ausente")</f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</row>
    <row r="30" spans="1:126" s="20" customFormat="1" ht="15.75">
      <c r="A30" s="19" t="s">
        <v>20</v>
      </c>
      <c r="B30" s="20">
        <f t="shared" ref="B30:F30" si="18">COUNTIF(B6:B26,"abstenção")</f>
        <v>0</v>
      </c>
      <c r="C30" s="105">
        <f t="shared" ref="C30:E30" si="19">COUNTIF(C6:C26,"abstenção")</f>
        <v>0</v>
      </c>
      <c r="D30" s="105">
        <f t="shared" si="19"/>
        <v>0</v>
      </c>
      <c r="E30" s="105">
        <f t="shared" si="19"/>
        <v>0</v>
      </c>
      <c r="F30" s="105">
        <f t="shared" si="18"/>
        <v>0</v>
      </c>
      <c r="M30" s="20">
        <f t="shared" ref="M30:AR30" si="20">COUNTIF(M10:M29,"abstenção")</f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ref="AS30:BK30" si="21">COUNTIF(AS10:AS29,"abstenção")</f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ref="BL30:DV30" si="22">COUNTIF(BL10:BL29,"abstenção")</f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H16" sqref="H16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99</v>
      </c>
      <c r="B2" s="2"/>
    </row>
    <row r="3" spans="1:4" ht="15.75" thickBot="1">
      <c r="A3" s="121" t="s">
        <v>100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98</v>
      </c>
      <c r="D4" s="139" t="s">
        <v>116</v>
      </c>
    </row>
    <row r="5" spans="1:4" s="6" customFormat="1" ht="60.75" customHeight="1">
      <c r="A5" s="122"/>
      <c r="B5" s="111"/>
      <c r="C5" s="113" t="s">
        <v>71</v>
      </c>
      <c r="D5" s="113" t="s">
        <v>71</v>
      </c>
    </row>
    <row r="6" spans="1:4" ht="15.75">
      <c r="A6" s="127" t="s">
        <v>51</v>
      </c>
      <c r="C6" s="107" t="s">
        <v>66</v>
      </c>
      <c r="D6" s="107" t="s">
        <v>66</v>
      </c>
    </row>
    <row r="7" spans="1:4" ht="15.75">
      <c r="A7" s="127" t="s">
        <v>68</v>
      </c>
      <c r="C7" s="114" t="s">
        <v>53</v>
      </c>
      <c r="D7" s="114" t="s">
        <v>53</v>
      </c>
    </row>
    <row r="8" spans="1:4" ht="15.75">
      <c r="A8" s="127" t="s">
        <v>54</v>
      </c>
      <c r="C8" s="107" t="s">
        <v>66</v>
      </c>
      <c r="D8" s="107" t="s">
        <v>66</v>
      </c>
    </row>
    <row r="9" spans="1:4" ht="15.75">
      <c r="A9" s="128" t="s">
        <v>55</v>
      </c>
      <c r="C9" s="114" t="s">
        <v>53</v>
      </c>
      <c r="D9" s="114" t="s">
        <v>53</v>
      </c>
    </row>
    <row r="10" spans="1:4" ht="15.75">
      <c r="A10" s="127" t="s">
        <v>28</v>
      </c>
      <c r="C10" s="107" t="s">
        <v>66</v>
      </c>
      <c r="D10" s="107" t="s">
        <v>66</v>
      </c>
    </row>
    <row r="11" spans="1:4" ht="15.75">
      <c r="A11" s="127" t="s">
        <v>56</v>
      </c>
      <c r="C11" s="107" t="s">
        <v>66</v>
      </c>
      <c r="D11" s="107" t="s">
        <v>66</v>
      </c>
    </row>
    <row r="12" spans="1:4" ht="15.75">
      <c r="A12" s="127" t="s">
        <v>22</v>
      </c>
      <c r="C12" s="107" t="s">
        <v>66</v>
      </c>
      <c r="D12" s="107" t="s">
        <v>66</v>
      </c>
    </row>
    <row r="13" spans="1:4" ht="15.75">
      <c r="A13" s="127" t="s">
        <v>23</v>
      </c>
      <c r="B13" s="138"/>
      <c r="C13" s="107" t="s">
        <v>66</v>
      </c>
      <c r="D13" s="107" t="s">
        <v>66</v>
      </c>
    </row>
    <row r="14" spans="1:4" ht="15.75">
      <c r="A14" s="127" t="s">
        <v>24</v>
      </c>
      <c r="C14" s="107" t="s">
        <v>66</v>
      </c>
      <c r="D14" s="107" t="s">
        <v>66</v>
      </c>
    </row>
    <row r="15" spans="1:4" ht="15.75">
      <c r="A15" s="127" t="s">
        <v>57</v>
      </c>
      <c r="C15" s="107" t="s">
        <v>66</v>
      </c>
      <c r="D15" s="107" t="s">
        <v>66</v>
      </c>
    </row>
    <row r="16" spans="1:4" ht="15.75">
      <c r="A16" s="127" t="s">
        <v>58</v>
      </c>
      <c r="C16" s="107" t="s">
        <v>66</v>
      </c>
      <c r="D16" s="107" t="s">
        <v>66</v>
      </c>
    </row>
    <row r="17" spans="1:4" ht="15.75">
      <c r="A17" s="127" t="s">
        <v>59</v>
      </c>
      <c r="C17" s="107" t="s">
        <v>66</v>
      </c>
      <c r="D17" s="107" t="s">
        <v>66</v>
      </c>
    </row>
    <row r="18" spans="1:4" ht="15.75">
      <c r="A18" s="127" t="s">
        <v>25</v>
      </c>
      <c r="C18" s="107" t="s">
        <v>66</v>
      </c>
      <c r="D18" s="107" t="s">
        <v>66</v>
      </c>
    </row>
    <row r="19" spans="1:4" ht="15.75">
      <c r="A19" s="127" t="s">
        <v>60</v>
      </c>
      <c r="C19" s="107" t="s">
        <v>66</v>
      </c>
      <c r="D19" s="107" t="s">
        <v>66</v>
      </c>
    </row>
    <row r="20" spans="1:4" ht="15.75">
      <c r="A20" s="127" t="s">
        <v>69</v>
      </c>
      <c r="C20" s="107" t="s">
        <v>66</v>
      </c>
      <c r="D20" s="107" t="s">
        <v>66</v>
      </c>
    </row>
    <row r="21" spans="1:4" ht="15.75">
      <c r="A21" s="127" t="s">
        <v>26</v>
      </c>
      <c r="C21" s="114" t="s">
        <v>53</v>
      </c>
      <c r="D21" s="114" t="s">
        <v>53</v>
      </c>
    </row>
    <row r="22" spans="1:4" ht="15.75">
      <c r="A22" s="127" t="s">
        <v>61</v>
      </c>
      <c r="C22" s="107" t="s">
        <v>66</v>
      </c>
      <c r="D22" s="107" t="s">
        <v>66</v>
      </c>
    </row>
    <row r="23" spans="1:4" ht="15.75">
      <c r="A23" s="127" t="s">
        <v>70</v>
      </c>
      <c r="C23" s="114" t="s">
        <v>53</v>
      </c>
      <c r="D23" s="114" t="s">
        <v>53</v>
      </c>
    </row>
    <row r="24" spans="1:4" ht="15.75">
      <c r="A24" s="127" t="s">
        <v>49</v>
      </c>
      <c r="C24" s="107" t="s">
        <v>66</v>
      </c>
      <c r="D24" s="107" t="s">
        <v>66</v>
      </c>
    </row>
    <row r="25" spans="1:4" ht="15.75">
      <c r="A25" s="127" t="s">
        <v>93</v>
      </c>
      <c r="C25" s="107" t="s">
        <v>66</v>
      </c>
      <c r="D25" s="107" t="s">
        <v>66</v>
      </c>
    </row>
    <row r="26" spans="1:4" ht="15.75">
      <c r="A26" s="127" t="s">
        <v>62</v>
      </c>
      <c r="C26" s="107" t="s">
        <v>66</v>
      </c>
      <c r="D26" s="107" t="s">
        <v>66</v>
      </c>
    </row>
    <row r="27" spans="1:4">
      <c r="C27" s="107" t="s">
        <v>66</v>
      </c>
      <c r="D27" s="107" t="s">
        <v>66</v>
      </c>
    </row>
    <row r="28" spans="1:4" ht="15.75">
      <c r="A28" s="15" t="s">
        <v>18</v>
      </c>
      <c r="B28" s="16">
        <f>COUNTIF(B6:B26,"sim")</f>
        <v>0</v>
      </c>
      <c r="C28" s="103">
        <f t="shared" ref="C28" si="0">COUNTIF(C6:C26,"sim")</f>
        <v>17</v>
      </c>
      <c r="D28" s="103">
        <f t="shared" ref="D28" si="1">COUNTIF(D6:D26,"sim")</f>
        <v>17</v>
      </c>
    </row>
    <row r="29" spans="1:4" ht="15.75">
      <c r="A29" s="17" t="s">
        <v>19</v>
      </c>
      <c r="B29" s="18">
        <f>COUNTIF(B6:B26,"não")</f>
        <v>0</v>
      </c>
      <c r="C29" s="104">
        <f t="shared" ref="C29" si="2">COUNTIF(C6:C26,"não")</f>
        <v>0</v>
      </c>
      <c r="D29" s="104">
        <f t="shared" ref="D29" si="3"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" si="4">COUNTIF(C6:C26,"ausente")</f>
        <v>4</v>
      </c>
      <c r="D30" s="40">
        <f t="shared" ref="D30" si="5">COUNTIF(D6:D26,"ausente")</f>
        <v>4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" si="6">COUNTIF(C6:C26,"abstenção")</f>
        <v>0</v>
      </c>
      <c r="D31" s="105">
        <f t="shared" ref="D31" si="7"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H38"/>
  <sheetViews>
    <sheetView workbookViewId="0">
      <selection activeCell="M13" sqref="M1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8" width="15.5703125" customWidth="1"/>
    <col min="9" max="9" width="18.28515625" customWidth="1"/>
  </cols>
  <sheetData>
    <row r="1" spans="1:8">
      <c r="A1" s="76" t="s">
        <v>8</v>
      </c>
      <c r="B1" s="2"/>
      <c r="C1" s="54"/>
      <c r="D1" s="54"/>
      <c r="E1" s="54"/>
    </row>
    <row r="2" spans="1:8">
      <c r="A2" s="76" t="s">
        <v>99</v>
      </c>
      <c r="B2" s="2"/>
      <c r="C2" s="54"/>
      <c r="D2" s="54"/>
      <c r="E2" s="54"/>
    </row>
    <row r="3" spans="1:8" ht="15.75" thickBot="1">
      <c r="A3" s="121" t="s">
        <v>100</v>
      </c>
      <c r="B3" s="2"/>
      <c r="C3" s="54"/>
      <c r="D3" s="54"/>
      <c r="E3" s="54"/>
    </row>
    <row r="4" spans="1:8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8" t="s">
        <v>117</v>
      </c>
      <c r="G4" s="148" t="s">
        <v>118</v>
      </c>
      <c r="H4" s="148" t="s">
        <v>119</v>
      </c>
    </row>
    <row r="5" spans="1:8" ht="60.75" customHeight="1">
      <c r="A5" s="48"/>
      <c r="B5" s="10"/>
      <c r="C5" s="132"/>
      <c r="D5" s="131"/>
      <c r="E5" s="131"/>
      <c r="F5" s="40"/>
      <c r="G5" s="40"/>
      <c r="H5" s="40"/>
    </row>
    <row r="6" spans="1:8" ht="18">
      <c r="A6" s="129" t="s">
        <v>51</v>
      </c>
      <c r="C6" s="133"/>
      <c r="D6" s="133"/>
      <c r="E6" s="133"/>
      <c r="F6" s="40"/>
      <c r="G6" s="40"/>
      <c r="H6" s="40"/>
    </row>
    <row r="7" spans="1:8" ht="18">
      <c r="A7" s="129" t="s">
        <v>68</v>
      </c>
      <c r="C7" s="133"/>
      <c r="D7" s="133"/>
      <c r="E7" s="133"/>
      <c r="F7" s="40"/>
      <c r="G7" s="40"/>
      <c r="H7" s="40"/>
    </row>
    <row r="8" spans="1:8" ht="18">
      <c r="A8" s="129" t="s">
        <v>54</v>
      </c>
      <c r="C8" s="133"/>
      <c r="D8" s="133"/>
      <c r="E8" s="133"/>
      <c r="F8" s="40"/>
      <c r="G8" s="40"/>
      <c r="H8" s="40"/>
    </row>
    <row r="9" spans="1:8" ht="18">
      <c r="A9" s="130" t="s">
        <v>55</v>
      </c>
      <c r="C9" s="133"/>
      <c r="D9" s="133"/>
      <c r="E9" s="133"/>
      <c r="F9" s="40"/>
      <c r="G9" s="40"/>
      <c r="H9" s="40"/>
    </row>
    <row r="10" spans="1:8" ht="18">
      <c r="A10" s="129" t="s">
        <v>28</v>
      </c>
      <c r="C10" s="133"/>
      <c r="D10" s="133"/>
      <c r="E10" s="133"/>
      <c r="F10" s="40"/>
      <c r="G10" s="40"/>
      <c r="H10" s="40"/>
    </row>
    <row r="11" spans="1:8" ht="18">
      <c r="A11" s="129" t="s">
        <v>56</v>
      </c>
      <c r="C11" s="133"/>
      <c r="D11" s="133"/>
      <c r="E11" s="133"/>
      <c r="F11" s="40"/>
      <c r="G11" s="40"/>
      <c r="H11" s="40"/>
    </row>
    <row r="12" spans="1:8" ht="18">
      <c r="A12" s="129" t="s">
        <v>22</v>
      </c>
      <c r="C12" s="133"/>
      <c r="D12" s="133"/>
      <c r="E12" s="133"/>
      <c r="F12" s="40"/>
      <c r="G12" s="40"/>
      <c r="H12" s="40"/>
    </row>
    <row r="13" spans="1:8" ht="18">
      <c r="A13" s="129" t="s">
        <v>23</v>
      </c>
      <c r="C13" s="133"/>
      <c r="D13" s="133"/>
      <c r="E13" s="133"/>
      <c r="F13" s="40"/>
      <c r="G13" s="40"/>
      <c r="H13" s="40"/>
    </row>
    <row r="14" spans="1:8" ht="18">
      <c r="A14" s="129" t="s">
        <v>24</v>
      </c>
      <c r="C14" s="133"/>
      <c r="D14" s="133"/>
      <c r="E14" s="133"/>
      <c r="F14" s="40"/>
      <c r="G14" s="40"/>
      <c r="H14" s="40"/>
    </row>
    <row r="15" spans="1:8" ht="18">
      <c r="A15" s="129" t="s">
        <v>57</v>
      </c>
      <c r="C15" s="133"/>
      <c r="D15" s="133"/>
      <c r="E15" s="133"/>
      <c r="F15" s="40"/>
      <c r="G15" s="40"/>
      <c r="H15" s="40"/>
    </row>
    <row r="16" spans="1:8" ht="18">
      <c r="A16" s="129" t="s">
        <v>58</v>
      </c>
      <c r="C16" s="133"/>
      <c r="D16" s="133"/>
      <c r="E16" s="133"/>
      <c r="F16" s="40"/>
      <c r="G16" s="40"/>
      <c r="H16" s="40"/>
    </row>
    <row r="17" spans="1:8" ht="18">
      <c r="A17" s="129" t="s">
        <v>59</v>
      </c>
      <c r="C17" s="133"/>
      <c r="D17" s="133"/>
      <c r="E17" s="133"/>
      <c r="F17" s="40"/>
      <c r="G17" s="40"/>
      <c r="H17" s="40"/>
    </row>
    <row r="18" spans="1:8" ht="18">
      <c r="A18" s="129" t="s">
        <v>25</v>
      </c>
      <c r="C18" s="133"/>
      <c r="D18" s="133"/>
      <c r="E18" s="133"/>
      <c r="F18" s="40"/>
      <c r="G18" s="40"/>
      <c r="H18" s="40"/>
    </row>
    <row r="19" spans="1:8" ht="18">
      <c r="A19" s="129" t="s">
        <v>60</v>
      </c>
      <c r="C19" s="133"/>
      <c r="D19" s="133"/>
      <c r="E19" s="133"/>
      <c r="F19" s="40"/>
      <c r="G19" s="40"/>
      <c r="H19" s="40"/>
    </row>
    <row r="20" spans="1:8" ht="18">
      <c r="A20" s="129" t="s">
        <v>69</v>
      </c>
      <c r="C20" s="133"/>
      <c r="D20" s="133"/>
      <c r="E20" s="133"/>
      <c r="F20" s="40"/>
      <c r="G20" s="40"/>
      <c r="H20" s="40"/>
    </row>
    <row r="21" spans="1:8" ht="18">
      <c r="A21" s="129" t="s">
        <v>26</v>
      </c>
      <c r="C21" s="133"/>
      <c r="D21" s="133"/>
      <c r="E21" s="133"/>
      <c r="F21" s="40"/>
      <c r="G21" s="40"/>
      <c r="H21" s="40"/>
    </row>
    <row r="22" spans="1:8" ht="18">
      <c r="A22" s="129" t="s">
        <v>61</v>
      </c>
      <c r="C22" s="133"/>
      <c r="D22" s="133"/>
      <c r="E22" s="133"/>
      <c r="F22" s="40"/>
      <c r="G22" s="40"/>
      <c r="H22" s="40"/>
    </row>
    <row r="23" spans="1:8" ht="18">
      <c r="A23" s="129" t="s">
        <v>70</v>
      </c>
      <c r="C23" s="133"/>
      <c r="D23" s="133"/>
      <c r="E23" s="133"/>
      <c r="F23" s="40"/>
      <c r="G23" s="40"/>
      <c r="H23" s="40"/>
    </row>
    <row r="24" spans="1:8" ht="18">
      <c r="A24" s="129" t="s">
        <v>49</v>
      </c>
      <c r="C24" s="133"/>
      <c r="D24" s="133"/>
      <c r="E24" s="133"/>
      <c r="F24" s="40"/>
      <c r="G24" s="40"/>
      <c r="H24" s="40"/>
    </row>
    <row r="25" spans="1:8" ht="18">
      <c r="A25" s="129" t="s">
        <v>93</v>
      </c>
      <c r="C25" s="133"/>
      <c r="D25" s="133"/>
      <c r="E25" s="133"/>
      <c r="F25" s="40"/>
      <c r="G25" s="40"/>
      <c r="H25" s="40"/>
    </row>
    <row r="26" spans="1:8" ht="18">
      <c r="A26" s="129" t="s">
        <v>62</v>
      </c>
      <c r="C26" s="133"/>
      <c r="D26" s="133"/>
      <c r="E26" s="133"/>
      <c r="F26" s="40"/>
      <c r="G26" s="40"/>
      <c r="H26" s="40"/>
    </row>
    <row r="27" spans="1:8">
      <c r="C27" s="133"/>
      <c r="D27" s="133"/>
      <c r="E27" s="133"/>
      <c r="F27" s="40"/>
      <c r="G27" s="40"/>
      <c r="H27" s="40"/>
    </row>
    <row r="28" spans="1:8" ht="15.75">
      <c r="A28" s="15" t="s">
        <v>18</v>
      </c>
      <c r="B28" s="16"/>
      <c r="C28" s="134">
        <f t="shared" ref="C28:H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>
        <f t="shared" si="0"/>
        <v>0</v>
      </c>
    </row>
    <row r="29" spans="1:8" ht="15.75">
      <c r="A29" s="17" t="s">
        <v>19</v>
      </c>
      <c r="B29" s="18"/>
      <c r="C29" s="135">
        <f t="shared" ref="C29:H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>
        <f t="shared" si="1"/>
        <v>0</v>
      </c>
    </row>
    <row r="30" spans="1:8" ht="15.75">
      <c r="A30" s="14" t="s">
        <v>11</v>
      </c>
      <c r="C30" s="133">
        <f t="shared" ref="C30:H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>
        <f t="shared" si="2"/>
        <v>0</v>
      </c>
    </row>
    <row r="31" spans="1:8" ht="15.75">
      <c r="A31" s="19" t="s">
        <v>20</v>
      </c>
      <c r="B31" s="20"/>
      <c r="C31" s="136">
        <f t="shared" ref="C31:H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B14" sqref="B14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99</v>
      </c>
      <c r="B2" s="2"/>
    </row>
    <row r="3" spans="1:23">
      <c r="A3" s="76" t="s">
        <v>100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73</v>
      </c>
      <c r="E4" s="106" t="s">
        <v>74</v>
      </c>
      <c r="F4" s="106" t="s">
        <v>75</v>
      </c>
      <c r="G4" s="106" t="s">
        <v>76</v>
      </c>
      <c r="H4" s="106" t="s">
        <v>77</v>
      </c>
      <c r="I4" s="106" t="s">
        <v>78</v>
      </c>
      <c r="J4" s="106" t="s">
        <v>79</v>
      </c>
      <c r="K4" s="106" t="s">
        <v>80</v>
      </c>
      <c r="L4" s="106" t="s">
        <v>81</v>
      </c>
      <c r="M4" s="106" t="s">
        <v>82</v>
      </c>
      <c r="N4" s="106" t="s">
        <v>83</v>
      </c>
      <c r="O4" s="106" t="s">
        <v>84</v>
      </c>
      <c r="P4" s="106" t="s">
        <v>85</v>
      </c>
      <c r="Q4" s="106" t="s">
        <v>86</v>
      </c>
      <c r="R4" s="106" t="s">
        <v>87</v>
      </c>
      <c r="S4" s="106" t="s">
        <v>88</v>
      </c>
      <c r="T4" s="106" t="s">
        <v>89</v>
      </c>
      <c r="U4" s="106" t="s">
        <v>90</v>
      </c>
      <c r="V4" s="106" t="s">
        <v>91</v>
      </c>
      <c r="W4" s="106" t="s">
        <v>92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93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2025-11-05T21:08:04Z</dcterms:modified>
</cp:coreProperties>
</file>