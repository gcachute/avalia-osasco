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DDC59695-3589-4364-8529-292CF1892319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D28" i="10"/>
  <c r="D29" i="10"/>
  <c r="D30" i="10"/>
  <c r="D31" i="10"/>
  <c r="C27" i="3"/>
  <c r="C28" i="3"/>
  <c r="C29" i="3"/>
  <c r="C30" i="3"/>
  <c r="E27" i="2"/>
  <c r="E28" i="2"/>
  <c r="E29" i="2"/>
  <c r="E30" i="2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<sst xmlns="http://schemas.openxmlformats.org/spreadsheetml/2006/main" count="467" uniqueCount="124">
  <si>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</si>
  <si>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</si>
  <si>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</si>
  <si>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</si>
  <si>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</si>
  <si>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</si>
  <si>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</si>
  <si>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</si>
  <si>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</si>
  <si>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</si>
  <si>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</si>
  <si>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</si>
  <si>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</si>
  <si>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</si>
  <si>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</si>
  <si>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</si>
  <si>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</si>
  <si>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</si>
  <si>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</si>
  <si>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</si>
  <si>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</si>
  <si>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</si>
  <si>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</si>
  <si>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</si>
  <si>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</si>
  <si>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</si>
  <si>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</si>
  <si>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</si>
  <si>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</si>
  <si>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</si>
  <si>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</si>
  <si>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</si>
  <si>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</si>
  <si>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</si>
  <si>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</si>
  <si>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</si>
  <si>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</si>
  <si>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</si>
  <si>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</si>
  <si>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</si>
  <si>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</si>
  <si>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</si>
  <si>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</si>
  <si>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</si>
  <si>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</si>
  <si>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</si>
  <si>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</si>
  <si>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</si>
  <si>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</si>
  <si>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</si>
  <si>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</si>
  <si>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</si>
  <si>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</si>
  <si>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</si>
  <si>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</si>
  <si>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</si>
  <si>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</si>
  <si>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</si>
  <si>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</si>
  <si>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</si>
  <si>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</si>
  <si>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</si>
  <si>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</si>
  <si>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</si>
  <si>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</si>
  <si>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</si>
  <si>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</si>
  <si>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</si>
  <si>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</si>
  <si>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</si>
  <si>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</si>
  <si>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</si>
  <si>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</si>
  <si>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</si>
  <si>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</si>
  <si>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</si>
  <si>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</si>
  <si>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</si>
  <si>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</si>
  <si>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</si>
  <si>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</si>
  <si>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</si>
  <si>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</si>
  <si>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</si>
  <si>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</si>
  <si>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</si>
  <si>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</si>
  <si>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</si>
  <si>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</si>
  <si>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</si>
  <si>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</si>
  <si>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</si>
  <si>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</si>
  <si>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</si>
  <si>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</si>
  <si>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</si>
  <si>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APROVADO</t>
  </si>
  <si>
    <t>sim</t>
  </si>
  <si>
    <t xml:space="preserve"> 1ª chamada abertura da sessão </t>
  </si>
  <si>
    <t>na presidência</t>
  </si>
  <si>
    <r>
      <t>MOÇÃO DE CONGRATULAÇÕES Nº 86/2025 PAULO JÚNIOR –</t>
    </r>
    <r>
      <rPr>
        <sz val="11"/>
        <color theme="1"/>
        <rFont val="Arial"/>
        <family val="2"/>
      </rPr>
      <t xml:space="preserve"> À cidade de Carapicuíba, pelo 60º Aniversário de Emancipação Político-Administrativa.</t>
    </r>
  </si>
  <si>
    <t>15ª SESSÃO ORDINÁRIA</t>
  </si>
  <si>
    <t>DIA 1º DE ABRIL DE 2025 - TERÇA-FEIRA</t>
  </si>
  <si>
    <t>DIA 1º DE ABRIL DE 2025 - TERÇA–FEIRA</t>
  </si>
  <si>
    <t>Justificativa de ausência da Vereadora Elsa Oliveira.</t>
  </si>
  <si>
    <t>Justificativa de ausência do Vereador Rodrigo Gansinho.</t>
  </si>
  <si>
    <r>
      <t xml:space="preserve">Projeto de Lei nº 44/2024 – Ralfi Silva – </t>
    </r>
    <r>
      <rPr>
        <sz val="12"/>
        <color rgb="FF000000"/>
        <rFont val="Calibri"/>
        <family val="2"/>
      </rPr>
      <t>Altera a Lei nº 4969, de 24 de abril de 2019, que dispõe sobre a proteção, defesa e controle de animais domésticos e silvestres no Município de Osasco, cria o Conselho Municipal do Bem- Estar Animal e o Fundo Municipal do Bem-Estar Animal e dá outras providências.</t>
    </r>
  </si>
  <si>
    <r>
      <t xml:space="preserve">Projeto de Lei nº 18/2025 – Elania Silva – </t>
    </r>
    <r>
      <rPr>
        <sz val="12"/>
        <color rgb="FF000000"/>
        <rFont val="Calibri"/>
        <family val="2"/>
      </rPr>
      <t>Dispõe sobre a criação do Programa Municipal Tampinhas do Bem.</t>
    </r>
  </si>
  <si>
    <r>
      <t xml:space="preserve">Projeto de Lei nº 21/2025 – Lúcia da Saúde – </t>
    </r>
    <r>
      <rPr>
        <sz val="12"/>
        <color rgb="FF000000"/>
        <rFont val="Calibri"/>
        <family val="2"/>
      </rPr>
      <t>Dispõe sobre a garantia de oferta de ala ou leitos separados para as mães de natimorto e/ou mães com óbito fetal, nas redes pública e privada de saúde.</t>
    </r>
  </si>
  <si>
    <r>
      <t xml:space="preserve">Projeto de Lei nº 24/2025 – Emerson Osasco – </t>
    </r>
    <r>
      <rPr>
        <sz val="12"/>
        <color rgb="FF000000"/>
        <rFont val="Calibri"/>
        <family val="2"/>
      </rPr>
      <t>Altera a Lei nº 4.841, de 30 de outubro de 2017, que institui, no âmbito do Município de Osasco, Política Pública para a garantia, proteção e ampliação dos direitos das pessoas com Transtorno no Espectro Autista e dá outras providencias.</t>
    </r>
  </si>
  <si>
    <r>
      <t xml:space="preserve">Projeto de Lei nº 25/2025 – Sérgio Fontellas – </t>
    </r>
    <r>
      <rPr>
        <sz val="12"/>
        <color rgb="FF000000"/>
        <rFont val="Calibri"/>
        <family val="2"/>
      </rPr>
      <t>Dispõe sobre a criação da carteira de identificação de pessoas acometidas por Alzheimer.</t>
    </r>
  </si>
  <si>
    <r>
      <t xml:space="preserve">Projeto de Lei nº 26/2025 – Sérgio Fontellas - </t>
    </r>
    <r>
      <rPr>
        <sz val="12"/>
        <color rgb="FF000000"/>
        <rFont val="Calibri"/>
        <family val="2"/>
      </rPr>
      <t>Institui a certificação municipal Selo Empresa Amiga dos Autistas.</t>
    </r>
  </si>
  <si>
    <r>
      <t>MOÇÃO DE CONGRATULAÇÕES Nº 87/2025 PAULO JÚNIOR –</t>
    </r>
    <r>
      <rPr>
        <sz val="11"/>
        <color theme="1"/>
        <rFont val="Arial"/>
        <family val="2"/>
      </rPr>
      <t xml:space="preserve"> À cidade de Barueri, pelo 76º Aniversário de Emancipação Político-Administrativa.</t>
    </r>
  </si>
  <si>
    <r>
      <t xml:space="preserve">MOÇÃO DE APELO Nº 89/2025 – GABRIEL SAÚDE – </t>
    </r>
    <r>
      <rPr>
        <sz val="11"/>
        <color theme="1"/>
        <rFont val="Arial"/>
        <family val="2"/>
      </rPr>
      <t>Ao Prefeito Gerson Pessoa, para reforma do Centro de Atendimento ao Idoso Padre Rafael Bussato - CAI KM 18.</t>
    </r>
  </si>
  <si>
    <r>
      <t xml:space="preserve">MOÇÃO DE APOIO Nº 95/2025 – SÉRGIO FONTELLAS – </t>
    </r>
    <r>
      <rPr>
        <sz val="11"/>
        <color theme="1"/>
        <rFont val="Arial"/>
        <family val="2"/>
      </rPr>
      <t>Ao Dia de Conscientização do Autismo.</t>
    </r>
  </si>
  <si>
    <r>
      <t xml:space="preserve">MOÇÃO DE APLAUSOS Nº 96/2025 – RALFI SILVA – </t>
    </r>
    <r>
      <rPr>
        <sz val="11"/>
        <color theme="1"/>
        <rFont val="Arial"/>
        <family val="2"/>
      </rPr>
      <t>À 10ª edição do OZ Valley Networking.</t>
    </r>
  </si>
  <si>
    <r>
      <t xml:space="preserve">MOÇÃO DE RECONHECIMENTO Nº 97/2025 – RALFI SILVA – </t>
    </r>
    <r>
      <rPr>
        <sz val="11"/>
        <color theme="1"/>
        <rFont val="Arial"/>
        <family val="2"/>
      </rPr>
      <t>À Eletrônica Remaza, por seus 52 anos de fundação.</t>
    </r>
  </si>
  <si>
    <r>
      <t xml:space="preserve">MOÇÃO DE APELO Nº 98/2025 – EMERSON OSASCO – </t>
    </r>
    <r>
      <rPr>
        <sz val="11"/>
        <color theme="1"/>
        <rFont val="Arial"/>
        <family val="2"/>
      </rPr>
      <t xml:space="preserve">Ao Poder Executivo Municipal para coleta e divulgação de dados sobre a quantidade de pessoas com Transtorno do Espectro do Autismo no âmbito Municipal. </t>
    </r>
  </si>
  <si>
    <r>
      <t xml:space="preserve">MOÇÃO DE APLAUSOS 99/2025 – STEPHANE ROSSI – </t>
    </r>
    <r>
      <rPr>
        <sz val="11"/>
        <color theme="1"/>
        <rFont val="Arial"/>
        <family val="2"/>
      </rPr>
      <t>Ao surdoatleta Romailson Ribeiro, que foi convocado pela Confederação Brasileira de Desportos de Surdos (CBDS) para representar o Brasil e a cidade de Osasco na próxima edição das Surdolimpíadas.</t>
    </r>
  </si>
  <si>
    <t>pela ausência da autora, será pautada na próxima sessão</t>
  </si>
  <si>
    <r>
      <t xml:space="preserve">MOÇÃO DE APLAUSOS 100/2025 – ALEXANDRE CAPRIOTTI – </t>
    </r>
    <r>
      <rPr>
        <sz val="11"/>
        <color theme="1"/>
        <rFont val="Arial"/>
        <family val="2"/>
      </rPr>
      <t>Ao Projeto Família Acolhedora Canguru.</t>
    </r>
  </si>
  <si>
    <r>
      <t xml:space="preserve">PROJETO DE LEI Nº 95/2023 – RALFI SILVA - </t>
    </r>
    <r>
      <rPr>
        <sz val="14"/>
        <color theme="1"/>
        <rFont val="Arial"/>
        <family val="2"/>
      </rPr>
      <t>Dispõe sobre a obrigatoriedade de afixação de cartazes informativos sobre a proibição de uso, manejo, comércio, distribuição, embalagem, fracionamento e fabricação de "Chumbinho".</t>
    </r>
  </si>
  <si>
    <r>
      <t xml:space="preserve">PROJETO DE DECRETO LEGISLATIVO Nº 66/2024 – LÚCIA DA SAÚDE - </t>
    </r>
    <r>
      <rPr>
        <sz val="11"/>
        <color theme="1"/>
        <rFont val="Arial"/>
        <family val="2"/>
      </rPr>
      <t>Dispõe sobre a concessão de Placa Comemorativa à Derg Serviços Administrativos e Contabilidade Ltda.</t>
    </r>
  </si>
  <si>
    <r>
      <t xml:space="preserve">PROJETO DE DECRETO LEGISLATIVO Nº 7/2025 – GUILHERME PRADO - </t>
    </r>
    <r>
      <rPr>
        <sz val="11"/>
        <color theme="1"/>
        <rFont val="Arial"/>
        <family val="2"/>
      </rPr>
      <t xml:space="preserve">Dispõe sobre a concessão de Cartão de Prata para o Capitão Daniel Ribeiro Juvino.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</si>
</sst>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A54" sqref="A5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101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102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98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1</v>
      </c>
      <c r="C5" s="62" t="s">
        <v>58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1</v>
      </c>
      <c r="G6" s="62" t="s">
        <v>58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1</v>
      </c>
      <c r="C9" s="62" t="s">
        <v>58</v>
      </c>
      <c r="D9" s="63"/>
      <c r="E9" s="62"/>
      <c r="F9" s="89">
        <v>1</v>
      </c>
      <c r="G9" s="62" t="s">
        <v>58</v>
      </c>
      <c r="H9" s="63"/>
      <c r="I9" s="62"/>
      <c r="J9" s="63">
        <v>1</v>
      </c>
      <c r="K9" s="62" t="s">
        <v>58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1</v>
      </c>
      <c r="G10" s="62" t="s">
        <v>58</v>
      </c>
      <c r="H10" s="63"/>
      <c r="I10" s="62"/>
      <c r="J10" s="63">
        <v>2</v>
      </c>
      <c r="K10" s="103" t="s">
        <v>59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2</v>
      </c>
      <c r="C11" s="103" t="s">
        <v>59</v>
      </c>
      <c r="D11" s="63"/>
      <c r="E11" s="62"/>
      <c r="F11" s="89">
        <v>2</v>
      </c>
      <c r="G11" s="103" t="s">
        <v>59</v>
      </c>
      <c r="H11" s="63"/>
      <c r="I11" s="62"/>
      <c r="J11" s="63">
        <v>2</v>
      </c>
      <c r="K11" s="103" t="s">
        <v>59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2</v>
      </c>
      <c r="C14" s="103" t="s">
        <v>59</v>
      </c>
      <c r="D14" s="63"/>
      <c r="E14" s="62"/>
      <c r="F14" s="89">
        <v>2</v>
      </c>
      <c r="G14" s="103" t="s">
        <v>59</v>
      </c>
      <c r="H14" s="63"/>
      <c r="I14" s="62"/>
      <c r="J14" s="63">
        <v>1</v>
      </c>
      <c r="K14" s="62" t="s">
        <v>58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2</v>
      </c>
      <c r="C17" s="103" t="s">
        <v>59</v>
      </c>
      <c r="D17" s="63"/>
      <c r="E17" s="62"/>
      <c r="F17" s="89">
        <v>2</v>
      </c>
      <c r="G17" s="103" t="s">
        <v>59</v>
      </c>
      <c r="H17" s="63"/>
      <c r="I17" s="68"/>
      <c r="J17" s="63">
        <v>2</v>
      </c>
      <c r="K17" s="103" t="s">
        <v>59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2</v>
      </c>
      <c r="C18" s="103" t="s">
        <v>59</v>
      </c>
      <c r="D18" s="63"/>
      <c r="E18" s="62"/>
      <c r="F18" s="89">
        <v>2</v>
      </c>
      <c r="G18" s="103" t="s">
        <v>59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2</v>
      </c>
      <c r="K19" s="103" t="s">
        <v>59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2</v>
      </c>
      <c r="C20" s="103" t="s">
        <v>59</v>
      </c>
      <c r="D20" s="63"/>
      <c r="E20" s="62"/>
      <c r="F20" s="89">
        <v>1</v>
      </c>
      <c r="G20" s="62" t="s">
        <v>58</v>
      </c>
      <c r="H20" s="63"/>
      <c r="I20" s="68"/>
      <c r="J20" s="63">
        <v>1</v>
      </c>
      <c r="K20" s="62" t="s">
        <v>58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1</v>
      </c>
      <c r="K22" s="62" t="s">
        <v>58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2</v>
      </c>
      <c r="C23" s="103" t="s">
        <v>59</v>
      </c>
      <c r="D23" s="63"/>
      <c r="E23" s="62"/>
      <c r="F23" s="89">
        <v>2</v>
      </c>
      <c r="G23" s="103" t="s">
        <v>59</v>
      </c>
      <c r="H23" s="63"/>
      <c r="I23" s="62"/>
      <c r="J23" s="63">
        <v>2</v>
      </c>
      <c r="K23" s="103" t="s">
        <v>59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2</v>
      </c>
      <c r="C24" s="103" t="s">
        <v>59</v>
      </c>
      <c r="D24" s="63"/>
      <c r="E24" s="62"/>
      <c r="F24" s="89">
        <v>2</v>
      </c>
      <c r="G24" s="103" t="s">
        <v>59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9</v>
      </c>
      <c r="C26" s="97" t="s">
        <v>51</v>
      </c>
      <c r="D26" s="99"/>
      <c r="E26" s="97"/>
      <c r="F26" s="99">
        <v>12</v>
      </c>
      <c r="G26" s="97" t="s">
        <v>51</v>
      </c>
      <c r="H26" s="101"/>
      <c r="I26" s="102"/>
      <c r="J26" s="99">
        <v>15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12</v>
      </c>
      <c r="C27" s="97" t="s">
        <v>52</v>
      </c>
      <c r="D27" s="99"/>
      <c r="E27" s="97"/>
      <c r="F27" s="99">
        <v>9</v>
      </c>
      <c r="G27" s="97" t="s">
        <v>52</v>
      </c>
      <c r="H27" s="101"/>
      <c r="I27" s="97"/>
      <c r="J27" s="99">
        <v>6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62</v>
      </c>
      <c r="V32" s="12"/>
      <c r="W32" s="12"/>
    </row>
    <row r="33" spans="1:23" ht="18">
      <c r="A33" s="34" t="s">
        <v>53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66</v>
      </c>
      <c r="V41" s="12"/>
      <c r="W41" s="12"/>
    </row>
    <row r="42" spans="1:23" ht="18">
      <c r="A42" s="34" t="s">
        <v>63</v>
      </c>
      <c r="V42" s="12"/>
      <c r="W42" s="12"/>
    </row>
    <row r="43" spans="1:23" ht="18">
      <c r="A43" s="34" t="s">
        <v>25</v>
      </c>
      <c r="V43" s="12"/>
      <c r="W43" s="12"/>
    </row>
    <row r="44" spans="1:23" ht="18">
      <c r="A44" s="34" t="s">
        <v>38</v>
      </c>
      <c r="V44" s="12"/>
      <c r="W44" s="12"/>
    </row>
    <row r="45" spans="1:23" ht="18">
      <c r="A45" s="34" t="s">
        <v>27</v>
      </c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62</v>
      </c>
    </row>
    <row r="52" spans="1:23" ht="18">
      <c r="A52" s="34" t="s">
        <v>23</v>
      </c>
    </row>
    <row r="53" spans="1:23" ht="18">
      <c r="A53" s="34" t="s">
        <v>25</v>
      </c>
    </row>
    <row r="54" spans="1:23" ht="18">
      <c r="A54" s="34" t="s">
        <v>38</v>
      </c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V39"/>
  <sheetViews>
    <sheetView workbookViewId="0">
      <pane xSplit="1" topLeftCell="B1" activePane="topRight" state="frozen"/>
      <selection pane="topRight" activeCell="U12" sqref="U12"/>
    </sheetView>
  </sheetViews>
  <sheetFormatPr defaultColWidth="9.140625" defaultRowHeight="12.75"/>
  <cols>
    <col min="1" max="1" width="47.7109375" style="22" customWidth="1"/>
    <col min="2" max="10" width="23.7109375" style="22" customWidth="1"/>
    <col min="11" max="11" width="19" style="22" customWidth="1"/>
    <col min="12" max="12" width="26.28515625" style="22" customWidth="1"/>
    <col min="13" max="13" width="22.140625" style="22" customWidth="1"/>
    <col min="14" max="22" width="22.7109375" style="22" customWidth="1"/>
    <col min="23" max="16384" width="9.140625" style="22"/>
  </cols>
  <sheetData>
    <row r="1" spans="1:22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22" ht="15">
      <c r="A2" s="77" t="s">
        <v>101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22" ht="17.25" customHeight="1">
      <c r="A3" s="77" t="s">
        <v>103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22" ht="63" customHeight="1">
      <c r="A4" s="51" t="str">
        <f>'[1]MOÇÃO E REQUERIMENTO'!B7</f>
        <v>EXPEDIENTE</v>
      </c>
      <c r="B4" s="50" t="s">
        <v>50</v>
      </c>
      <c r="C4" s="118" t="s">
        <v>104</v>
      </c>
      <c r="D4" s="118" t="s">
        <v>105</v>
      </c>
      <c r="E4" s="118" t="s">
        <v>106</v>
      </c>
      <c r="F4" s="118" t="s">
        <v>107</v>
      </c>
      <c r="G4" s="118" t="s">
        <v>108</v>
      </c>
      <c r="H4" s="118" t="s">
        <v>109</v>
      </c>
      <c r="I4" s="118" t="s">
        <v>110</v>
      </c>
      <c r="J4" s="118" t="s">
        <v>111</v>
      </c>
      <c r="K4" s="113" t="s">
        <v>35</v>
      </c>
      <c r="L4" s="125"/>
      <c r="M4" s="50" t="s">
        <v>28</v>
      </c>
      <c r="N4" s="85" t="s">
        <v>100</v>
      </c>
      <c r="O4" s="85" t="s">
        <v>112</v>
      </c>
      <c r="P4" s="85" t="s">
        <v>113</v>
      </c>
      <c r="Q4" s="85" t="s">
        <v>114</v>
      </c>
      <c r="R4" s="69" t="s">
        <v>115</v>
      </c>
      <c r="S4" s="69" t="s">
        <v>116</v>
      </c>
      <c r="T4" s="69" t="s">
        <v>117</v>
      </c>
      <c r="U4" s="69" t="s">
        <v>118</v>
      </c>
      <c r="V4" s="69" t="s">
        <v>120</v>
      </c>
    </row>
    <row r="5" spans="1:22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114"/>
      <c r="N5" s="114" t="s">
        <v>95</v>
      </c>
      <c r="O5" s="114" t="s">
        <v>95</v>
      </c>
      <c r="P5" s="119" t="s">
        <v>94</v>
      </c>
      <c r="Q5" s="119" t="s">
        <v>94</v>
      </c>
      <c r="R5" s="119" t="s">
        <v>94</v>
      </c>
      <c r="S5" s="119" t="s">
        <v>94</v>
      </c>
      <c r="T5" s="119" t="s">
        <v>94</v>
      </c>
      <c r="U5" s="119" t="s">
        <v>119</v>
      </c>
      <c r="V5" s="119" t="s">
        <v>94</v>
      </c>
    </row>
    <row r="6" spans="1:22" ht="15.75">
      <c r="A6" s="128" t="s">
        <v>57</v>
      </c>
      <c r="M6" s="23"/>
    </row>
    <row r="7" spans="1:22" ht="15.75">
      <c r="A7" s="128" t="s">
        <v>53</v>
      </c>
      <c r="M7" s="23"/>
    </row>
    <row r="8" spans="1:22" ht="15.75">
      <c r="A8" s="128" t="s">
        <v>60</v>
      </c>
      <c r="M8" s="23"/>
    </row>
    <row r="9" spans="1:22" ht="15.75">
      <c r="A9" s="129" t="s">
        <v>61</v>
      </c>
      <c r="M9" s="23"/>
    </row>
    <row r="10" spans="1:22" ht="15.75">
      <c r="A10" s="128" t="s">
        <v>29</v>
      </c>
      <c r="M10" s="23"/>
    </row>
    <row r="11" spans="1:22" ht="15.75">
      <c r="A11" s="128" t="s">
        <v>62</v>
      </c>
      <c r="M11" s="23"/>
    </row>
    <row r="12" spans="1:22" ht="15.75">
      <c r="A12" s="128" t="s">
        <v>22</v>
      </c>
      <c r="M12" s="23"/>
    </row>
    <row r="13" spans="1:22" ht="15.75">
      <c r="A13" s="128" t="s">
        <v>23</v>
      </c>
      <c r="M13" s="23"/>
    </row>
    <row r="14" spans="1:22" ht="15.75">
      <c r="A14" s="128" t="s">
        <v>24</v>
      </c>
      <c r="M14" s="23"/>
    </row>
    <row r="15" spans="1:22" ht="15.75">
      <c r="A15" s="128" t="s">
        <v>63</v>
      </c>
      <c r="M15" s="23"/>
    </row>
    <row r="16" spans="1:22" ht="15.75">
      <c r="A16" s="128" t="s">
        <v>64</v>
      </c>
      <c r="M16" s="23"/>
    </row>
    <row r="17" spans="1:13" ht="15.75">
      <c r="A17" s="128" t="s">
        <v>65</v>
      </c>
      <c r="M17" s="23"/>
    </row>
    <row r="18" spans="1:13" ht="15.75">
      <c r="A18" s="128" t="s">
        <v>25</v>
      </c>
      <c r="M18" s="23"/>
    </row>
    <row r="19" spans="1:13" ht="15.75">
      <c r="A19" s="128" t="s">
        <v>66</v>
      </c>
      <c r="M19" s="23"/>
    </row>
    <row r="20" spans="1:13" ht="15.75">
      <c r="A20" s="128" t="s">
        <v>38</v>
      </c>
      <c r="M20" s="23"/>
    </row>
    <row r="21" spans="1:13" ht="15.75">
      <c r="A21" s="128" t="s">
        <v>26</v>
      </c>
      <c r="M21" s="23"/>
    </row>
    <row r="22" spans="1:13" ht="15.75">
      <c r="A22" s="128" t="s">
        <v>67</v>
      </c>
      <c r="M22" s="23"/>
    </row>
    <row r="23" spans="1:13" ht="15.75">
      <c r="A23" s="128" t="s">
        <v>27</v>
      </c>
      <c r="M23" s="23"/>
    </row>
    <row r="24" spans="1:13" ht="15.75">
      <c r="A24" s="128" t="s">
        <v>55</v>
      </c>
      <c r="M24" s="23"/>
    </row>
    <row r="25" spans="1:13" ht="15.75">
      <c r="A25" s="128" t="s">
        <v>68</v>
      </c>
      <c r="M25" s="23"/>
    </row>
    <row r="26" spans="1:13" ht="15.75">
      <c r="A26" s="128" t="s">
        <v>69</v>
      </c>
      <c r="M26" s="23"/>
    </row>
    <row r="27" spans="1:13" s="25" customFormat="1">
      <c r="A27" s="24" t="s">
        <v>18</v>
      </c>
    </row>
    <row r="28" spans="1:13" s="27" customFormat="1">
      <c r="A28" s="26" t="s">
        <v>19</v>
      </c>
    </row>
    <row r="29" spans="1:13">
      <c r="A29" s="28" t="s">
        <v>11</v>
      </c>
    </row>
    <row r="30" spans="1:13" s="30" customFormat="1">
      <c r="A30" s="29" t="s">
        <v>20</v>
      </c>
    </row>
    <row r="32" spans="1:13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24" sqref="E24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101</v>
      </c>
      <c r="B2" s="49"/>
      <c r="C2" s="75"/>
    </row>
    <row r="3" spans="1:45" ht="17.25" customHeight="1">
      <c r="A3" s="77" t="s">
        <v>103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/>
      <c r="D4" s="110" t="s">
        <v>6</v>
      </c>
      <c r="E4" s="140" t="s">
        <v>121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47" t="s">
        <v>96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15"/>
      <c r="E6" s="108" t="s">
        <v>97</v>
      </c>
    </row>
    <row r="7" spans="1:45" ht="20.25">
      <c r="A7" s="46" t="s">
        <v>53</v>
      </c>
      <c r="C7" s="108"/>
      <c r="E7" s="115" t="s">
        <v>59</v>
      </c>
    </row>
    <row r="8" spans="1:45" ht="20.25">
      <c r="A8" s="46" t="s">
        <v>60</v>
      </c>
      <c r="C8" s="108"/>
      <c r="E8" s="108" t="s">
        <v>97</v>
      </c>
    </row>
    <row r="9" spans="1:45" ht="20.25">
      <c r="A9" s="83" t="s">
        <v>61</v>
      </c>
      <c r="C9" s="115"/>
      <c r="E9" s="115" t="s">
        <v>99</v>
      </c>
    </row>
    <row r="10" spans="1:45" ht="20.25">
      <c r="A10" s="46" t="s">
        <v>29</v>
      </c>
      <c r="C10" s="108"/>
      <c r="E10" s="108" t="s">
        <v>97</v>
      </c>
    </row>
    <row r="11" spans="1:45" ht="20.25">
      <c r="A11" s="46" t="s">
        <v>62</v>
      </c>
      <c r="C11" s="108"/>
      <c r="E11" s="108" t="s">
        <v>97</v>
      </c>
    </row>
    <row r="12" spans="1:45" ht="20.25">
      <c r="A12" s="46" t="s">
        <v>22</v>
      </c>
      <c r="C12" s="108"/>
      <c r="E12" s="115" t="s">
        <v>59</v>
      </c>
    </row>
    <row r="13" spans="1:45" ht="20.25">
      <c r="A13" s="46" t="s">
        <v>23</v>
      </c>
      <c r="C13" s="108"/>
      <c r="E13" s="108" t="s">
        <v>97</v>
      </c>
    </row>
    <row r="14" spans="1:45" ht="20.25">
      <c r="A14" s="46" t="s">
        <v>24</v>
      </c>
      <c r="C14" s="108"/>
      <c r="E14" s="108" t="s">
        <v>97</v>
      </c>
    </row>
    <row r="15" spans="1:45" ht="20.25">
      <c r="A15" s="46" t="s">
        <v>63</v>
      </c>
      <c r="C15" s="108"/>
      <c r="E15" s="108" t="s">
        <v>97</v>
      </c>
    </row>
    <row r="16" spans="1:45" ht="20.25">
      <c r="A16" s="46" t="s">
        <v>64</v>
      </c>
      <c r="C16" s="108"/>
      <c r="E16" s="108" t="s">
        <v>97</v>
      </c>
    </row>
    <row r="17" spans="1:130" ht="20.25">
      <c r="A17" s="46" t="s">
        <v>65</v>
      </c>
      <c r="C17" s="108"/>
      <c r="E17" s="108" t="s">
        <v>97</v>
      </c>
    </row>
    <row r="18" spans="1:130" ht="20.25">
      <c r="A18" s="46" t="s">
        <v>25</v>
      </c>
      <c r="C18" s="115"/>
      <c r="E18" s="108" t="s">
        <v>97</v>
      </c>
    </row>
    <row r="19" spans="1:130" ht="20.25">
      <c r="A19" s="46" t="s">
        <v>66</v>
      </c>
      <c r="C19" s="108"/>
      <c r="E19" s="108" t="s">
        <v>97</v>
      </c>
    </row>
    <row r="20" spans="1:130" ht="20.25">
      <c r="A20" s="46" t="s">
        <v>38</v>
      </c>
      <c r="C20" s="115"/>
      <c r="E20" s="108" t="s">
        <v>97</v>
      </c>
    </row>
    <row r="21" spans="1:130" ht="20.25">
      <c r="A21" s="46" t="s">
        <v>26</v>
      </c>
      <c r="C21" s="115"/>
      <c r="E21" s="108" t="s">
        <v>97</v>
      </c>
    </row>
    <row r="22" spans="1:130" ht="20.25">
      <c r="A22" s="46" t="s">
        <v>67</v>
      </c>
      <c r="C22" s="108"/>
      <c r="E22" s="108" t="s">
        <v>97</v>
      </c>
    </row>
    <row r="23" spans="1:130" ht="20.25">
      <c r="A23" s="46" t="s">
        <v>27</v>
      </c>
      <c r="C23" s="115"/>
      <c r="E23" s="108" t="s">
        <v>97</v>
      </c>
    </row>
    <row r="24" spans="1:130" ht="20.25">
      <c r="A24" s="46" t="s">
        <v>55</v>
      </c>
      <c r="C24" s="108"/>
      <c r="E24" s="115" t="s">
        <v>59</v>
      </c>
    </row>
    <row r="25" spans="1:130" ht="20.25">
      <c r="A25" s="46" t="s">
        <v>68</v>
      </c>
      <c r="C25" s="108"/>
      <c r="E25" s="108" t="s">
        <v>97</v>
      </c>
    </row>
    <row r="26" spans="1:130" ht="20.25">
      <c r="A26" s="46" t="s">
        <v>69</v>
      </c>
      <c r="C26" s="115"/>
      <c r="E26" s="108" t="s">
        <v>97</v>
      </c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17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3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F5" sqref="F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07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08"/>
      <c r="U6" s="7"/>
      <c r="V6" s="7"/>
    </row>
    <row r="7" spans="1:29" ht="18">
      <c r="A7" s="130" t="s">
        <v>53</v>
      </c>
      <c r="C7" s="108"/>
      <c r="U7" s="7"/>
      <c r="V7" s="7"/>
    </row>
    <row r="8" spans="1:29" ht="18">
      <c r="A8" s="130" t="s">
        <v>60</v>
      </c>
      <c r="C8" s="108"/>
      <c r="U8" s="7"/>
      <c r="V8" s="7"/>
    </row>
    <row r="9" spans="1:29" ht="18">
      <c r="A9" s="131" t="s">
        <v>61</v>
      </c>
      <c r="C9" s="115"/>
      <c r="U9" s="7"/>
      <c r="V9" s="7"/>
    </row>
    <row r="10" spans="1:29" ht="18">
      <c r="A10" s="130" t="s">
        <v>29</v>
      </c>
      <c r="C10" s="115"/>
      <c r="U10" s="7"/>
      <c r="V10" s="7"/>
    </row>
    <row r="11" spans="1:29" ht="18">
      <c r="A11" s="130" t="s">
        <v>62</v>
      </c>
      <c r="C11" s="108"/>
      <c r="U11" s="7"/>
      <c r="V11" s="7"/>
    </row>
    <row r="12" spans="1:29" ht="18">
      <c r="A12" s="130" t="s">
        <v>22</v>
      </c>
      <c r="C12" s="108"/>
      <c r="U12" s="7"/>
      <c r="V12" s="7"/>
    </row>
    <row r="13" spans="1:29" ht="18">
      <c r="A13" s="130" t="s">
        <v>23</v>
      </c>
      <c r="C13" s="115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63</v>
      </c>
      <c r="C15" s="115"/>
      <c r="U15" s="7"/>
      <c r="V15" s="7"/>
    </row>
    <row r="16" spans="1:29" ht="18">
      <c r="A16" s="130" t="s">
        <v>64</v>
      </c>
      <c r="C16" s="108"/>
      <c r="U16" s="7"/>
      <c r="V16" s="7"/>
    </row>
    <row r="17" spans="1:123" ht="15" customHeight="1">
      <c r="A17" s="130" t="s">
        <v>65</v>
      </c>
      <c r="C17" s="115"/>
      <c r="T17" s="8"/>
      <c r="U17" s="7"/>
      <c r="V17" s="7"/>
    </row>
    <row r="18" spans="1:123" ht="18">
      <c r="A18" s="130" t="s">
        <v>25</v>
      </c>
      <c r="C18" s="108"/>
      <c r="U18" s="7"/>
      <c r="V18" s="7"/>
    </row>
    <row r="19" spans="1:123" ht="18">
      <c r="A19" s="130" t="s">
        <v>66</v>
      </c>
      <c r="C19" s="108"/>
      <c r="U19" s="7"/>
      <c r="V19" s="7"/>
    </row>
    <row r="20" spans="1:123" ht="18">
      <c r="A20" s="130" t="s">
        <v>38</v>
      </c>
      <c r="C20" s="108"/>
      <c r="U20" s="7"/>
      <c r="V20" s="7"/>
    </row>
    <row r="21" spans="1:123" ht="18">
      <c r="A21" s="130" t="s">
        <v>26</v>
      </c>
      <c r="C21" s="115"/>
      <c r="U21" s="7"/>
      <c r="V21" s="7"/>
    </row>
    <row r="22" spans="1:123" ht="18">
      <c r="A22" s="130" t="s">
        <v>67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55</v>
      </c>
      <c r="C24" s="108"/>
      <c r="U24" s="7"/>
      <c r="V24" s="7"/>
    </row>
    <row r="25" spans="1:123" ht="18">
      <c r="A25" s="130" t="s">
        <v>68</v>
      </c>
      <c r="C25" s="108"/>
      <c r="U25" s="7"/>
      <c r="V25" s="7"/>
    </row>
    <row r="26" spans="1:123" ht="18">
      <c r="A26" s="130" t="s">
        <v>69</v>
      </c>
      <c r="C26" s="115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H21" sqref="H21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7" t="s">
        <v>8</v>
      </c>
      <c r="B1" s="2"/>
    </row>
    <row r="2" spans="1:4">
      <c r="A2" s="77" t="s">
        <v>101</v>
      </c>
      <c r="B2" s="2"/>
    </row>
    <row r="3" spans="1:4" ht="15.75" thickBot="1">
      <c r="A3" s="122" t="s">
        <v>103</v>
      </c>
      <c r="B3" s="2"/>
    </row>
    <row r="4" spans="1:4" ht="78.75" customHeight="1" thickBot="1">
      <c r="A4" s="121" t="s">
        <v>5</v>
      </c>
      <c r="B4" s="112" t="s">
        <v>21</v>
      </c>
      <c r="C4" s="107" t="s">
        <v>122</v>
      </c>
      <c r="D4" s="107" t="s">
        <v>123</v>
      </c>
    </row>
    <row r="5" spans="1:4" s="6" customFormat="1" ht="60.75" customHeight="1">
      <c r="A5" s="123"/>
      <c r="B5" s="112"/>
      <c r="C5" s="114" t="s">
        <v>96</v>
      </c>
      <c r="D5" s="114" t="s">
        <v>96</v>
      </c>
    </row>
    <row r="6" spans="1:4" ht="15.75">
      <c r="A6" s="128" t="s">
        <v>57</v>
      </c>
      <c r="C6" s="108" t="s">
        <v>97</v>
      </c>
      <c r="D6" s="108" t="s">
        <v>97</v>
      </c>
    </row>
    <row r="7" spans="1:4" ht="15.75">
      <c r="A7" s="128" t="s">
        <v>53</v>
      </c>
      <c r="C7" s="115" t="s">
        <v>59</v>
      </c>
      <c r="D7" s="115" t="s">
        <v>59</v>
      </c>
    </row>
    <row r="8" spans="1:4" ht="15.75">
      <c r="A8" s="128" t="s">
        <v>60</v>
      </c>
      <c r="C8" s="108" t="s">
        <v>97</v>
      </c>
      <c r="D8" s="108" t="s">
        <v>97</v>
      </c>
    </row>
    <row r="9" spans="1:4" ht="15.75">
      <c r="A9" s="129" t="s">
        <v>61</v>
      </c>
      <c r="C9" s="108" t="s">
        <v>97</v>
      </c>
      <c r="D9" s="108" t="s">
        <v>97</v>
      </c>
    </row>
    <row r="10" spans="1:4" ht="15.75">
      <c r="A10" s="128" t="s">
        <v>29</v>
      </c>
      <c r="C10" s="108" t="s">
        <v>97</v>
      </c>
      <c r="D10" s="108" t="s">
        <v>97</v>
      </c>
    </row>
    <row r="11" spans="1:4" ht="15.75">
      <c r="A11" s="128" t="s">
        <v>62</v>
      </c>
      <c r="C11" s="108" t="s">
        <v>97</v>
      </c>
      <c r="D11" s="108" t="s">
        <v>97</v>
      </c>
    </row>
    <row r="12" spans="1:4" ht="15.75">
      <c r="A12" s="128" t="s">
        <v>22</v>
      </c>
      <c r="C12" s="115" t="s">
        <v>59</v>
      </c>
      <c r="D12" s="115" t="s">
        <v>59</v>
      </c>
    </row>
    <row r="13" spans="1:4" ht="15.75">
      <c r="A13" s="128" t="s">
        <v>23</v>
      </c>
      <c r="C13" s="108" t="s">
        <v>97</v>
      </c>
      <c r="D13" s="108" t="s">
        <v>97</v>
      </c>
    </row>
    <row r="14" spans="1:4" ht="15.75">
      <c r="A14" s="128" t="s">
        <v>24</v>
      </c>
      <c r="C14" s="108" t="s">
        <v>97</v>
      </c>
      <c r="D14" s="108" t="s">
        <v>97</v>
      </c>
    </row>
    <row r="15" spans="1:4" ht="15.75">
      <c r="A15" s="128" t="s">
        <v>63</v>
      </c>
      <c r="C15" s="108" t="s">
        <v>97</v>
      </c>
      <c r="D15" s="108" t="s">
        <v>97</v>
      </c>
    </row>
    <row r="16" spans="1:4" ht="15.75">
      <c r="A16" s="128" t="s">
        <v>64</v>
      </c>
      <c r="C16" s="108" t="s">
        <v>97</v>
      </c>
      <c r="D16" s="108" t="s">
        <v>97</v>
      </c>
    </row>
    <row r="17" spans="1:4" ht="15.75">
      <c r="A17" s="128" t="s">
        <v>65</v>
      </c>
      <c r="C17" s="108" t="s">
        <v>97</v>
      </c>
      <c r="D17" s="108" t="s">
        <v>97</v>
      </c>
    </row>
    <row r="18" spans="1:4" ht="15.75">
      <c r="A18" s="128" t="s">
        <v>25</v>
      </c>
      <c r="C18" s="108" t="s">
        <v>97</v>
      </c>
      <c r="D18" s="108" t="s">
        <v>97</v>
      </c>
    </row>
    <row r="19" spans="1:4" ht="15.75">
      <c r="A19" s="128" t="s">
        <v>66</v>
      </c>
      <c r="C19" s="108" t="s">
        <v>97</v>
      </c>
      <c r="D19" s="108" t="s">
        <v>97</v>
      </c>
    </row>
    <row r="20" spans="1:4" ht="15.75">
      <c r="A20" s="128" t="s">
        <v>38</v>
      </c>
      <c r="C20" s="108" t="s">
        <v>97</v>
      </c>
      <c r="D20" s="108" t="s">
        <v>97</v>
      </c>
    </row>
    <row r="21" spans="1:4" ht="15.75">
      <c r="A21" s="128" t="s">
        <v>26</v>
      </c>
      <c r="C21" s="108" t="s">
        <v>97</v>
      </c>
      <c r="D21" s="108" t="s">
        <v>97</v>
      </c>
    </row>
    <row r="22" spans="1:4" ht="15.75">
      <c r="A22" s="128" t="s">
        <v>67</v>
      </c>
      <c r="C22" s="108" t="s">
        <v>97</v>
      </c>
      <c r="D22" s="108" t="s">
        <v>97</v>
      </c>
    </row>
    <row r="23" spans="1:4" ht="15.75">
      <c r="A23" s="128" t="s">
        <v>27</v>
      </c>
      <c r="C23" s="108" t="s">
        <v>97</v>
      </c>
      <c r="D23" s="108" t="s">
        <v>97</v>
      </c>
    </row>
    <row r="24" spans="1:4" ht="15.75">
      <c r="A24" s="128" t="s">
        <v>55</v>
      </c>
      <c r="C24" s="115" t="s">
        <v>59</v>
      </c>
      <c r="D24" s="115" t="s">
        <v>59</v>
      </c>
    </row>
    <row r="25" spans="1:4" ht="15.75">
      <c r="A25" s="128" t="s">
        <v>68</v>
      </c>
      <c r="C25" s="108" t="s">
        <v>97</v>
      </c>
      <c r="D25" s="108" t="s">
        <v>97</v>
      </c>
    </row>
    <row r="26" spans="1:4" ht="15.75">
      <c r="A26" s="128" t="s">
        <v>69</v>
      </c>
      <c r="C26" s="108" t="s">
        <v>97</v>
      </c>
      <c r="D26" s="108" t="s">
        <v>97</v>
      </c>
    </row>
    <row r="27" spans="1:4">
      <c r="C27" s="108"/>
      <c r="D27" s="108"/>
    </row>
    <row r="28" spans="1:4" ht="15.75">
      <c r="A28" s="15" t="s">
        <v>18</v>
      </c>
      <c r="B28" s="16">
        <f>COUNTIF(B6:B26,"sim")</f>
        <v>0</v>
      </c>
      <c r="C28" s="104">
        <f t="shared" ref="C28:D28" si="0">COUNTIF(C6:C26,"sim")</f>
        <v>18</v>
      </c>
      <c r="D28" s="104">
        <f t="shared" si="0"/>
        <v>18</v>
      </c>
    </row>
    <row r="29" spans="1:4" ht="15.75">
      <c r="A29" s="17" t="s">
        <v>19</v>
      </c>
      <c r="B29" s="18">
        <f>COUNTIF(B6:B26,"não")</f>
        <v>0</v>
      </c>
      <c r="C29" s="105">
        <f t="shared" ref="C29:D29" si="1">COUNTIF(C6:C26,"não")</f>
        <v>0</v>
      </c>
      <c r="D29" s="105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3</v>
      </c>
      <c r="D30" s="40">
        <f t="shared" si="2"/>
        <v>3</v>
      </c>
    </row>
    <row r="31" spans="1:4" ht="15.75">
      <c r="A31" s="19" t="s">
        <v>20</v>
      </c>
      <c r="B31" s="20">
        <f>COUNTIF(B6:B26,"abstenção")</f>
        <v>0</v>
      </c>
      <c r="C31" s="106">
        <f t="shared" ref="C31:D31" si="3">COUNTIF(C6:C26,"abstenção")</f>
        <v>0</v>
      </c>
      <c r="D31" s="10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101</v>
      </c>
      <c r="B2" s="2"/>
      <c r="C2" s="54"/>
      <c r="D2" s="54"/>
      <c r="E2" s="54"/>
    </row>
    <row r="3" spans="1:9" ht="15.75" thickBot="1">
      <c r="A3" s="122" t="s">
        <v>103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101</v>
      </c>
      <c r="B2" s="2"/>
    </row>
    <row r="3" spans="1:25">
      <c r="A3" s="77" t="s">
        <v>103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2025-04-07T15:46:52Z</dcterms:modified>
</cp:coreProperties>
</file>