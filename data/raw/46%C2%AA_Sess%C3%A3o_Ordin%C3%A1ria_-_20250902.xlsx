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EstaPastaDeTrabalho" defaultThemeVersion="166925"/>
  <mc:AlternateContent xmlns:mc="http://schemas.openxmlformats.org/markup-compatibility/2006">
    <mc:Choice Requires="x15">
      <x15ac:absPath xmlns:x15ac="http://schemas.microsoft.com/office/spreadsheetml/2010/11/ac" url="C:\Users\60086\Desktop\"/>
    </mc:Choice>
  </mc:AlternateContent>
  <xr:revisionPtr revIDLastSave="0" documentId="13_ncr:1_{757BAF27-59EA-4A8B-B320-7317F3C220FC}" xr6:coauthVersionLast="47" xr6:coauthVersionMax="47" xr10:uidLastSave="{00000000-0000-0000-0000-000000000000}"/>
  <bookViews>
    <workbookView xWindow="-120" yWindow="-120" windowWidth="29040" windowHeight="15720" tabRatio="849" activeTab="4" xr2:uid="{00000000-000D-0000-FFFF-FFFF00000000}"/>
  </bookViews>
  <sheets>
    <sheet name="PRESENÇA" sheetId="7" r:id="rId1"/>
    <sheet name="MOÇÃO E REQUERIMENTO" sheetId="14" r:id="rId2"/>
    <sheet name="VETO E SEGUNDA DISCUSSÃO" sheetId="2" r:id="rId3"/>
    <sheet name="PRIMEIRA DISCUSSÃO" sheetId="3" r:id="rId4"/>
    <sheet name="DISCUSSÃO ÚNICA" sheetId="10" r:id="rId5"/>
    <sheet name="RECURSOS- DISCUSSÃO ÚNICA" sheetId="11" r:id="rId6"/>
    <sheet name="DISCUSSÃO ÚNICA – REQUERIMENTOS" sheetId="15" r:id="rId7"/>
  </sheets>
  <externalReferences>
    <externalReference r:id="rId8"/>
  </externalReferences>
  <definedNames>
    <definedName name="_Hlk145497387" localSheetId="1">'MOÇÃO E REQUERIMENTO'!#REF!</definedName>
    <definedName name="_Hlk145938527" localSheetId="1">'MOÇÃO E REQUERIMENTO'!#REF!</definedName>
    <definedName name="_Hlk145938710" localSheetId="1">'MOÇÃO E REQUERIMENTO'!#REF!</definedName>
    <definedName name="_Hlk146533283" localSheetId="3">'VETO E SEGUNDA DISCUSSÃO'!#REF!</definedName>
    <definedName name="_Hlk146700160" localSheetId="1">'MOÇÃO E REQUERIMENTO'!#REF!</definedName>
    <definedName name="_Hlk147314520" localSheetId="1">'MOÇÃO E REQUERIMENTO'!#REF!</definedName>
    <definedName name="_Hlk149048439" localSheetId="1">'MOÇÃO E REQUERIMENTO'!#REF!</definedName>
    <definedName name="_Hlk149048792" localSheetId="1">'MOÇÃO E REQUERIMENTO'!#REF!</definedName>
    <definedName name="_Hlk151544474" localSheetId="3">'VETO E SEGUNDA DISCUSSÃO'!#REF!</definedName>
    <definedName name="_Hlk151978252" localSheetId="1">'MOÇÃO E REQUERIMENTO'!#REF!</definedName>
    <definedName name="_Hlk152581014" localSheetId="1">'MOÇÃO E REQUERIMENTO'!#REF!</definedName>
    <definedName name="_Hlk153803306" localSheetId="1">'MOÇÃO E REQUERIMENTO'!#REF!</definedName>
    <definedName name="_Hlk153969257" localSheetId="2">'VETO E SEGUNDA DISCUSSÃO'!#REF!</definedName>
    <definedName name="_Hlk157507015" localSheetId="1">'MOÇÃO E REQUERIMENTO'!#REF!</definedName>
    <definedName name="_Hlk157507236" localSheetId="1">'MOÇÃO E REQUERIMENTO'!#REF!</definedName>
    <definedName name="_Hlk157520661" localSheetId="1">'MOÇÃO E REQUERIMENTO'!#REF!</definedName>
    <definedName name="_Hlk173748309" localSheetId="1">'MOÇÃO E REQUERIMENTO'!#REF!</definedName>
    <definedName name="_Hlk173849094" localSheetId="1">'MOÇÃO E REQUERIMENTO'!#REF!</definedName>
    <definedName name="_Hlk173849243" localSheetId="1">'MOÇÃO E REQUERIMENTO'!#REF!</definedName>
    <definedName name="_Hlk177548789" localSheetId="1">'MOÇÃO E REQUERIMENTO'!#REF!</definedName>
    <definedName name="_Hlk83042194" localSheetId="3">'VETO E SEGUNDA DISCUSSÃO'!#REF!</definedName>
    <definedName name="VEREADORES">PRESENÇA!$A$6:$A$25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7" i="3" l="1"/>
  <c r="D28" i="3"/>
  <c r="D29" i="3"/>
  <c r="D30" i="3"/>
  <c r="C27" i="3" l="1"/>
  <c r="C28" i="3"/>
  <c r="C29" i="3"/>
  <c r="C30" i="3"/>
  <c r="C28" i="10"/>
  <c r="C29" i="10"/>
  <c r="C30" i="10"/>
  <c r="C31" i="10"/>
  <c r="E27" i="3"/>
  <c r="E28" i="3"/>
  <c r="E29" i="3"/>
  <c r="E30" i="3"/>
  <c r="C27" i="2" l="1"/>
  <c r="C28" i="2"/>
  <c r="C29" i="2"/>
  <c r="C30" i="2"/>
  <c r="E27" i="2"/>
  <c r="E28" i="2"/>
  <c r="E29" i="2"/>
  <c r="E30" i="2"/>
  <c r="A4" i="14"/>
  <c r="J27" i="15" l="1"/>
  <c r="K27" i="15"/>
  <c r="L27" i="15"/>
  <c r="M27" i="15"/>
  <c r="N27" i="15"/>
  <c r="O27" i="15"/>
  <c r="P27" i="15"/>
  <c r="Q27" i="15"/>
  <c r="R27" i="15"/>
  <c r="S27" i="15"/>
  <c r="T27" i="15"/>
  <c r="U27" i="15"/>
  <c r="V27" i="15"/>
  <c r="W27" i="15"/>
  <c r="X27" i="15"/>
  <c r="Y27" i="15"/>
  <c r="J28" i="15"/>
  <c r="K28" i="15"/>
  <c r="L28" i="15"/>
  <c r="M28" i="15"/>
  <c r="N28" i="15"/>
  <c r="O28" i="15"/>
  <c r="P28" i="15"/>
  <c r="Q28" i="15"/>
  <c r="R28" i="15"/>
  <c r="S28" i="15"/>
  <c r="T28" i="15"/>
  <c r="U28" i="15"/>
  <c r="V28" i="15"/>
  <c r="W28" i="15"/>
  <c r="X28" i="15"/>
  <c r="Y28" i="15"/>
  <c r="J29" i="15"/>
  <c r="K29" i="15"/>
  <c r="L29" i="15"/>
  <c r="M29" i="15"/>
  <c r="N29" i="15"/>
  <c r="O29" i="15"/>
  <c r="P29" i="15"/>
  <c r="Q29" i="15"/>
  <c r="R29" i="15"/>
  <c r="S29" i="15"/>
  <c r="T29" i="15"/>
  <c r="U29" i="15"/>
  <c r="V29" i="15"/>
  <c r="W29" i="15"/>
  <c r="X29" i="15"/>
  <c r="Y29" i="15"/>
  <c r="J30" i="15"/>
  <c r="K30" i="15"/>
  <c r="L30" i="15"/>
  <c r="M30" i="15"/>
  <c r="N30" i="15"/>
  <c r="O30" i="15"/>
  <c r="P30" i="15"/>
  <c r="Q30" i="15"/>
  <c r="R30" i="15"/>
  <c r="S30" i="15"/>
  <c r="T30" i="15"/>
  <c r="U30" i="15"/>
  <c r="V30" i="15"/>
  <c r="W30" i="15"/>
  <c r="X30" i="15"/>
  <c r="Y30" i="15"/>
  <c r="H30" i="15"/>
  <c r="I30" i="15"/>
  <c r="H29" i="15"/>
  <c r="I29" i="15"/>
  <c r="H28" i="15"/>
  <c r="I28" i="15"/>
  <c r="H27" i="15"/>
  <c r="I27" i="15"/>
  <c r="G27" i="15" l="1"/>
  <c r="G28" i="15"/>
  <c r="G29" i="15"/>
  <c r="G30" i="15"/>
  <c r="B28" i="10" l="1"/>
  <c r="B29" i="10"/>
  <c r="B30" i="10"/>
  <c r="B31" i="10"/>
  <c r="I28" i="11" l="1"/>
  <c r="I29" i="11"/>
  <c r="I30" i="11"/>
  <c r="I31" i="11"/>
  <c r="B27" i="3" l="1"/>
  <c r="B28" i="3"/>
  <c r="B29" i="3"/>
  <c r="B30" i="3"/>
  <c r="F27" i="15" l="1"/>
  <c r="F28" i="15"/>
  <c r="F29" i="15"/>
  <c r="F30" i="15"/>
  <c r="D27" i="15" l="1"/>
  <c r="E27" i="15"/>
  <c r="D28" i="15"/>
  <c r="E28" i="15"/>
  <c r="D29" i="15"/>
  <c r="E29" i="15"/>
  <c r="D30" i="15"/>
  <c r="E30" i="15"/>
  <c r="C27" i="15"/>
  <c r="C28" i="15"/>
  <c r="C29" i="15"/>
  <c r="C30" i="15"/>
  <c r="B30" i="15"/>
  <c r="B29" i="15"/>
  <c r="B28" i="15"/>
  <c r="B27" i="15"/>
  <c r="D28" i="11"/>
  <c r="E28" i="11"/>
  <c r="F28" i="11"/>
  <c r="G28" i="11"/>
  <c r="H28" i="11"/>
  <c r="D29" i="11"/>
  <c r="E29" i="11"/>
  <c r="F29" i="11"/>
  <c r="G29" i="11"/>
  <c r="H29" i="11"/>
  <c r="D30" i="11"/>
  <c r="E30" i="11"/>
  <c r="F30" i="11"/>
  <c r="G30" i="11"/>
  <c r="H30" i="11"/>
  <c r="D31" i="11"/>
  <c r="E31" i="11"/>
  <c r="F31" i="11"/>
  <c r="G31" i="11"/>
  <c r="H31" i="11"/>
  <c r="C31" i="11"/>
  <c r="C30" i="11"/>
  <c r="C29" i="11"/>
  <c r="C28" i="11"/>
  <c r="DU27" i="3" l="1"/>
  <c r="DU28" i="3" s="1"/>
  <c r="DU29" i="3" s="1"/>
  <c r="DU30" i="3" s="1"/>
  <c r="DT27" i="3"/>
  <c r="DT28" i="3" s="1"/>
  <c r="DT29" i="3" s="1"/>
  <c r="DT30" i="3" s="1"/>
  <c r="DS27" i="3"/>
  <c r="DS28" i="3" s="1"/>
  <c r="DR27" i="3"/>
  <c r="DQ27" i="3"/>
  <c r="DQ28" i="3" s="1"/>
  <c r="DQ29" i="3" s="1"/>
  <c r="DQ30" i="3" s="1"/>
  <c r="DP27" i="3"/>
  <c r="DP28" i="3" s="1"/>
  <c r="DP29" i="3" s="1"/>
  <c r="DP30" i="3" s="1"/>
  <c r="DO27" i="3"/>
  <c r="DO28" i="3" s="1"/>
  <c r="DO29" i="3" s="1"/>
  <c r="DO30" i="3" s="1"/>
  <c r="DN27" i="3"/>
  <c r="DM27" i="3"/>
  <c r="DM28" i="3" s="1"/>
  <c r="DL27" i="3"/>
  <c r="DL28" i="3" s="1"/>
  <c r="DK27" i="3"/>
  <c r="DK28" i="3" s="1"/>
  <c r="DJ27" i="3"/>
  <c r="DJ28" i="3" s="1"/>
  <c r="DI27" i="3"/>
  <c r="DI28" i="3" s="1"/>
  <c r="DI29" i="3" s="1"/>
  <c r="DH27" i="3"/>
  <c r="DH28" i="3" s="1"/>
  <c r="DH29" i="3" s="1"/>
  <c r="DH30" i="3" s="1"/>
  <c r="DG27" i="3"/>
  <c r="DG28" i="3" s="1"/>
  <c r="DF27" i="3"/>
  <c r="DF28" i="3" s="1"/>
  <c r="DE27" i="3"/>
  <c r="DE28" i="3" s="1"/>
  <c r="DE29" i="3" s="1"/>
  <c r="DD27" i="3"/>
  <c r="DD28" i="3" s="1"/>
  <c r="DC27" i="3"/>
  <c r="DC28" i="3" s="1"/>
  <c r="DC29" i="3" s="1"/>
  <c r="DB27" i="3"/>
  <c r="DB28" i="3" s="1"/>
  <c r="DB29" i="3" s="1"/>
  <c r="DB30" i="3" s="1"/>
  <c r="DA27" i="3"/>
  <c r="DA28" i="3" s="1"/>
  <c r="CZ27" i="3"/>
  <c r="CZ28" i="3" s="1"/>
  <c r="CZ29" i="3" s="1"/>
  <c r="CZ30" i="3" s="1"/>
  <c r="CY27" i="3"/>
  <c r="CY28" i="3" s="1"/>
  <c r="CX27" i="3"/>
  <c r="CW27" i="3"/>
  <c r="CW28" i="3" s="1"/>
  <c r="CW29" i="3" s="1"/>
  <c r="CV27" i="3"/>
  <c r="CV28" i="3" s="1"/>
  <c r="CU27" i="3"/>
  <c r="CU28" i="3" s="1"/>
  <c r="CU29" i="3" s="1"/>
  <c r="CU30" i="3" s="1"/>
  <c r="CT27" i="3"/>
  <c r="CT28" i="3" s="1"/>
  <c r="CT29" i="3" s="1"/>
  <c r="CT30" i="3" s="1"/>
  <c r="CS27" i="3"/>
  <c r="CS28" i="3" s="1"/>
  <c r="CR27" i="3"/>
  <c r="CR28" i="3" s="1"/>
  <c r="CR29" i="3" s="1"/>
  <c r="CR30" i="3" s="1"/>
  <c r="CQ27" i="3"/>
  <c r="CQ28" i="3" s="1"/>
  <c r="CP27" i="3"/>
  <c r="CP28" i="3" s="1"/>
  <c r="CO27" i="3"/>
  <c r="CO28" i="3" s="1"/>
  <c r="CO29" i="3" s="1"/>
  <c r="CO30" i="3" s="1"/>
  <c r="CN27" i="3"/>
  <c r="CN28" i="3" s="1"/>
  <c r="CM27" i="3"/>
  <c r="CM28" i="3" s="1"/>
  <c r="CM29" i="3" s="1"/>
  <c r="CL27" i="3"/>
  <c r="CL28" i="3" s="1"/>
  <c r="CK27" i="3"/>
  <c r="CK28" i="3" s="1"/>
  <c r="CJ27" i="3"/>
  <c r="CJ28" i="3" s="1"/>
  <c r="CJ29" i="3" s="1"/>
  <c r="CJ30" i="3" s="1"/>
  <c r="CI27" i="3"/>
  <c r="CI28" i="3" s="1"/>
  <c r="CH27" i="3"/>
  <c r="CH28" i="3" s="1"/>
  <c r="CG27" i="3"/>
  <c r="CF27" i="3"/>
  <c r="CF28" i="3" s="1"/>
  <c r="CE27" i="3"/>
  <c r="CE28" i="3" s="1"/>
  <c r="CE29" i="3" s="1"/>
  <c r="CE30" i="3" s="1"/>
  <c r="CD27" i="3"/>
  <c r="CC27" i="3"/>
  <c r="CC28" i="3" s="1"/>
  <c r="CB27" i="3"/>
  <c r="CB28" i="3" s="1"/>
  <c r="CB29" i="3" s="1"/>
  <c r="CB30" i="3" s="1"/>
  <c r="CA27" i="3"/>
  <c r="CA28" i="3" s="1"/>
  <c r="BZ27" i="3"/>
  <c r="BZ28" i="3" s="1"/>
  <c r="BZ29" i="3" s="1"/>
  <c r="BY27" i="3"/>
  <c r="BY28" i="3" s="1"/>
  <c r="BY29" i="3" s="1"/>
  <c r="BX27" i="3"/>
  <c r="BX28" i="3" s="1"/>
  <c r="BW27" i="3"/>
  <c r="BW28" i="3" s="1"/>
  <c r="BV27" i="3"/>
  <c r="BV28" i="3" s="1"/>
  <c r="BU27" i="3"/>
  <c r="BU28" i="3" s="1"/>
  <c r="BT27" i="3"/>
  <c r="BT28" i="3" s="1"/>
  <c r="BT29" i="3" s="1"/>
  <c r="BT30" i="3" s="1"/>
  <c r="BS27" i="3"/>
  <c r="BS28" i="3" s="1"/>
  <c r="BR27" i="3"/>
  <c r="BR28" i="3" s="1"/>
  <c r="BQ27" i="3"/>
  <c r="BQ28" i="3" s="1"/>
  <c r="BP27" i="3"/>
  <c r="BP28" i="3" s="1"/>
  <c r="BO27" i="3"/>
  <c r="BO28" i="3" s="1"/>
  <c r="BO29" i="3" s="1"/>
  <c r="BN27" i="3"/>
  <c r="BM27" i="3"/>
  <c r="BM28" i="3" s="1"/>
  <c r="BM29" i="3" s="1"/>
  <c r="BL27" i="3"/>
  <c r="BL28" i="3" s="1"/>
  <c r="BL29" i="3" s="1"/>
  <c r="BL30" i="3" s="1"/>
  <c r="BK27" i="3"/>
  <c r="BK28" i="3" s="1"/>
  <c r="BJ27" i="3"/>
  <c r="BJ28" i="3" s="1"/>
  <c r="BI27" i="3"/>
  <c r="BI28" i="3" s="1"/>
  <c r="BI29" i="3" s="1"/>
  <c r="BI30" i="3" s="1"/>
  <c r="BH27" i="3"/>
  <c r="BH28" i="3" s="1"/>
  <c r="BG27" i="3"/>
  <c r="BG28" i="3" s="1"/>
  <c r="BG29" i="3" s="1"/>
  <c r="BG30" i="3" s="1"/>
  <c r="BF27" i="3"/>
  <c r="BF28" i="3" s="1"/>
  <c r="BF29" i="3" s="1"/>
  <c r="BF30" i="3" s="1"/>
  <c r="BE27" i="3"/>
  <c r="BE28" i="3" s="1"/>
  <c r="BE29" i="3" s="1"/>
  <c r="BE30" i="3" s="1"/>
  <c r="BD27" i="3"/>
  <c r="BD28" i="3" s="1"/>
  <c r="BC27" i="3"/>
  <c r="BC28" i="3" s="1"/>
  <c r="BB27" i="3"/>
  <c r="BB28" i="3" s="1"/>
  <c r="BB29" i="3" s="1"/>
  <c r="BA27" i="3"/>
  <c r="BA28" i="3" s="1"/>
  <c r="BA29" i="3" s="1"/>
  <c r="AZ27" i="3"/>
  <c r="AZ28" i="3" s="1"/>
  <c r="AZ29" i="3" s="1"/>
  <c r="AZ30" i="3" s="1"/>
  <c r="AY27" i="3"/>
  <c r="AY28" i="3" s="1"/>
  <c r="AX27" i="3"/>
  <c r="AX28" i="3" s="1"/>
  <c r="AX29" i="3" s="1"/>
  <c r="AX30" i="3" s="1"/>
  <c r="AW27" i="3"/>
  <c r="AW28" i="3" s="1"/>
  <c r="AV27" i="3"/>
  <c r="AV28" i="3" s="1"/>
  <c r="AV29" i="3" s="1"/>
  <c r="AV30" i="3" s="1"/>
  <c r="AU27" i="3"/>
  <c r="AU28" i="3" s="1"/>
  <c r="AT27" i="3"/>
  <c r="AT28" i="3" s="1"/>
  <c r="AS27" i="3"/>
  <c r="AS28" i="3" s="1"/>
  <c r="AR27" i="3"/>
  <c r="AR28" i="3" s="1"/>
  <c r="AQ27" i="3"/>
  <c r="AQ28" i="3" s="1"/>
  <c r="AQ29" i="3" s="1"/>
  <c r="AQ30" i="3" s="1"/>
  <c r="AP27" i="3"/>
  <c r="AP28" i="3" s="1"/>
  <c r="AP29" i="3" s="1"/>
  <c r="AO27" i="3"/>
  <c r="AO28" i="3" s="1"/>
  <c r="AO29" i="3" s="1"/>
  <c r="AO30" i="3" s="1"/>
  <c r="AN27" i="3"/>
  <c r="AN28" i="3" s="1"/>
  <c r="AM27" i="3"/>
  <c r="AM28" i="3" s="1"/>
  <c r="AL27" i="3"/>
  <c r="AL28" i="3" s="1"/>
  <c r="AK27" i="3"/>
  <c r="AK28" i="3" s="1"/>
  <c r="AK29" i="3" s="1"/>
  <c r="AJ27" i="3"/>
  <c r="AJ28" i="3" s="1"/>
  <c r="AJ29" i="3" s="1"/>
  <c r="AI27" i="3"/>
  <c r="AI28" i="3" s="1"/>
  <c r="AI29" i="3" s="1"/>
  <c r="AH27" i="3"/>
  <c r="AG27" i="3"/>
  <c r="AG28" i="3" s="1"/>
  <c r="AG29" i="3" s="1"/>
  <c r="AG30" i="3" s="1"/>
  <c r="AF27" i="3"/>
  <c r="AF28" i="3" s="1"/>
  <c r="AE27" i="3"/>
  <c r="AE28" i="3" s="1"/>
  <c r="AE29" i="3" s="1"/>
  <c r="AE30" i="3" s="1"/>
  <c r="AD27" i="3"/>
  <c r="AD28" i="3" s="1"/>
  <c r="AD29" i="3" s="1"/>
  <c r="AC27" i="3"/>
  <c r="AC28" i="3" s="1"/>
  <c r="AB27" i="3"/>
  <c r="AB28" i="3" s="1"/>
  <c r="AA27" i="3"/>
  <c r="AA28" i="3" s="1"/>
  <c r="Z27" i="3"/>
  <c r="Z28" i="3" s="1"/>
  <c r="Z29" i="3" s="1"/>
  <c r="Z30" i="3" s="1"/>
  <c r="Y27" i="3"/>
  <c r="Y28" i="3" s="1"/>
  <c r="Y29" i="3" s="1"/>
  <c r="Y30" i="3" s="1"/>
  <c r="X27" i="3"/>
  <c r="X28" i="3" s="1"/>
  <c r="W27" i="3"/>
  <c r="V27" i="3"/>
  <c r="U27" i="3"/>
  <c r="U28" i="3" s="1"/>
  <c r="U29" i="3" s="1"/>
  <c r="T27" i="3"/>
  <c r="T28" i="3" s="1"/>
  <c r="S27" i="3"/>
  <c r="S28" i="3" s="1"/>
  <c r="S29" i="3" s="1"/>
  <c r="S30" i="3" s="1"/>
  <c r="R27" i="3"/>
  <c r="R28" i="3" s="1"/>
  <c r="Q27" i="3"/>
  <c r="Q28" i="3" s="1"/>
  <c r="Q29" i="3" s="1"/>
  <c r="Q30" i="3" s="1"/>
  <c r="P27" i="3"/>
  <c r="P28" i="3" s="1"/>
  <c r="O27" i="3"/>
  <c r="O28" i="3" s="1"/>
  <c r="O29" i="3" s="1"/>
  <c r="O30" i="3" s="1"/>
  <c r="N27" i="3"/>
  <c r="N28" i="3" s="1"/>
  <c r="M27" i="3"/>
  <c r="M28" i="3" s="1"/>
  <c r="M29" i="3" s="1"/>
  <c r="M30" i="3" s="1"/>
  <c r="L27" i="3"/>
  <c r="L28" i="3" s="1"/>
  <c r="DD29" i="3" l="1"/>
  <c r="DD30" i="3" s="1"/>
  <c r="BX29" i="3"/>
  <c r="BX30" i="3" s="1"/>
  <c r="CN29" i="3"/>
  <c r="CN30" i="3" s="1"/>
  <c r="AR29" i="3"/>
  <c r="AR30" i="3" s="1"/>
  <c r="CY29" i="3"/>
  <c r="CY30" i="3" s="1"/>
  <c r="BP29" i="3"/>
  <c r="BP30" i="3" s="1"/>
  <c r="BS29" i="3"/>
  <c r="BS30" i="3" s="1"/>
  <c r="BH29" i="3"/>
  <c r="BH30" i="3" s="1"/>
  <c r="CA29" i="3"/>
  <c r="CA30" i="3" s="1"/>
  <c r="T29" i="3"/>
  <c r="T30" i="3" s="1"/>
  <c r="AC29" i="3"/>
  <c r="AC30" i="3" s="1"/>
  <c r="BU29" i="3"/>
  <c r="BU30" i="3" s="1"/>
  <c r="AS29" i="3"/>
  <c r="AS30" i="3" s="1"/>
  <c r="CQ29" i="3"/>
  <c r="CQ30" i="3" s="1"/>
  <c r="CX28" i="3"/>
  <c r="CX29" i="3" s="1"/>
  <c r="CX30" i="3" s="1"/>
  <c r="DR28" i="3"/>
  <c r="DR29" i="3" s="1"/>
  <c r="DR30" i="3" s="1"/>
  <c r="CI29" i="3"/>
  <c r="CI30" i="3" s="1"/>
  <c r="AH28" i="3"/>
  <c r="AH29" i="3" s="1"/>
  <c r="AH30" i="3" s="1"/>
  <c r="CD28" i="3"/>
  <c r="CD29" i="3" s="1"/>
  <c r="CD30" i="3" s="1"/>
  <c r="CH29" i="3"/>
  <c r="CH30" i="3" s="1"/>
  <c r="AA29" i="3"/>
  <c r="AA30" i="3" s="1"/>
  <c r="AL29" i="3"/>
  <c r="AL30" i="3" s="1"/>
  <c r="BN28" i="3"/>
  <c r="BN29" i="3" s="1"/>
  <c r="BN30" i="3" s="1"/>
  <c r="DN28" i="3"/>
  <c r="DN29" i="3" s="1"/>
  <c r="DN30" i="3" s="1"/>
  <c r="BJ29" i="3"/>
  <c r="BJ30" i="3" s="1"/>
  <c r="BQ29" i="3"/>
  <c r="BQ30" i="3" s="1"/>
  <c r="AI30" i="3"/>
  <c r="CW30" i="3"/>
  <c r="DG29" i="3"/>
  <c r="DG30" i="3" s="1"/>
  <c r="W28" i="3"/>
  <c r="W29" i="3" s="1"/>
  <c r="W30" i="3" s="1"/>
  <c r="AT29" i="3"/>
  <c r="AT30" i="3" s="1"/>
  <c r="CG28" i="3"/>
  <c r="CG29" i="3" s="1"/>
  <c r="CG30" i="3" s="1"/>
  <c r="N29" i="3"/>
  <c r="N30" i="3" s="1"/>
  <c r="R29" i="3"/>
  <c r="R30" i="3" s="1"/>
  <c r="DF29" i="3"/>
  <c r="DF30" i="3" s="1"/>
  <c r="DJ29" i="3"/>
  <c r="DJ30" i="3" s="1"/>
  <c r="L29" i="3"/>
  <c r="L30" i="3" s="1"/>
  <c r="DA29" i="3"/>
  <c r="DA30" i="3" s="1"/>
  <c r="DL29" i="3"/>
  <c r="DL30" i="3" s="1"/>
  <c r="BW29" i="3"/>
  <c r="BW30" i="3" s="1"/>
  <c r="CK29" i="3"/>
  <c r="CK30" i="3" s="1"/>
  <c r="CC29" i="3"/>
  <c r="CC30" i="3" s="1"/>
  <c r="U30" i="3"/>
  <c r="DM29" i="3"/>
  <c r="DM30" i="3" s="1"/>
  <c r="AP30" i="3"/>
  <c r="DC30" i="3"/>
  <c r="CV29" i="3"/>
  <c r="CV30" i="3" s="1"/>
  <c r="CF29" i="3"/>
  <c r="CF30" i="3" s="1"/>
  <c r="AB29" i="3"/>
  <c r="AB30" i="3" s="1"/>
  <c r="CS29" i="3"/>
  <c r="CS30" i="3" s="1"/>
  <c r="V28" i="3"/>
  <c r="V29" i="3" s="1"/>
  <c r="V30" i="3" s="1"/>
  <c r="DE30" i="3"/>
  <c r="AM29" i="3"/>
  <c r="AM30" i="3" s="1"/>
  <c r="AD30" i="3"/>
  <c r="AJ30" i="3"/>
  <c r="BK29" i="3"/>
  <c r="BK30" i="3" s="1"/>
  <c r="AK30" i="3"/>
  <c r="BV29" i="3"/>
  <c r="BV30" i="3" s="1"/>
  <c r="CP29" i="3"/>
  <c r="CP30" i="3" s="1"/>
  <c r="BB30" i="3"/>
  <c r="BA30" i="3"/>
  <c r="BO30" i="3"/>
  <c r="CM30" i="3"/>
  <c r="X29" i="3"/>
  <c r="X30" i="3" s="1"/>
  <c r="BR29" i="3"/>
  <c r="BR30" i="3" s="1"/>
  <c r="AU29" i="3"/>
  <c r="AU30" i="3" s="1"/>
  <c r="CL29" i="3"/>
  <c r="CL30" i="3" s="1"/>
  <c r="BM30" i="3"/>
  <c r="AF29" i="3"/>
  <c r="AF30" i="3" s="1"/>
  <c r="BC29" i="3"/>
  <c r="BC30" i="3" s="1"/>
  <c r="DS29" i="3"/>
  <c r="DS30" i="3" s="1"/>
  <c r="DK29" i="3"/>
  <c r="DK30" i="3" s="1"/>
  <c r="DI30" i="3"/>
  <c r="P29" i="3"/>
  <c r="P30" i="3" s="1"/>
  <c r="AW29" i="3"/>
  <c r="AW30" i="3" s="1"/>
  <c r="BZ30" i="3"/>
  <c r="BY30" i="3"/>
  <c r="AN29" i="3"/>
  <c r="AN30" i="3" s="1"/>
  <c r="AY29" i="3"/>
  <c r="AY30" i="3" s="1"/>
  <c r="BD29" i="3"/>
  <c r="BD30" i="3" s="1"/>
</calcChain>
</file>

<file path=xl/sharedStrings.xml><?xml version="1.0" encoding="utf-8"?>
<sst xmlns="http://schemas.openxmlformats.org/spreadsheetml/2006/main" count="458" uniqueCount="133">
  <si>
    <t>As informações registradas são aquelas disponíveis até o final das Sessões.</t>
  </si>
  <si>
    <t>Votação é o ato complementar da discussão, por meio do qual o Plenário manifesta sua vontade deliberativa. Considera-se qualquer matéria em fase de votação a partir do momento em que o Presidente declara encerrada a discussão. São dois os processos de votação: simbólica e nominal.</t>
  </si>
  <si>
    <t>1 – Simbólica: Quando não há registro individual de votos. O Presidente da sessão pede aos parlamentares favoráveis à matéria que permaneçam como se encontram, cabendo aos contrários manifestarem-se.</t>
  </si>
  <si>
    <t>2 – Nominal: Quando há consignação expressa do nome e voto de cada Vereador, por meio de chamada ou por processo eletrônico.</t>
  </si>
  <si>
    <t>O Vereador presente poderá votar a favor, contra ou abster-se. O registro de voto é de responsabilidade do Vereador, ao qual se reconhece a utilização dos meios democráticos de manifestação, oposição e obstrução, segundo suas convicções pessoais e posições político-partidárias, especialmente quando integrante das minorias.</t>
  </si>
  <si>
    <t>ORDEM DO DIA</t>
  </si>
  <si>
    <t xml:space="preserve"> SEGUNDA  DISCUSSÃO</t>
  </si>
  <si>
    <t>PRIMEIRA  DISCUSSÃO</t>
  </si>
  <si>
    <t>CÂMARA MUNICIPAL DE OSASCO</t>
  </si>
  <si>
    <t>verificação de quorum</t>
  </si>
  <si>
    <t>PRESENTE</t>
  </si>
  <si>
    <t>AUSENTE</t>
  </si>
  <si>
    <t>NA_PRESIDÊNCIA</t>
  </si>
  <si>
    <t>TOTAL DE PRESENTES</t>
  </si>
  <si>
    <t>TOTAL DE AUSENTES</t>
  </si>
  <si>
    <t>Presidência registra presença após a primeira chamada dos seguintes vereadores:</t>
  </si>
  <si>
    <t>maioria qualificada 2/3 - são 14 votos, o Presidente vota</t>
  </si>
  <si>
    <t>maioria simples  11 votos, vota no caso de empate</t>
  </si>
  <si>
    <t>SIM</t>
  </si>
  <si>
    <t>NÃO</t>
  </si>
  <si>
    <t>ABSTENÇÃO</t>
  </si>
  <si>
    <t xml:space="preserve"> DISCUSSÃO ÚNICA</t>
  </si>
  <si>
    <t>Elsa Oliveira</t>
  </si>
  <si>
    <t>Emerson Osasco</t>
  </si>
  <si>
    <t>Fábio Chirinhan</t>
  </si>
  <si>
    <t>Josias da Juco</t>
  </si>
  <si>
    <t>Paulo Junior</t>
  </si>
  <si>
    <t>MOÇÕES</t>
  </si>
  <si>
    <t xml:space="preserve">Délbio Teruel </t>
  </si>
  <si>
    <t>PRESENÇA DOS VEREADORES</t>
  </si>
  <si>
    <t xml:space="preserve"> chamada - abertura da ORDEM DO DIA</t>
  </si>
  <si>
    <t xml:space="preserve"> VETOS                (DISCUSSÃO ÚNICA)</t>
  </si>
  <si>
    <t>DISCUSSÃO ÚNICA  (RECURSOS)</t>
  </si>
  <si>
    <t xml:space="preserve"> DISCUSSÃO ÚNICA (REQUERIMENTOS)</t>
  </si>
  <si>
    <t>REQUERIMENTOS</t>
  </si>
  <si>
    <t xml:space="preserve"> Vereadores presentes após a chamada da ordem do dia da sessão</t>
  </si>
  <si>
    <t xml:space="preserve"> Vereadores presentes após a chamada abertura da sessão</t>
  </si>
  <si>
    <t>EXEMPLO: Com 14 votos favoráveis. &gt;&gt; sim, não, ausente, na presidência.</t>
  </si>
  <si>
    <t>1. REQUERIMENTO Nº 87/2017 – FRANCISCA JENILÚCIA RIBEIRO DE ANDRADE – Solicita informações se há algum projeto de plano de carreira para os auxiliares e técnicos de enfermagem no Município.</t>
  </si>
  <si>
    <r>
      <rPr>
        <b/>
        <sz val="10"/>
        <color theme="1"/>
        <rFont val="Arial"/>
        <family val="2"/>
      </rPr>
      <t>2. RECURSO DE AUTORIA DO VEREADOR RALFI SILVA N.º 121/2018 AO PL N.º 241/2017</t>
    </r>
    <r>
      <rPr>
        <sz val="10"/>
        <color theme="1"/>
        <rFont val="Arial"/>
        <family val="2"/>
      </rPr>
      <t>, que dispõe sobre divulgação da demanda atendida e lista de espera por vagas nos Centros de Educação Infantil (CEI) e creches municipais da Cidade de Osasco, em face do parecer contrário da Comissão de Constituição e Justiça - CCJ n.º 151/2018.</t>
    </r>
  </si>
  <si>
    <r>
      <rPr>
        <b/>
        <sz val="10"/>
        <color theme="1"/>
        <rFont val="Arial"/>
        <family val="2"/>
      </rPr>
      <t>1.      RECURSO DE AUTORIA DA VEREADORA LÚCIA DA SAÚDE N.º 119/2018 AO PL N.º 238/2017</t>
    </r>
    <r>
      <rPr>
        <sz val="10"/>
        <color theme="1"/>
        <rFont val="Arial"/>
        <family val="2"/>
      </rPr>
      <t xml:space="preserve">, que dispõe sobre a publicação eletrônica da lista de espera para vagas nas Creches e Escolas da Educação Infantil do Município de Osasco, </t>
    </r>
    <r>
      <rPr>
        <b/>
        <sz val="10"/>
        <color theme="1"/>
        <rFont val="Arial"/>
        <family val="2"/>
      </rPr>
      <t>em</t>
    </r>
    <r>
      <rPr>
        <sz val="10"/>
        <color theme="1"/>
        <rFont val="Arial"/>
        <family val="2"/>
      </rPr>
      <t xml:space="preserve"> </t>
    </r>
    <r>
      <rPr>
        <b/>
        <sz val="10"/>
        <color theme="1"/>
        <rFont val="Arial"/>
        <family val="2"/>
      </rPr>
      <t>face do parecer contrário da Comissão de Constituição e Justiça - CCJ de n.º</t>
    </r>
    <r>
      <rPr>
        <sz val="10"/>
        <color theme="1"/>
        <rFont val="Arial"/>
        <family val="2"/>
      </rPr>
      <t xml:space="preserve"> </t>
    </r>
    <r>
      <rPr>
        <b/>
        <sz val="10"/>
        <color theme="1"/>
        <rFont val="Arial"/>
        <family val="2"/>
      </rPr>
      <t>150/2018.</t>
    </r>
  </si>
  <si>
    <r>
      <rPr>
        <b/>
        <sz val="10"/>
        <color theme="1"/>
        <rFont val="Arial"/>
        <family val="2"/>
      </rPr>
      <t>3. RECURSO DE AUTORIA DO VEREADOR RALFI SILVA AO PL N.º 34/2019</t>
    </r>
    <r>
      <rPr>
        <sz val="10"/>
        <color theme="1"/>
        <rFont val="Arial"/>
        <family val="2"/>
      </rPr>
      <t>, que autoriza o Poder Executivo Municipal, a implantar o Programa Corujão da Saúde no âmbito do Município de Osasco em face do parecer contrário da Comissão de Constituição e Justiça - CCJ de n.º 280/2019.</t>
    </r>
  </si>
  <si>
    <r>
      <rPr>
        <b/>
        <sz val="10"/>
        <color theme="1"/>
        <rFont val="Arial"/>
        <family val="2"/>
      </rPr>
      <t>4. RECURSO DE AUTORIA DO VEREADOR RALFI SILVA AO PL N.º 34/2020</t>
    </r>
    <r>
      <rPr>
        <sz val="10"/>
        <color theme="1"/>
        <rFont val="Arial"/>
        <family val="2"/>
      </rPr>
      <t>, que autoriza a contratação de Hospitais e Clínicas Particulares visando o tratamento da Corona Vírus (Covid 19) em face do parecer contrário da Comissão de Constituição e Justiça - CCJ de n.º 38/2021.</t>
    </r>
  </si>
  <si>
    <r>
      <rPr>
        <b/>
        <sz val="10"/>
        <color theme="1"/>
        <rFont val="Arial"/>
        <family val="2"/>
      </rPr>
      <t>5. RECURSO DE AUTORIA DO VEREADOR RALFI SILVA AO PL N.º 18/2020</t>
    </r>
    <r>
      <rPr>
        <sz val="10"/>
        <color theme="1"/>
        <rFont val="Arial"/>
        <family val="2"/>
      </rPr>
      <t>, que cria a Câmara de Conciliação para reposição de bens móveis e serviços de manutenção nas propriedades sofridas por enchentes, no âmbito do município de Osasco, em face do parecer contrário da Comissão de Constituição e Justiça - CCJ de n.º 39/2021.</t>
    </r>
  </si>
  <si>
    <r>
      <rPr>
        <b/>
        <sz val="10"/>
        <color theme="1"/>
        <rFont val="Arial"/>
        <family val="2"/>
      </rPr>
      <t>6. RECURSO DE AUTORIA DO VEREADOR RALFI SILVA AO PL N.º 77/2020</t>
    </r>
    <r>
      <rPr>
        <sz val="10"/>
        <color theme="1"/>
        <rFont val="Arial"/>
        <family val="2"/>
      </rPr>
      <t>, que dispõe sobre a concessão de auxílio emergencial aos prestadores de serviço de transporte escolar, público e privado, em virtude dos impactos sociais e econômicos da pandemia de COVID19, em face do parecer contrário da Comissão de Constituição e Justiça - CCJ de n.º 44/2021.</t>
    </r>
  </si>
  <si>
    <t xml:space="preserve">EXEMPLOS: vereador ausente pautado na próxima sessão; aprovado; rejeitado; </t>
  </si>
  <si>
    <t>Vereador Ausente. Pautar na próxima sessão</t>
  </si>
  <si>
    <t xml:space="preserve"> chamada - REABERTURA DA ORDEM DO DIA</t>
  </si>
  <si>
    <t>PROPOSITURAS LIDAS</t>
  </si>
  <si>
    <t>Presentes</t>
  </si>
  <si>
    <t>Ausentes</t>
  </si>
  <si>
    <t>Intervalo</t>
  </si>
  <si>
    <t>Rodrigo Gansinho</t>
  </si>
  <si>
    <t xml:space="preserve"> chamada - ABERTURA DO EXPEDIENTE</t>
  </si>
  <si>
    <t>Alexandre Capriotti</t>
  </si>
  <si>
    <t>presente</t>
  </si>
  <si>
    <t>ausente</t>
  </si>
  <si>
    <t>Cantor Goleiro</t>
  </si>
  <si>
    <t xml:space="preserve">Carmônio Bastos - Presidente </t>
  </si>
  <si>
    <t>Elania Silva</t>
  </si>
  <si>
    <t>Gabriel Saúde</t>
  </si>
  <si>
    <t>Guilherme Prado</t>
  </si>
  <si>
    <t>Heber do JuntOZ</t>
  </si>
  <si>
    <t>Laércio Mendonça</t>
  </si>
  <si>
    <t>Pedrinho Cantagessi</t>
  </si>
  <si>
    <t>Stephane Rossi</t>
  </si>
  <si>
    <r>
      <rPr>
        <b/>
        <sz val="10"/>
        <color theme="1"/>
        <rFont val="Arial"/>
        <family val="2"/>
      </rPr>
      <t>7. RECURSO DE AUTORIA DA VEREADOR DELBIO TERUEL AO PL N.º 44/2022</t>
    </r>
    <r>
      <rPr>
        <b/>
        <sz val="11"/>
        <color theme="1"/>
        <rFont val="Arial"/>
        <family val="2"/>
      </rPr>
      <t>,</t>
    </r>
    <r>
      <rPr>
        <sz val="11"/>
        <color theme="1"/>
        <rFont val="Arial"/>
        <family val="2"/>
      </rPr>
      <t xml:space="preserve">, que dispõe sobre a proibição de transformação de banheiros feminino e masculino em unissex e de edificação de banheiros exclusivamente unissex em estabelecimentos públicos e privados no município de Osasco, </t>
    </r>
    <r>
      <rPr>
        <b/>
        <sz val="11"/>
        <color theme="1"/>
        <rFont val="Arial"/>
        <family val="2"/>
      </rPr>
      <t>em</t>
    </r>
    <r>
      <rPr>
        <sz val="11"/>
        <color theme="1"/>
        <rFont val="Arial"/>
        <family val="2"/>
      </rPr>
      <t xml:space="preserve"> </t>
    </r>
    <r>
      <rPr>
        <b/>
        <sz val="11"/>
        <color theme="1"/>
        <rFont val="Arial"/>
        <family val="2"/>
      </rPr>
      <t>face do parecer contrário da Comissão de Constituição e Justiça – CCJ, de n.º 164/2022.</t>
    </r>
  </si>
  <si>
    <t>2. REQUERIMENTO N.º 11/2022 – RALFI – Requer o envio de ofício ao Poder Executivo solicitando informações relacionadas a todos os contratos vinculados à Secretaria de Saúde que estejam vigorando de forma emergencial.</t>
  </si>
  <si>
    <t xml:space="preserve">3. REQUERIMENTO N.º 12/2022 – RALFI – Requer o envio de ofício ao Poder Executivo solicitando informações relacionadas a todos os contratos vinculados à </t>
  </si>
  <si>
    <r>
      <t>4.</t>
    </r>
    <r>
      <rPr>
        <sz val="7"/>
        <color theme="1"/>
        <rFont val="Times New Roman"/>
        <family val="1"/>
      </rPr>
      <t xml:space="preserve">    </t>
    </r>
    <r>
      <rPr>
        <b/>
        <sz val="11"/>
        <color theme="1"/>
        <rFont val="Arial"/>
        <family val="2"/>
      </rPr>
      <t xml:space="preserve">REQUERIMENTO n.º 14/2022 – Emerson Osasco – </t>
    </r>
    <r>
      <rPr>
        <sz val="11"/>
        <color theme="1"/>
        <rFont val="Arial"/>
        <family val="2"/>
      </rPr>
      <t>Requer o envio de ofício ao Poder Executivo solicitando informações relacionadas ao plano de trabalho e contrato vigente do CEU das Artes – Yolanda Aparecida Avelino Ribeiro com o Instituto Morgan.</t>
    </r>
  </si>
  <si>
    <r>
      <t xml:space="preserve">5. REQUERIMENTO n.º 06/2023 – Emerson Osasco – </t>
    </r>
    <r>
      <rPr>
        <sz val="11"/>
        <color theme="1"/>
        <rFont val="Arial"/>
        <family val="2"/>
      </rPr>
      <t>Requer o envio de ofício ao Poder Executivo solicitando informações relacionadas ao contrato e relação de pagamentos das empresas Medical Corp, Dermarcor e Assim Clínica Ltda, na integra e com anexos.</t>
    </r>
  </si>
  <si>
    <r>
      <t xml:space="preserve">6. REQUERIMENTO n.º 07/2023 – Emerson Osasco – </t>
    </r>
    <r>
      <rPr>
        <sz val="11"/>
        <color theme="1"/>
        <rFont val="Arial"/>
        <family val="2"/>
      </rPr>
      <t>Requer o envio de ofício ao Poder Executivo solicitando informações relacionadas à Maternidade Amador Aguiar, sobre os contratos das empresas Medical Corp e Dermarcor.</t>
    </r>
  </si>
  <si>
    <r>
      <t xml:space="preserve">7. REQUERIMENTO n.º 08/2023 – Emerson Osasco – </t>
    </r>
    <r>
      <rPr>
        <sz val="11"/>
        <color theme="1"/>
        <rFont val="Arial"/>
        <family val="2"/>
      </rPr>
      <t>Requer o envio de ofício ao Poder Executivo solicitando informações relacionadas à Maternidade Amador Aguiar, no que diz respeito ao número de óbitos mensais, no período entre 2017 e 2023, bem como o contato dos familiares e comparativos entre as médias municipal, estadual e federal.</t>
    </r>
  </si>
  <si>
    <r>
      <t xml:space="preserve">8.REQUERIMENTO n.º 09/2023 – Emerson Osasco – </t>
    </r>
    <r>
      <rPr>
        <sz val="11"/>
        <color theme="1"/>
        <rFont val="Arial"/>
        <family val="2"/>
      </rPr>
      <t>Requer o envio de ofício ao Poder Executivo solicitando informações relacionadas à verba mensal destinada para manutenção das ambulâncias do SAMU.</t>
    </r>
  </si>
  <si>
    <r>
      <t xml:space="preserve">9.REQUERIMENTO N.º 11/2023 – EMERSON OSASCO – </t>
    </r>
    <r>
      <rPr>
        <sz val="11"/>
        <color theme="1"/>
        <rFont val="Arial"/>
        <family val="2"/>
      </rPr>
      <t>Requer o envio de ofício ao Poder Executivo solicitando informações relacionadas às desapropriações no bairro Bonança e Morro do Socó.</t>
    </r>
  </si>
  <si>
    <r>
      <t xml:space="preserve">10.REQUERIMENTO N.º 03/2024 – EMERSON OSASCO – </t>
    </r>
    <r>
      <rPr>
        <sz val="11"/>
        <color theme="1"/>
        <rFont val="Arial"/>
        <family val="2"/>
      </rPr>
      <t>Requer o envio de ofício ao Poder Executivo solicitando informações relacionadas ao contrato celebrado com a organização civil Instituto Solução Social - CNPJ: 13.779.122/0001-70.</t>
    </r>
  </si>
  <si>
    <r>
      <t xml:space="preserve">11.REQUERIMENTO N.º 04/2024 – EMERSON OSASCO – </t>
    </r>
    <r>
      <rPr>
        <sz val="11"/>
        <color theme="1"/>
        <rFont val="Arial"/>
        <family val="2"/>
      </rPr>
      <t>Requer o envio de ofício ao Poder Executivo solicitando informações relacionadas ao contrato celebrado com a organização civil Associação das Mães Unidas do Novo Osasco - AMUNO - CNPJ: 51.240.240/0001-02.</t>
    </r>
  </si>
  <si>
    <r>
      <t>12.REQUERIMENTO N.º 05/2024 – EMERSON OSASCO –</t>
    </r>
    <r>
      <rPr>
        <sz val="11"/>
        <color theme="1"/>
        <rFont val="Arial"/>
        <family val="2"/>
      </rPr>
      <t xml:space="preserve"> Requer o envio de ofício ao Poder Executivo solicitando informações relacionadas ao contrato celebrado com a organização civil Associação de Proteção à Maternidade a Infância e a Adolescência - ASPROMATINA - CNPJ: 73.062.325/0005-04.</t>
    </r>
  </si>
  <si>
    <r>
      <t xml:space="preserve">13.REQUERIMENTO N.º 06/2024 – EMERSON OSASCO – </t>
    </r>
    <r>
      <rPr>
        <sz val="11"/>
        <color theme="1"/>
        <rFont val="Arial"/>
        <family val="2"/>
      </rPr>
      <t>Requer o envio de ofício ao Poder Executivo solicitando informações relacionadas ao contrato celebrado com a organização civil Instituto Inovação Social - CNPJ: 23.794.590/0001-77.</t>
    </r>
  </si>
  <si>
    <r>
      <t xml:space="preserve">14.REQUERIMENTO N.º 07/2024 – EMERSON OSASCO – </t>
    </r>
    <r>
      <rPr>
        <sz val="11"/>
        <color theme="1"/>
        <rFont val="Arial"/>
        <family val="2"/>
      </rPr>
      <t>Requer o envio de ofício ao Poder Executivo solicitando informações relacionadas ao contrato celebrado com a organização civil Associação das Mães do Jardim Veloso - CNPJ: 53.414.702/88.</t>
    </r>
  </si>
  <si>
    <r>
      <t xml:space="preserve">15.REQUERIMENTO N.º 08/2024 – EMERSON OSASCO – </t>
    </r>
    <r>
      <rPr>
        <sz val="11"/>
        <color theme="1"/>
        <rFont val="Arial"/>
        <family val="2"/>
      </rPr>
      <t>Requer o envio de ofício ao Poder Executivo solicitando informações relacionadas ao contrato celebrado com a organização Associação Quintal Mágico - CNPJ: 03.301.548/0001-60.</t>
    </r>
  </si>
  <si>
    <r>
      <t xml:space="preserve">16.REQUERIMENTO N.º 09/2024 – EMERSON OSASCO – </t>
    </r>
    <r>
      <rPr>
        <sz val="11"/>
        <color theme="1"/>
        <rFont val="Arial"/>
        <family val="2"/>
      </rPr>
      <t>Requer o envio de ofício ao Poder Executivo solicitando informações relacionadas ao contrato celebrado com a organização civil Associação Educacional Maria do Carmo Ferreira Paula - CNPJ: 22.533.209/0001-53.</t>
    </r>
  </si>
  <si>
    <r>
      <t xml:space="preserve">17.REQUERIMENTO N.º 10/2024 – EMERSON OSASCO – </t>
    </r>
    <r>
      <rPr>
        <sz val="11"/>
        <color theme="1"/>
        <rFont val="Arial"/>
        <family val="2"/>
      </rPr>
      <t>Requer o envio de ofício ao Poder Executivo solicitando informações relacionadas ao contrato celebrado com a organização civil Centro de Participação Popular do Jardim Veloso - CNPJ: 51.448.496/0001-00.</t>
    </r>
  </si>
  <si>
    <r>
      <t>18.REQUERIMENTO N.º 11/2024 – EMERSON OSASCO –</t>
    </r>
    <r>
      <rPr>
        <sz val="11"/>
        <color theme="1"/>
        <rFont val="Arial"/>
        <family val="2"/>
      </rPr>
      <t xml:space="preserve"> Requer o envio de ofício ao Poder Executivo solicitando informações relacionadas ao contrato celebrado com a organização civil Associação das Mulheres em Defesa à Criança- AMDC - CNPJ: 57.386.609/0001-68.</t>
    </r>
  </si>
  <si>
    <r>
      <t>19.REQUERIMENTO N.º 12/2024 – EMERSON OSASCO –</t>
    </r>
    <r>
      <rPr>
        <sz val="11"/>
        <color theme="1"/>
        <rFont val="Arial"/>
        <family val="2"/>
      </rPr>
      <t xml:space="preserve"> Requer o envio de ofício ao Poder Executivo solicitando informações relacionadas ao contrato celebrado com a organização civil Associação Solidária Crescendo Cidadã - CNPJ: 07.375.464/0001-21.</t>
    </r>
  </si>
  <si>
    <r>
      <t xml:space="preserve">20.REQUERIMENTO N.º 13/2024 – EMERSON OSASCO – </t>
    </r>
    <r>
      <rPr>
        <sz val="11"/>
        <color theme="1"/>
        <rFont val="Arial"/>
        <family val="2"/>
      </rPr>
      <t>Requer o envio de ofício ao Poder Executivo solicitando informações relacionadas ao contrato celebrado com a organização civil Instituto Veracidade - CNPJ: 13.256.793/0001-56.</t>
    </r>
  </si>
  <si>
    <t>21.REQUERIMENTO N.º 14/2024 – EMERSON OSASCO – Requer o envio de ofício ao Poder Executivo solicitando informações relacionadas ao contrato celebrado com a organização civil Associação para Gestão de Unidades Administrativas Sociais - ÁGUAS - CNPJ: 12.661.184/0001-10.</t>
  </si>
  <si>
    <t>22 - REQUERIMENTO N.º 15/2024 – EMERSON OSASCO – Requer o envio de ofício ao Poder Executivo solicitando informações relacionadas à reabertura da Casa de Angola de Osasco.</t>
  </si>
  <si>
    <t>23 - REQUERIMENTO N.º 16/2024 – EMERSON OSASCO – Requer o envio de ofício ao Poder Executivo solicitando informações relacionadas ao projeto de implementação de Centro de Referência de Cultura Afro-brasileira e de Religiões de Matriz Africana, previsto para o parque Glauco Vilas Boas.</t>
  </si>
  <si>
    <t xml:space="preserve"> Vereadores presentes após a chamada do expedinte</t>
  </si>
  <si>
    <t xml:space="preserve"> 1ª chamada abertura da sessão </t>
  </si>
  <si>
    <t>APROVADA</t>
  </si>
  <si>
    <t>sim</t>
  </si>
  <si>
    <t xml:space="preserve"> </t>
  </si>
  <si>
    <t>Batista Comunidade</t>
  </si>
  <si>
    <t>Lúcia da Saúde</t>
  </si>
  <si>
    <t>Ralfi Silva</t>
  </si>
  <si>
    <t>APROVADO</t>
  </si>
  <si>
    <r>
      <t>PROJETO DE LEI Nº 92/2025 - LÚCIA DA SAÚDE –</t>
    </r>
    <r>
      <rPr>
        <sz val="11"/>
        <color theme="1"/>
        <rFont val="Arial"/>
        <family val="2"/>
      </rPr>
      <t xml:space="preserve"> Institui o Dia Mundial das Doenças Raras no Município de Osasco. </t>
    </r>
  </si>
  <si>
    <t>na presidência</t>
  </si>
  <si>
    <t>46ª SESSÃO ORDINÁRIA</t>
  </si>
  <si>
    <t>DIA 2 DE SETEMBRO DE 2025 - TERÇA-FEIRA</t>
  </si>
  <si>
    <t>Hélder Oliveira</t>
  </si>
  <si>
    <t>Justicativa de ausência do Vereador Rodrigo Gansinho.</t>
  </si>
  <si>
    <t>Mensagem de Veto Parcial Prolegis Nº 01/2025 - Prefeito do Município de Osasco – Informa o veto parcial referente ao Projeto de Lei nº 25/2025, de autoria do vereador Sérgio Fontellas que dispõe sobre a criação da carteira de identificação de pessoas acometidas por Alzheimer.</t>
  </si>
  <si>
    <t>Ofício Prolegis nº 202503163860 – Prefeito do Município de Osasco – Informa a sanção da Lei nº 5.411, de 28 de agosto de 2025, referente ao projeto de lei nº 35/2025, de autoria do vereador Délbio Teruel que dispõe sobre alteração da denominação da Avenida das Comunicações para Avenida Silvio Santos.</t>
  </si>
  <si>
    <t>Ofício Prolegis nº 202503163933 – Prefeito do Município de Osasco – Informa a sanção da Lei nº 5.412, de 28 de agosto de 2025, referente ao projeto de lei nº 114/2025, de autoria do vereador Carmônio Bastos que dispõe sobre a denominação da UBS Adalgiza Correia Soares.</t>
  </si>
  <si>
    <t>Ofício Prolegis nº 202503164362 – Prefeito do Município de Osasco – Informa a sanção da Lei nº 5.413, de 29 de agosto de 2025, referente ao projeto de lei nº 72/2025, de autoria da vereadora Elsa Oliveira que institui a Semana da Comunidade Surda.</t>
  </si>
  <si>
    <t>Ofício Prolegis nº 202503165277 – Prefeito do Município de Osasco – Informa a sanção da Lei nº 5.414, de 29 de agosto de 2025, referente ao projeto de lei nº 25/2025, de autoria do vereador Sergio Fontellas que dispõe sobre a criação da carteira de identificação de pessoas acometidas por Alzheimer.</t>
  </si>
  <si>
    <t>Decretos nº 14.786 ao 14.788, 14.792, 14.797 e 14.798 de agosto de 2025 - Prefeito do Município de Osasco – Dispõe sobre abertura de crédito adicional especial ao orçamento vigente e dá outras providências.</t>
  </si>
  <si>
    <t>Decretos nº 14.789, 14.790, 14.793 ao 14.796 de agosto de 2025 - Prefeito do Município de Osasco – Dispõe sobre abertura de crédito adicional suplementar ao orçamento vigente e dá outras providências.</t>
  </si>
  <si>
    <t>Decreto nº 14.791, de 21 de agosto de 2025 - Prefeito do Município de Osasco – dispõe sobre a criação e estruturação do Fórum Municipal de Desenvolvimento Econômico Sustentável de Osasco.</t>
  </si>
  <si>
    <t>Projeto de Lei nº 77/2025- Elsa Oliveira – Institui o dia municipal do desafio menos tela, mais saúde.</t>
  </si>
  <si>
    <t>Projeto de Lei nº 148/2025 – Alexandre Capriotti – Institui, no calendário oficial do Município de Osasco, a Campanha “Todos Contra a FIV e FELV” de conscientização sobre a Imunodeficiência Viral Felina – FIV e a Leucemia Viral Felina - FELV.</t>
  </si>
  <si>
    <t>Projeto de Decreto Legislativo nº 22/2025- Elsa Oliveira – Dispõe sobre a concessão de cartão de prata ao escritor André Vianco.</t>
  </si>
  <si>
    <t>Projeto de Decreto Legislativo nº 40/2025- Pedrinho Cantagessi – Dispõe sobre a concessão de título de cidadão Osasquense a Sra.  Vera Lúcia Cantagessi.</t>
  </si>
  <si>
    <t>Projeto de Decreto Legislativo nº 41/2025 – Stephane Rossi – Dispõe sobre a concessão de Diploma João Cândido – Almirante Negro ao senhor Carlos Ricardo Ribeiro.</t>
  </si>
  <si>
    <r>
      <t>MOÇÃO DE APLAUSOS Nº 405/2025 – ELANIA SILVA -</t>
    </r>
    <r>
      <rPr>
        <sz val="11"/>
        <color theme="1"/>
        <rFont val="Arial"/>
        <family val="2"/>
      </rPr>
      <t xml:space="preserve"> Ao Sr. Leandro Roberto Barros Miglioli, empresário, estrategista e mentor de negócios, em reconhecimento à sua extraordinária trajetória como formador de líderes, impulsionador de empresas e agente de transformação social.</t>
    </r>
  </si>
  <si>
    <r>
      <t xml:space="preserve">MOÇÃO DE APOIO Nº 406/2025 – ELSA OLIVEIRA - </t>
    </r>
    <r>
      <rPr>
        <sz val="11"/>
        <color theme="1"/>
        <rFont val="Arial"/>
        <family val="2"/>
      </rPr>
      <t>Ao Projeto de Lei nº 986/2024, que dispensa a exigência de renovação periódica de laudos médicos para pessoas com deficiência irreversível.</t>
    </r>
  </si>
  <si>
    <r>
      <t xml:space="preserve">MOÇÃO DE APLAUSOS Nº 407/2025 – ALEXANDRE CAPRIOTTI - </t>
    </r>
    <r>
      <rPr>
        <sz val="11"/>
        <color theme="1"/>
        <rFont val="Arial"/>
        <family val="2"/>
      </rPr>
      <t>Ao Prefeito Gerson Pessoa pelo Centro de Especialidades Municipal.</t>
    </r>
  </si>
  <si>
    <r>
      <t xml:space="preserve">MOÇÃO DE APLAUSOS Nº 408/2025 – JOSIAS DA JUCO - </t>
    </r>
    <r>
      <rPr>
        <sz val="11"/>
        <color theme="1"/>
        <rFont val="Arial"/>
        <family val="2"/>
      </rPr>
      <t>Ao General Santiago Cesar França Budó, Comandante da 11ª Brigada de Infantaria Mecanizada e ao Coronel Leonardo Kuwabara, Comandante do 4º Batalhão de Infantaria Mecanizada pela realização da brilhante Solenidade de Abertura da Cápsula do Tempo, relativa ao início das obras de construção das instalações do atual 4º BIMEC, datada de 28 de agosto de 1921.</t>
    </r>
  </si>
  <si>
    <r>
      <t xml:space="preserve">MOÇÃO DE RECONHECIMENTO Nº 409/2025 – RODRIGO GANSINHO - </t>
    </r>
    <r>
      <rPr>
        <sz val="11"/>
        <color theme="1"/>
        <rFont val="Arial"/>
        <family val="2"/>
      </rPr>
      <t>Ao Professor Paulo Sérgio, conhecido como Serginho do Pestana, por seu valioso trabalho de transformação na vida de milhares de jovens através do esporte.</t>
    </r>
  </si>
  <si>
    <r>
      <t xml:space="preserve">MOÇÃO DE APLAUSOS Nº 410/2025 – GABRIEL SAÚDE - </t>
    </r>
    <r>
      <rPr>
        <sz val="11"/>
        <color theme="1"/>
        <rFont val="Arial"/>
        <family val="2"/>
      </rPr>
      <t>Ao senhor Paulo Contim, pelo lançamento do livro Invista - O Guia do Empreendedor.</t>
    </r>
  </si>
  <si>
    <t>pela ausência do autor, será pautada na próxima sessão.</t>
  </si>
  <si>
    <r>
      <t xml:space="preserve">MOÇÃO DE AGRADECIMENTO Nº 411/2025 – GABRIEL SAÚDE - </t>
    </r>
    <r>
      <rPr>
        <sz val="11"/>
        <color theme="1"/>
        <rFont val="Arial"/>
        <family val="2"/>
      </rPr>
      <t>Ao senhor Antônio Aurino Moreira, em reconhecimento à sua trajetória de vida marcada pelo trabalho, pela dedicação à família e pela incansável atuação comunitária.</t>
    </r>
  </si>
  <si>
    <r>
      <t>MOÇÃO DE REPÚDIO Nº 412/2025 – PEDRINHO CANTAGESSI -</t>
    </r>
    <r>
      <rPr>
        <sz val="11"/>
        <color theme="1"/>
        <rFont val="Arial"/>
        <family val="2"/>
      </rPr>
      <t xml:space="preserve"> Ao Vereador de Joinville, em Santa Catarina, Mateus Batista por apresentar um projeto de lei que proíbe nordestinos e nortistas de morar em cidade do sul.</t>
    </r>
  </si>
  <si>
    <r>
      <t xml:space="preserve">PROJETO DE LEI Nº 136/2025 – PREFEITO DO MUNICÍPIO DE OSASCO – </t>
    </r>
    <r>
      <rPr>
        <sz val="14"/>
        <color theme="1"/>
        <rFont val="Arial"/>
        <family val="2"/>
      </rPr>
      <t>Declara Cidades-Irmãs o Município de Osasco - SP e o Município de Cedro - CE.</t>
    </r>
  </si>
  <si>
    <r>
      <t xml:space="preserve">APROVADO
</t>
    </r>
    <r>
      <rPr>
        <b/>
        <sz val="12"/>
        <color rgb="FF00B050"/>
        <rFont val="Arial"/>
        <family val="2"/>
      </rPr>
      <t>VOTAÇÃO SIMBÓLICA</t>
    </r>
  </si>
  <si>
    <t>EMENDA 1/2025 DA VEREADORA LÚCIA DA SAÚDE AO PROJETO DE LEI Nº 92/2025.</t>
  </si>
  <si>
    <r>
      <t>PROJETO DE LEI Nº 53/2023 – JOSIAS DA JUCO –</t>
    </r>
    <r>
      <rPr>
        <sz val="11"/>
        <color theme="1"/>
        <rFont val="Arial"/>
        <family val="2"/>
      </rPr>
      <t xml:space="preserve"> Institui o Dia da Policial Feminina. </t>
    </r>
  </si>
  <si>
    <t>arquivado a pedido do autor</t>
  </si>
  <si>
    <t>arquivada a pedido da autora</t>
  </si>
  <si>
    <r>
      <t>PROJETO DE DECRETO LEGISLATIVO Nº 61/2024 – PAULO JÚNIOR -</t>
    </r>
    <r>
      <rPr>
        <sz val="11"/>
        <color theme="1"/>
        <rFont val="Arial"/>
        <family val="2"/>
      </rPr>
      <t xml:space="preserve"> Dispõe sobre a concessão de Título de Cidadão Osasquense ao pastor José Sabino de Araújo.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</si>
</sst>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b/>
      <sz val="11"/>
      <color theme="1"/>
      <name val="Calibri"/>
      <family val="2"/>
      <scheme val="minor"/>
    </font>
    <font>
      <sz val="9"/>
      <color rgb="FF333333"/>
      <name val="Myriad-Pro"/>
      <charset val="1"/>
    </font>
    <font>
      <sz val="11"/>
      <color theme="1"/>
      <name val="Arial"/>
      <family val="2"/>
    </font>
    <font>
      <b/>
      <sz val="11"/>
      <color theme="1"/>
      <name val="Arial"/>
      <family val="2"/>
    </font>
    <font>
      <sz val="12"/>
      <color theme="1"/>
      <name val="Arial"/>
      <family val="2"/>
    </font>
    <font>
      <b/>
      <sz val="12"/>
      <color theme="1"/>
      <name val="Arial"/>
      <family val="2"/>
    </font>
    <font>
      <sz val="11"/>
      <color theme="1"/>
      <name val="Calibri"/>
      <family val="2"/>
      <scheme val="minor"/>
    </font>
    <font>
      <sz val="14"/>
      <color theme="1"/>
      <name val="Arial"/>
      <family val="2"/>
    </font>
    <font>
      <b/>
      <sz val="14"/>
      <color theme="1"/>
      <name val="Arial"/>
      <family val="2"/>
    </font>
    <font>
      <sz val="14"/>
      <color rgb="FFFF0000"/>
      <name val="Calibri"/>
      <family val="2"/>
      <scheme val="minor"/>
    </font>
    <font>
      <b/>
      <u/>
      <sz val="14"/>
      <color rgb="FFFF0000"/>
      <name val="Arial"/>
      <family val="2"/>
    </font>
    <font>
      <b/>
      <u/>
      <sz val="11"/>
      <color theme="1"/>
      <name val="Arial"/>
      <family val="2"/>
    </font>
    <font>
      <b/>
      <u/>
      <sz val="11"/>
      <name val="Arial"/>
      <family val="2"/>
    </font>
    <font>
      <b/>
      <sz val="16"/>
      <color theme="1"/>
      <name val="Arial"/>
      <family val="2"/>
    </font>
    <font>
      <b/>
      <sz val="10"/>
      <color theme="1"/>
      <name val="Arial"/>
      <family val="2"/>
    </font>
    <font>
      <b/>
      <sz val="10"/>
      <color theme="1"/>
      <name val="Calibri"/>
      <family val="2"/>
      <scheme val="minor"/>
    </font>
    <font>
      <sz val="10"/>
      <color theme="1"/>
      <name val="Calibri"/>
      <family val="2"/>
      <scheme val="minor"/>
    </font>
    <font>
      <b/>
      <u/>
      <sz val="10"/>
      <color rgb="FFFF0000"/>
      <name val="Arial"/>
      <family val="2"/>
    </font>
    <font>
      <sz val="10"/>
      <color theme="1"/>
      <name val="Arial"/>
      <family val="2"/>
    </font>
    <font>
      <sz val="10"/>
      <color rgb="FF333333"/>
      <name val="Myriad-Pro"/>
      <charset val="1"/>
    </font>
    <font>
      <b/>
      <i/>
      <u/>
      <sz val="16"/>
      <color theme="1"/>
      <name val="Arial"/>
      <family val="2"/>
    </font>
    <font>
      <b/>
      <i/>
      <u/>
      <sz val="12"/>
      <color theme="1"/>
      <name val="Arial"/>
      <family val="2"/>
    </font>
    <font>
      <b/>
      <sz val="12"/>
      <name val="Arial"/>
      <family val="2"/>
    </font>
    <font>
      <b/>
      <sz val="14"/>
      <color rgb="FFFF0000"/>
      <name val="Arial"/>
      <family val="2"/>
    </font>
    <font>
      <b/>
      <u/>
      <sz val="11"/>
      <color rgb="FFFF0000"/>
      <name val="Arial"/>
      <family val="2"/>
    </font>
    <font>
      <b/>
      <sz val="14"/>
      <color theme="1"/>
      <name val="Calibri"/>
      <family val="2"/>
      <scheme val="minor"/>
    </font>
    <font>
      <sz val="8"/>
      <name val="Calibri"/>
      <family val="2"/>
      <scheme val="minor"/>
    </font>
    <font>
      <b/>
      <u/>
      <sz val="10"/>
      <name val="Arial"/>
      <family val="2"/>
    </font>
    <font>
      <sz val="11"/>
      <name val="Calibri"/>
      <family val="2"/>
      <scheme val="minor"/>
    </font>
    <font>
      <sz val="7"/>
      <color theme="1"/>
      <name val="Times New Roman"/>
      <family val="1"/>
    </font>
    <font>
      <b/>
      <sz val="12"/>
      <color rgb="FF00B050"/>
      <name val="Arial"/>
      <family val="2"/>
    </font>
    <font>
      <b/>
      <sz val="11"/>
      <color rgb="FF00B050"/>
      <name val="Calibri"/>
      <family val="2"/>
      <scheme val="minor"/>
    </font>
    <font>
      <sz val="12"/>
      <name val="Arial"/>
      <family val="2"/>
    </font>
    <font>
      <b/>
      <sz val="14"/>
      <name val="Calibri"/>
      <family val="2"/>
      <scheme val="minor"/>
    </font>
    <font>
      <sz val="14"/>
      <name val="Calibri"/>
      <family val="2"/>
      <scheme val="minor"/>
    </font>
    <font>
      <b/>
      <sz val="10"/>
      <color rgb="FF0070C0"/>
      <name val="Arial"/>
      <family val="2"/>
    </font>
    <font>
      <b/>
      <u/>
      <sz val="14"/>
      <color theme="1"/>
      <name val="Calibri"/>
      <family val="2"/>
      <scheme val="minor"/>
    </font>
    <font>
      <b/>
      <i/>
      <u/>
      <sz val="12"/>
      <color theme="1"/>
      <name val="Calibri"/>
      <family val="2"/>
      <scheme val="minor"/>
    </font>
    <font>
      <b/>
      <sz val="16"/>
      <color rgb="FFFF0000"/>
      <name val="Arial"/>
      <family val="2"/>
    </font>
    <font>
      <b/>
      <sz val="11"/>
      <color theme="1"/>
      <name val="Arial"/>
      <family val="1"/>
    </font>
    <font>
      <b/>
      <sz val="12"/>
      <color rgb="FFFF0000"/>
      <name val="Arial"/>
      <family val="2"/>
    </font>
    <font>
      <b/>
      <sz val="14"/>
      <color rgb="FF00B050"/>
      <name val="Arial"/>
      <family val="2"/>
    </font>
    <font>
      <b/>
      <sz val="11"/>
      <name val="Calibri"/>
      <family val="2"/>
      <scheme val="minor"/>
    </font>
    <font>
      <b/>
      <sz val="12"/>
      <color rgb="FF000000"/>
      <name val="Calibri"/>
      <family val="2"/>
    </font>
    <font>
      <b/>
      <sz val="10"/>
      <name val="Arial"/>
      <family val="2"/>
    </font>
    <font>
      <b/>
      <sz val="11"/>
      <color rgb="FFFF0000"/>
      <name val="Calibri"/>
      <family val="2"/>
      <scheme val="minor"/>
    </font>
    <font>
      <b/>
      <sz val="16"/>
      <color rgb="FF00B050"/>
      <name val="Arial"/>
      <family val="2"/>
    </font>
    <font>
      <b/>
      <sz val="20"/>
      <color rgb="FF00B050"/>
      <name val="Arial"/>
      <family val="2"/>
    </font>
  </fonts>
  <fills count="10">
    <fill>
      <patternFill patternType="none"/>
    </fill>
    <fill>
      <patternFill patternType="gray125"/>
    </fill>
    <fill>
      <patternFill patternType="solid">
        <fgColor rgb="FFFFFFFF"/>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152">
    <xf numFmtId="0" fontId="0" fillId="0" borderId="0" xfId="0"/>
    <xf numFmtId="0" fontId="2" fillId="2" borderId="0" xfId="0" applyFont="1" applyFill="1" applyAlignment="1">
      <alignment wrapText="1"/>
    </xf>
    <xf numFmtId="0" fontId="1" fillId="0" borderId="0" xfId="0" applyFont="1" applyAlignment="1">
      <alignment horizontal="center"/>
    </xf>
    <xf numFmtId="0" fontId="3" fillId="0" borderId="0" xfId="0" applyFont="1" applyAlignment="1">
      <alignment horizontal="justify" vertical="center"/>
    </xf>
    <xf numFmtId="0" fontId="4" fillId="0" borderId="0" xfId="0" applyFont="1" applyAlignment="1">
      <alignment horizontal="justify" vertical="center"/>
    </xf>
    <xf numFmtId="0" fontId="7" fillId="0" borderId="0" xfId="0" applyFont="1"/>
    <xf numFmtId="0" fontId="0" fillId="0" borderId="0" xfId="0" applyAlignment="1">
      <alignment horizontal="center" wrapText="1"/>
    </xf>
    <xf numFmtId="0" fontId="5" fillId="0" borderId="0" xfId="0" applyFont="1"/>
    <xf numFmtId="0" fontId="3" fillId="0" borderId="0" xfId="0" applyFont="1" applyAlignment="1">
      <alignment horizontal="justify" vertical="top"/>
    </xf>
    <xf numFmtId="0" fontId="5" fillId="0" borderId="0" xfId="0" applyFont="1" applyAlignment="1">
      <alignment horizontal="justify" vertical="top"/>
    </xf>
    <xf numFmtId="0" fontId="12" fillId="0" borderId="0" xfId="0" applyFont="1" applyAlignment="1">
      <alignment horizontal="center" vertical="center"/>
    </xf>
    <xf numFmtId="0" fontId="13" fillId="0" borderId="0" xfId="0" applyFont="1" applyAlignment="1">
      <alignment horizontal="center" vertical="center"/>
    </xf>
    <xf numFmtId="0" fontId="5" fillId="0" borderId="0" xfId="0" applyFont="1" applyAlignment="1">
      <alignment horizontal="center" wrapText="1"/>
    </xf>
    <xf numFmtId="0" fontId="6" fillId="0" borderId="0" xfId="0" applyFont="1" applyAlignment="1">
      <alignment horizontal="justify" vertical="top"/>
    </xf>
    <xf numFmtId="0" fontId="6" fillId="0" borderId="0" xfId="0" applyFont="1" applyAlignment="1">
      <alignment horizontal="right" vertical="center"/>
    </xf>
    <xf numFmtId="0" fontId="6" fillId="5" borderId="0" xfId="0" applyFont="1" applyFill="1" applyAlignment="1">
      <alignment horizontal="right" vertical="center"/>
    </xf>
    <xf numFmtId="0" fontId="0" fillId="5" borderId="0" xfId="0" applyFill="1"/>
    <xf numFmtId="0" fontId="6" fillId="6" borderId="0" xfId="0" applyFont="1" applyFill="1" applyAlignment="1">
      <alignment horizontal="right" vertical="center"/>
    </xf>
    <xf numFmtId="0" fontId="0" fillId="6" borderId="0" xfId="0" applyFill="1"/>
    <xf numFmtId="0" fontId="6" fillId="7" borderId="0" xfId="0" applyFont="1" applyFill="1" applyAlignment="1">
      <alignment horizontal="right" vertical="center"/>
    </xf>
    <xf numFmtId="0" fontId="0" fillId="7" borderId="0" xfId="0" applyFill="1"/>
    <xf numFmtId="0" fontId="16" fillId="0" borderId="0" xfId="0" applyFont="1" applyAlignment="1">
      <alignment horizontal="center"/>
    </xf>
    <xf numFmtId="0" fontId="17" fillId="0" borderId="0" xfId="0" applyFont="1"/>
    <xf numFmtId="0" fontId="19" fillId="0" borderId="0" xfId="0" applyFont="1"/>
    <xf numFmtId="0" fontId="15" fillId="5" borderId="0" xfId="0" applyFont="1" applyFill="1" applyAlignment="1">
      <alignment horizontal="right" vertical="center"/>
    </xf>
    <xf numFmtId="0" fontId="17" fillId="5" borderId="0" xfId="0" applyFont="1" applyFill="1"/>
    <xf numFmtId="0" fontId="15" fillId="6" borderId="0" xfId="0" applyFont="1" applyFill="1" applyAlignment="1">
      <alignment horizontal="right" vertical="center"/>
    </xf>
    <xf numFmtId="0" fontId="17" fillId="6" borderId="0" xfId="0" applyFont="1" applyFill="1"/>
    <xf numFmtId="0" fontId="15" fillId="0" borderId="0" xfId="0" applyFont="1" applyAlignment="1">
      <alignment horizontal="right" vertical="center"/>
    </xf>
    <xf numFmtId="0" fontId="15" fillId="7" borderId="0" xfId="0" applyFont="1" applyFill="1" applyAlignment="1">
      <alignment horizontal="right" vertical="center"/>
    </xf>
    <xf numFmtId="0" fontId="17" fillId="7" borderId="0" xfId="0" applyFont="1" applyFill="1"/>
    <xf numFmtId="0" fontId="20" fillId="2" borderId="0" xfId="0" applyFont="1" applyFill="1" applyAlignment="1">
      <alignment wrapText="1"/>
    </xf>
    <xf numFmtId="0" fontId="5" fillId="0" borderId="0" xfId="0" applyFont="1" applyAlignment="1">
      <alignment horizontal="center"/>
    </xf>
    <xf numFmtId="0" fontId="10" fillId="0" borderId="0" xfId="0" applyFont="1"/>
    <xf numFmtId="0" fontId="8" fillId="4" borderId="0" xfId="0" applyFont="1" applyFill="1"/>
    <xf numFmtId="0" fontId="7" fillId="0" borderId="1" xfId="0" applyFont="1" applyBorder="1"/>
    <xf numFmtId="0" fontId="5" fillId="0" borderId="1" xfId="0" applyFont="1" applyBorder="1" applyAlignment="1">
      <alignment horizontal="center" wrapText="1"/>
    </xf>
    <xf numFmtId="0" fontId="5" fillId="0" borderId="11" xfId="0" applyFont="1" applyBorder="1" applyAlignment="1">
      <alignment horizontal="center" wrapText="1"/>
    </xf>
    <xf numFmtId="0" fontId="5" fillId="7" borderId="3" xfId="0" applyFont="1" applyFill="1" applyBorder="1"/>
    <xf numFmtId="0" fontId="5" fillId="7" borderId="6" xfId="0" applyFont="1" applyFill="1" applyBorder="1"/>
    <xf numFmtId="0" fontId="0" fillId="0" borderId="1" xfId="0" applyBorder="1"/>
    <xf numFmtId="0" fontId="7" fillId="0" borderId="11" xfId="0" applyFont="1" applyBorder="1"/>
    <xf numFmtId="0" fontId="7" fillId="0" borderId="12" xfId="0" applyFont="1" applyBorder="1"/>
    <xf numFmtId="0" fontId="5" fillId="0" borderId="12" xfId="0" applyFont="1" applyBorder="1" applyAlignment="1">
      <alignment horizontal="center" wrapText="1"/>
    </xf>
    <xf numFmtId="0" fontId="7" fillId="0" borderId="12" xfId="0" applyFont="1" applyBorder="1" applyAlignment="1">
      <alignment horizontal="center" wrapText="1"/>
    </xf>
    <xf numFmtId="0" fontId="7" fillId="0" borderId="12" xfId="0" applyFont="1" applyBorder="1" applyAlignment="1">
      <alignment wrapText="1"/>
    </xf>
    <xf numFmtId="0" fontId="14" fillId="9" borderId="5" xfId="0" applyFont="1" applyFill="1" applyBorder="1"/>
    <xf numFmtId="0" fontId="7" fillId="0" borderId="6" xfId="0" applyFont="1" applyBorder="1" applyAlignment="1">
      <alignment horizontal="center"/>
    </xf>
    <xf numFmtId="0" fontId="21" fillId="0" borderId="0" xfId="0" applyFont="1" applyAlignment="1">
      <alignment horizontal="center" vertical="center"/>
    </xf>
    <xf numFmtId="0" fontId="1" fillId="0" borderId="9" xfId="0" applyFont="1" applyBorder="1"/>
    <xf numFmtId="0" fontId="18" fillId="0" borderId="1" xfId="0" applyFont="1" applyBorder="1" applyAlignment="1">
      <alignment horizontal="center" vertical="center"/>
    </xf>
    <xf numFmtId="0" fontId="22" fillId="7" borderId="1" xfId="0" applyFont="1" applyFill="1" applyBorder="1" applyAlignment="1">
      <alignment horizontal="center" vertical="center"/>
    </xf>
    <xf numFmtId="0" fontId="21" fillId="8" borderId="6" xfId="0" applyFont="1" applyFill="1" applyBorder="1" applyAlignment="1">
      <alignment horizontal="center" vertical="center"/>
    </xf>
    <xf numFmtId="0" fontId="26" fillId="0" borderId="0" xfId="0" applyFont="1" applyAlignment="1">
      <alignment horizontal="center" wrapText="1"/>
    </xf>
    <xf numFmtId="0" fontId="15" fillId="0" borderId="0" xfId="0" applyFont="1" applyAlignment="1">
      <alignment horizontal="center"/>
    </xf>
    <xf numFmtId="0" fontId="4" fillId="0" borderId="0" xfId="0" applyFont="1" applyAlignment="1">
      <alignment horizontal="center" vertical="center" wrapText="1"/>
    </xf>
    <xf numFmtId="0" fontId="29" fillId="0" borderId="0" xfId="0" applyFont="1"/>
    <xf numFmtId="0" fontId="1"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xf>
    <xf numFmtId="0" fontId="4" fillId="0" borderId="0" xfId="0" applyFont="1" applyAlignment="1">
      <alignment horizontal="left" vertical="top" wrapText="1"/>
    </xf>
    <xf numFmtId="0" fontId="5" fillId="0" borderId="13" xfId="0" applyFont="1" applyBorder="1" applyAlignment="1">
      <alignment horizontal="center" wrapText="1"/>
    </xf>
    <xf numFmtId="0" fontId="31" fillId="0" borderId="10" xfId="0" applyFont="1" applyBorder="1" applyAlignment="1">
      <alignment horizontal="center"/>
    </xf>
    <xf numFmtId="0" fontId="1" fillId="3" borderId="10" xfId="0" applyFont="1" applyFill="1" applyBorder="1"/>
    <xf numFmtId="0" fontId="6" fillId="0" borderId="1" xfId="0" applyFont="1" applyBorder="1" applyAlignment="1">
      <alignment horizontal="center" wrapText="1"/>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wrapText="1"/>
    </xf>
    <xf numFmtId="0" fontId="23" fillId="0" borderId="10" xfId="0" applyFont="1" applyBorder="1" applyAlignment="1">
      <alignment horizontal="center"/>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34" fillId="0" borderId="0" xfId="0" applyFont="1" applyAlignment="1">
      <alignment horizontal="center" wrapText="1"/>
    </xf>
    <xf numFmtId="0" fontId="29" fillId="0" borderId="0" xfId="0" applyFont="1" applyAlignment="1">
      <alignment horizontal="center" wrapText="1"/>
    </xf>
    <xf numFmtId="0" fontId="35" fillId="0" borderId="0" xfId="0" applyFont="1"/>
    <xf numFmtId="0" fontId="1" fillId="0" borderId="0" xfId="0" applyFont="1"/>
    <xf numFmtId="0" fontId="36" fillId="0" borderId="0" xfId="0" applyFont="1" applyAlignment="1">
      <alignment horizontal="center" vertical="center" wrapText="1"/>
    </xf>
    <xf numFmtId="0" fontId="1" fillId="0" borderId="1" xfId="0" applyFont="1" applyBorder="1"/>
    <xf numFmtId="0" fontId="36" fillId="0" borderId="0" xfId="0" applyFont="1" applyAlignment="1">
      <alignment horizontal="center" wrapText="1"/>
    </xf>
    <xf numFmtId="0" fontId="37" fillId="0" borderId="0" xfId="0" applyFont="1" applyAlignment="1">
      <alignment horizontal="center" vertical="center"/>
    </xf>
    <xf numFmtId="0" fontId="26" fillId="0" borderId="0" xfId="0" applyFont="1" applyAlignment="1">
      <alignment horizontal="center" vertical="center" wrapText="1"/>
    </xf>
    <xf numFmtId="0" fontId="26" fillId="0" borderId="0" xfId="0" applyFont="1" applyAlignment="1">
      <alignment horizontal="justify" vertical="center"/>
    </xf>
    <xf numFmtId="0" fontId="26" fillId="0" borderId="0" xfId="0" applyFont="1"/>
    <xf numFmtId="0" fontId="39" fillId="9" borderId="5" xfId="0" applyFont="1" applyFill="1" applyBorder="1"/>
    <xf numFmtId="0" fontId="6" fillId="0" borderId="1" xfId="0" applyFont="1" applyBorder="1"/>
    <xf numFmtId="0" fontId="40" fillId="0" borderId="1" xfId="0" applyFont="1" applyBorder="1" applyAlignment="1">
      <alignment horizontal="left" vertical="top" wrapText="1"/>
    </xf>
    <xf numFmtId="0" fontId="0" fillId="7" borderId="12" xfId="0" applyFill="1" applyBorder="1"/>
    <xf numFmtId="0" fontId="6" fillId="7" borderId="15" xfId="0" applyFont="1" applyFill="1" applyBorder="1" applyAlignment="1">
      <alignment horizontal="center" wrapText="1"/>
    </xf>
    <xf numFmtId="0" fontId="7" fillId="0" borderId="14" xfId="0" applyFont="1" applyBorder="1"/>
    <xf numFmtId="0" fontId="1" fillId="3" borderId="16" xfId="0" applyFont="1" applyFill="1" applyBorder="1"/>
    <xf numFmtId="0" fontId="1" fillId="0" borderId="17" xfId="0" applyFont="1" applyBorder="1" applyAlignment="1">
      <alignment horizontal="center"/>
    </xf>
    <xf numFmtId="0" fontId="6" fillId="0" borderId="17" xfId="0" applyFont="1" applyBorder="1" applyAlignment="1">
      <alignment horizontal="center"/>
    </xf>
    <xf numFmtId="0" fontId="6" fillId="0" borderId="17" xfId="0" applyFont="1" applyBorder="1" applyAlignment="1">
      <alignment horizontal="center" wrapText="1"/>
    </xf>
    <xf numFmtId="0" fontId="33" fillId="0" borderId="12" xfId="0" applyFont="1" applyBorder="1" applyAlignment="1">
      <alignment horizontal="center" wrapText="1"/>
    </xf>
    <xf numFmtId="0" fontId="1" fillId="0" borderId="15" xfId="0" applyFont="1" applyBorder="1" applyAlignment="1">
      <alignment horizontal="center"/>
    </xf>
    <xf numFmtId="0" fontId="5" fillId="7" borderId="13" xfId="0" applyFont="1" applyFill="1" applyBorder="1" applyAlignment="1">
      <alignment horizontal="center" wrapText="1"/>
    </xf>
    <xf numFmtId="0" fontId="23" fillId="7" borderId="18" xfId="0" applyFont="1" applyFill="1" applyBorder="1" applyAlignment="1">
      <alignment horizontal="center" wrapText="1"/>
    </xf>
    <xf numFmtId="0" fontId="23" fillId="7" borderId="19" xfId="0" applyFont="1" applyFill="1" applyBorder="1" applyAlignment="1">
      <alignment horizontal="center" wrapText="1"/>
    </xf>
    <xf numFmtId="0" fontId="6" fillId="7" borderId="18" xfId="0" applyFont="1" applyFill="1" applyBorder="1" applyAlignment="1">
      <alignment horizontal="center" wrapText="1"/>
    </xf>
    <xf numFmtId="0" fontId="1" fillId="7" borderId="2" xfId="0" applyFont="1" applyFill="1" applyBorder="1"/>
    <xf numFmtId="0" fontId="26" fillId="0" borderId="7" xfId="0" applyFont="1" applyBorder="1" applyAlignment="1">
      <alignment vertical="top" wrapText="1"/>
    </xf>
    <xf numFmtId="0" fontId="23" fillId="7" borderId="2" xfId="0" applyFont="1" applyFill="1" applyBorder="1" applyAlignment="1">
      <alignment horizontal="center" wrapText="1"/>
    </xf>
    <xf numFmtId="0" fontId="23" fillId="7" borderId="19" xfId="0" applyFont="1" applyFill="1" applyBorder="1" applyAlignment="1">
      <alignment horizontal="center"/>
    </xf>
    <xf numFmtId="0" fontId="41" fillId="0" borderId="10" xfId="0" applyFont="1" applyBorder="1" applyAlignment="1">
      <alignment horizontal="center"/>
    </xf>
    <xf numFmtId="0" fontId="0" fillId="5" borderId="1" xfId="0" applyFill="1" applyBorder="1"/>
    <xf numFmtId="0" fontId="0" fillId="6" borderId="1" xfId="0" applyFill="1" applyBorder="1"/>
    <xf numFmtId="0" fontId="0" fillId="7" borderId="1" xfId="0" applyFill="1" applyBorder="1"/>
    <xf numFmtId="0" fontId="4" fillId="0" borderId="1" xfId="0" applyFont="1" applyBorder="1" applyAlignment="1">
      <alignment horizontal="justify" vertical="top"/>
    </xf>
    <xf numFmtId="0" fontId="32" fillId="0" borderId="1" xfId="0" applyFont="1" applyBorder="1" applyAlignment="1">
      <alignment horizontal="center"/>
    </xf>
    <xf numFmtId="0" fontId="24"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1" xfId="0" applyFont="1" applyBorder="1" applyAlignment="1">
      <alignment horizontal="center" vertical="center"/>
    </xf>
    <xf numFmtId="0" fontId="18" fillId="0" borderId="21" xfId="0" applyFont="1" applyBorder="1" applyAlignment="1">
      <alignment horizontal="center" vertical="center"/>
    </xf>
    <xf numFmtId="0" fontId="42" fillId="0" borderId="1" xfId="0" applyFont="1" applyBorder="1" applyAlignment="1">
      <alignment horizontal="center" vertical="center" wrapText="1"/>
    </xf>
    <xf numFmtId="0" fontId="43" fillId="0" borderId="1" xfId="0" applyFont="1" applyBorder="1" applyAlignment="1">
      <alignment horizontal="center"/>
    </xf>
    <xf numFmtId="0" fontId="1" fillId="0" borderId="23" xfId="0" applyFont="1" applyBorder="1" applyAlignment="1">
      <alignment horizontal="center"/>
    </xf>
    <xf numFmtId="0" fontId="0" fillId="0" borderId="0" xfId="0" applyAlignment="1">
      <alignment horizontal="center"/>
    </xf>
    <xf numFmtId="0" fontId="44" fillId="0" borderId="1" xfId="0" applyFont="1" applyBorder="1" applyAlignment="1">
      <alignment horizontal="left" vertical="top" wrapText="1"/>
    </xf>
    <xf numFmtId="0" fontId="45" fillId="0" borderId="1" xfId="0" applyFont="1" applyBorder="1" applyAlignment="1">
      <alignment horizontal="center" vertical="center" wrapText="1"/>
    </xf>
    <xf numFmtId="0" fontId="13" fillId="0" borderId="22" xfId="0" applyFont="1" applyBorder="1" applyAlignment="1">
      <alignment horizontal="center" vertical="center"/>
    </xf>
    <xf numFmtId="0" fontId="21" fillId="8" borderId="2" xfId="0" applyFont="1" applyFill="1" applyBorder="1" applyAlignment="1">
      <alignment horizontal="center" vertical="center"/>
    </xf>
    <xf numFmtId="0" fontId="1" fillId="0" borderId="11" xfId="0" applyFont="1" applyBorder="1"/>
    <xf numFmtId="0" fontId="38" fillId="0" borderId="20" xfId="0" applyFont="1" applyBorder="1" applyAlignment="1">
      <alignment horizontal="center" vertical="center" wrapText="1"/>
    </xf>
    <xf numFmtId="0" fontId="25" fillId="0" borderId="24" xfId="0" applyFont="1" applyBorder="1" applyAlignment="1">
      <alignment horizontal="justify" vertical="center"/>
    </xf>
    <xf numFmtId="0" fontId="40" fillId="0" borderId="21" xfId="0" applyFont="1" applyBorder="1" applyAlignment="1">
      <alignment horizontal="left" vertical="top" wrapText="1"/>
    </xf>
    <xf numFmtId="0" fontId="1" fillId="3" borderId="20" xfId="0" applyFont="1" applyFill="1" applyBorder="1" applyAlignment="1">
      <alignment horizontal="center" wrapText="1"/>
    </xf>
    <xf numFmtId="0" fontId="1" fillId="0" borderId="20" xfId="0" applyFont="1" applyBorder="1" applyAlignment="1">
      <alignment horizontal="center"/>
    </xf>
    <xf numFmtId="0" fontId="6" fillId="9" borderId="5" xfId="0" applyFont="1" applyFill="1" applyBorder="1"/>
    <xf numFmtId="0" fontId="41" fillId="9" borderId="5" xfId="0" applyFont="1" applyFill="1" applyBorder="1"/>
    <xf numFmtId="0" fontId="9" fillId="9" borderId="5" xfId="0" applyFont="1" applyFill="1" applyBorder="1"/>
    <xf numFmtId="0" fontId="24" fillId="9" borderId="5" xfId="0" applyFont="1" applyFill="1" applyBorder="1"/>
    <xf numFmtId="0" fontId="19" fillId="0" borderId="1" xfId="0" applyFont="1" applyBorder="1" applyAlignment="1">
      <alignment horizontal="justify" vertical="top"/>
    </xf>
    <xf numFmtId="0" fontId="28" fillId="0" borderId="1" xfId="0" applyFont="1" applyBorder="1" applyAlignment="1">
      <alignment horizontal="center" vertical="center"/>
    </xf>
    <xf numFmtId="0" fontId="19" fillId="0" borderId="1" xfId="0" applyFont="1" applyBorder="1" applyAlignment="1">
      <alignment wrapText="1"/>
    </xf>
    <xf numFmtId="0" fontId="19" fillId="0" borderId="1" xfId="0" applyFont="1" applyBorder="1"/>
    <xf numFmtId="0" fontId="19" fillId="5" borderId="1" xfId="0" applyFont="1" applyFill="1" applyBorder="1"/>
    <xf numFmtId="0" fontId="19" fillId="6" borderId="1" xfId="0" applyFont="1" applyFill="1" applyBorder="1"/>
    <xf numFmtId="0" fontId="19" fillId="7" borderId="1" xfId="0" applyFont="1" applyFill="1" applyBorder="1"/>
    <xf numFmtId="0" fontId="3" fillId="0" borderId="1" xfId="0" applyFont="1" applyBorder="1" applyAlignment="1">
      <alignment horizontal="justify" vertical="center"/>
    </xf>
    <xf numFmtId="0" fontId="43" fillId="0" borderId="0" xfId="0" applyFont="1" applyAlignment="1">
      <alignment horizontal="center"/>
    </xf>
    <xf numFmtId="0" fontId="4" fillId="0" borderId="1" xfId="0" applyFont="1" applyBorder="1" applyAlignment="1">
      <alignment horizontal="justify" vertical="top" wrapText="1"/>
    </xf>
    <xf numFmtId="0" fontId="9" fillId="0" borderId="1" xfId="0" applyFont="1" applyBorder="1" applyAlignment="1">
      <alignment horizontal="justify" vertical="top" wrapText="1"/>
    </xf>
    <xf numFmtId="0" fontId="46" fillId="0" borderId="1" xfId="0" applyFont="1" applyBorder="1" applyAlignment="1">
      <alignment horizontal="center"/>
    </xf>
    <xf numFmtId="0" fontId="6" fillId="0" borderId="1" xfId="0" applyFont="1" applyBorder="1" applyAlignment="1">
      <alignment horizontal="justify" vertical="top"/>
    </xf>
    <xf numFmtId="0" fontId="4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9" fillId="0" borderId="8"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horizontal="center" vertical="center"/>
    </xf>
    <xf numFmtId="0" fontId="7" fillId="0" borderId="0" xfId="0" applyFont="1" applyAlignment="1">
      <alignment horizontal="center"/>
    </xf>
    <xf numFmtId="0" fontId="48"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Vota&#231;&#227;o%200906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ÇA"/>
      <sheetName val="MOÇÃO E REQUERIMENTO"/>
      <sheetName val="VETO E SEGUNDA DISCUSSÃO"/>
      <sheetName val="PRIMEIRA DISCUSSÃO"/>
      <sheetName val="DISCUSSÃO ÚNICA"/>
      <sheetName val="RECURSOS- DISCUSSÃO ÚNICA"/>
      <sheetName val="REQUERIMENTOS - DISCUSSÃO ÚNICA"/>
    </sheetNames>
    <sheetDataSet>
      <sheetData sheetId="0" refreshError="1"/>
      <sheetData sheetId="1" refreshError="1">
        <row r="7">
          <cell r="B7" t="str">
            <v>EXPEDIENTE</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AB78"/>
  <sheetViews>
    <sheetView zoomScale="70" zoomScaleNormal="70" workbookViewId="0">
      <selection activeCell="K17" sqref="K17"/>
    </sheetView>
  </sheetViews>
  <sheetFormatPr defaultColWidth="9.140625" defaultRowHeight="15"/>
  <cols>
    <col min="1" max="1" width="67.28515625" style="5" customWidth="1"/>
    <col min="2" max="2" width="4.42578125" style="5" customWidth="1"/>
    <col min="3" max="3" width="24.7109375" style="56" customWidth="1"/>
    <col min="4" max="4" width="4.42578125" style="56" customWidth="1"/>
    <col min="5" max="5" width="24.42578125" style="56" customWidth="1"/>
    <col min="6" max="6" width="4.42578125" style="5" customWidth="1"/>
    <col min="7" max="7" width="25.5703125" style="5" customWidth="1"/>
    <col min="8" max="8" width="3.7109375" style="5" customWidth="1"/>
    <col min="9" max="9" width="13.5703125" style="5" customWidth="1"/>
    <col min="10" max="10" width="4.85546875" style="5" customWidth="1"/>
    <col min="11" max="11" width="24.42578125" style="5" customWidth="1"/>
    <col min="12" max="12" width="3.42578125" style="5" hidden="1" customWidth="1"/>
    <col min="13" max="13" width="18.28515625" style="5" hidden="1" customWidth="1"/>
    <col min="14" max="14" width="4.85546875" style="5" customWidth="1"/>
    <col min="15" max="15" width="23.42578125" style="5" customWidth="1"/>
    <col min="16" max="16" width="4.85546875" style="5" customWidth="1"/>
    <col min="17" max="17" width="5" style="5" customWidth="1"/>
    <col min="18" max="18" width="24.42578125" style="5" customWidth="1"/>
    <col min="19" max="19" width="18.7109375" style="5" customWidth="1"/>
    <col min="20" max="20" width="20.42578125" style="5" hidden="1" customWidth="1"/>
    <col min="21" max="21" width="20.5703125" style="5" hidden="1" customWidth="1"/>
    <col min="22" max="22" width="27.7109375" style="5" hidden="1" customWidth="1"/>
    <col min="23" max="23" width="26.7109375" style="5" hidden="1" customWidth="1"/>
    <col min="24" max="24" width="27.7109375" style="5" hidden="1" customWidth="1"/>
    <col min="25" max="25" width="9.140625" style="5" hidden="1" customWidth="1"/>
    <col min="26" max="16384" width="9.140625" style="5"/>
  </cols>
  <sheetData>
    <row r="1" spans="1:28" ht="23.25" customHeight="1">
      <c r="A1" s="83" t="s">
        <v>8</v>
      </c>
      <c r="B1" s="146" t="s">
        <v>29</v>
      </c>
      <c r="C1" s="147"/>
      <c r="D1" s="147"/>
      <c r="E1" s="147"/>
      <c r="F1" s="147"/>
      <c r="G1" s="147"/>
      <c r="H1" s="147"/>
      <c r="I1" s="147"/>
      <c r="J1" s="147"/>
      <c r="K1" s="147"/>
      <c r="L1" s="147"/>
      <c r="M1" s="147"/>
      <c r="N1" s="70"/>
      <c r="O1" s="70"/>
      <c r="P1" s="70"/>
      <c r="Q1" s="40">
        <v>1</v>
      </c>
      <c r="R1" s="36" t="s">
        <v>10</v>
      </c>
      <c r="T1" s="150"/>
      <c r="U1" s="150"/>
      <c r="V1" s="150"/>
      <c r="W1" s="150"/>
      <c r="X1" s="150"/>
      <c r="Y1" s="150"/>
      <c r="Z1" s="7" t="s">
        <v>16</v>
      </c>
    </row>
    <row r="2" spans="1:28" ht="19.5" customHeight="1">
      <c r="A2" s="83" t="s">
        <v>100</v>
      </c>
      <c r="B2" s="148"/>
      <c r="C2" s="149"/>
      <c r="D2" s="149"/>
      <c r="E2" s="149"/>
      <c r="F2" s="149"/>
      <c r="G2" s="149"/>
      <c r="H2" s="149"/>
      <c r="I2" s="149"/>
      <c r="J2" s="149"/>
      <c r="K2" s="149"/>
      <c r="L2" s="149"/>
      <c r="M2" s="149"/>
      <c r="N2" s="70"/>
      <c r="O2" s="70"/>
      <c r="P2" s="70"/>
      <c r="Q2" s="35">
        <v>2</v>
      </c>
      <c r="R2" s="36" t="s">
        <v>11</v>
      </c>
      <c r="T2" s="150"/>
      <c r="U2" s="150"/>
      <c r="V2" s="150"/>
      <c r="W2" s="150"/>
      <c r="X2" s="150"/>
      <c r="Y2" s="150"/>
      <c r="Z2" s="7" t="s">
        <v>17</v>
      </c>
    </row>
    <row r="3" spans="1:28" ht="19.5" customHeight="1" thickBot="1">
      <c r="A3" s="83" t="s">
        <v>101</v>
      </c>
      <c r="B3" s="148"/>
      <c r="C3" s="149"/>
      <c r="D3" s="149"/>
      <c r="E3" s="149"/>
      <c r="F3" s="149"/>
      <c r="G3" s="149"/>
      <c r="H3" s="149"/>
      <c r="I3" s="149"/>
      <c r="J3" s="149"/>
      <c r="K3" s="149"/>
      <c r="L3" s="149"/>
      <c r="M3" s="149"/>
      <c r="N3" s="70"/>
      <c r="O3" s="70"/>
      <c r="P3" s="70"/>
      <c r="Q3" s="41">
        <v>3</v>
      </c>
      <c r="R3" s="37" t="s">
        <v>12</v>
      </c>
      <c r="T3" s="150"/>
      <c r="U3" s="150"/>
      <c r="V3" s="150"/>
      <c r="W3" s="150"/>
      <c r="X3" s="150"/>
      <c r="Y3" s="150"/>
    </row>
    <row r="4" spans="1:28" ht="46.5" thickBot="1">
      <c r="A4" s="47"/>
      <c r="B4" s="87"/>
      <c r="C4" s="92" t="s">
        <v>90</v>
      </c>
      <c r="D4" s="92"/>
      <c r="E4" s="92"/>
      <c r="F4" s="44"/>
      <c r="G4" s="43" t="s">
        <v>53</v>
      </c>
      <c r="H4" s="43"/>
      <c r="I4" s="69" t="s">
        <v>51</v>
      </c>
      <c r="J4" s="45"/>
      <c r="K4" s="43" t="s">
        <v>30</v>
      </c>
      <c r="L4" s="45"/>
      <c r="M4" s="43" t="s">
        <v>30</v>
      </c>
      <c r="N4" s="45"/>
      <c r="O4" s="43" t="s">
        <v>47</v>
      </c>
      <c r="P4" s="45"/>
      <c r="Q4" s="42"/>
      <c r="R4" s="61" t="s">
        <v>9</v>
      </c>
      <c r="S4" s="93"/>
      <c r="T4" s="150"/>
      <c r="U4" s="150"/>
      <c r="V4" s="150"/>
      <c r="W4" s="150"/>
      <c r="X4" s="150"/>
      <c r="Y4" s="150"/>
    </row>
    <row r="5" spans="1:28" ht="18" customHeight="1">
      <c r="A5" s="46" t="s">
        <v>54</v>
      </c>
      <c r="B5" s="88">
        <v>1</v>
      </c>
      <c r="C5" s="62" t="s">
        <v>55</v>
      </c>
      <c r="D5" s="63"/>
      <c r="E5" s="62"/>
      <c r="F5" s="88">
        <v>1</v>
      </c>
      <c r="G5" s="62" t="s">
        <v>55</v>
      </c>
      <c r="H5" s="63"/>
      <c r="I5" s="62"/>
      <c r="J5" s="63">
        <v>1</v>
      </c>
      <c r="K5" s="62" t="s">
        <v>55</v>
      </c>
      <c r="L5" s="125"/>
      <c r="M5" s="126"/>
      <c r="N5" s="63"/>
      <c r="O5" s="62"/>
      <c r="P5" s="63"/>
      <c r="Q5" s="63"/>
      <c r="R5" s="102"/>
      <c r="S5" s="115"/>
      <c r="T5" s="150"/>
      <c r="U5" s="150"/>
      <c r="V5" s="150"/>
      <c r="W5" s="150"/>
      <c r="X5" s="150"/>
      <c r="Y5" s="150"/>
    </row>
    <row r="6" spans="1:28" ht="18" customHeight="1">
      <c r="A6" s="46" t="s">
        <v>94</v>
      </c>
      <c r="B6" s="88">
        <v>2</v>
      </c>
      <c r="C6" s="102" t="s">
        <v>56</v>
      </c>
      <c r="D6" s="63"/>
      <c r="E6" s="102"/>
      <c r="F6" s="88">
        <v>1</v>
      </c>
      <c r="G6" s="62" t="s">
        <v>55</v>
      </c>
      <c r="H6" s="63"/>
      <c r="I6" s="62"/>
      <c r="J6" s="63">
        <v>1</v>
      </c>
      <c r="K6" s="62" t="s">
        <v>55</v>
      </c>
      <c r="L6" s="67"/>
      <c r="M6" s="65"/>
      <c r="N6" s="63"/>
      <c r="O6" s="62"/>
      <c r="P6" s="63"/>
      <c r="Q6" s="63"/>
      <c r="R6" s="102"/>
      <c r="S6" s="89"/>
      <c r="T6" s="150"/>
      <c r="U6" s="150"/>
      <c r="V6" s="150"/>
      <c r="W6" s="150"/>
      <c r="X6" s="150"/>
      <c r="Y6" s="150"/>
    </row>
    <row r="7" spans="1:28" ht="18" customHeight="1">
      <c r="A7" s="46" t="s">
        <v>57</v>
      </c>
      <c r="B7" s="88">
        <v>1</v>
      </c>
      <c r="C7" s="62" t="s">
        <v>55</v>
      </c>
      <c r="D7" s="63"/>
      <c r="E7" s="62"/>
      <c r="F7" s="88">
        <v>1</v>
      </c>
      <c r="G7" s="62" t="s">
        <v>55</v>
      </c>
      <c r="H7" s="63"/>
      <c r="I7" s="62"/>
      <c r="J7" s="63">
        <v>1</v>
      </c>
      <c r="K7" s="62" t="s">
        <v>55</v>
      </c>
      <c r="L7" s="67"/>
      <c r="M7" s="65"/>
      <c r="N7" s="63"/>
      <c r="O7" s="62"/>
      <c r="P7" s="63"/>
      <c r="Q7" s="63"/>
      <c r="R7" s="102"/>
      <c r="S7" s="89"/>
      <c r="T7" s="150"/>
      <c r="U7" s="150"/>
      <c r="V7" s="150"/>
      <c r="W7" s="150"/>
      <c r="X7" s="150"/>
      <c r="Y7" s="150"/>
    </row>
    <row r="8" spans="1:28" ht="18" customHeight="1">
      <c r="A8" s="82" t="s">
        <v>58</v>
      </c>
      <c r="B8" s="88">
        <v>1</v>
      </c>
      <c r="C8" s="62" t="s">
        <v>55</v>
      </c>
      <c r="D8" s="63"/>
      <c r="E8" s="62"/>
      <c r="F8" s="88">
        <v>1</v>
      </c>
      <c r="G8" s="62" t="s">
        <v>55</v>
      </c>
      <c r="H8" s="63"/>
      <c r="I8" s="62"/>
      <c r="J8" s="63">
        <v>1</v>
      </c>
      <c r="K8" s="62" t="s">
        <v>55</v>
      </c>
      <c r="L8" s="67"/>
      <c r="M8" s="65"/>
      <c r="N8" s="63"/>
      <c r="O8" s="62"/>
      <c r="P8" s="63"/>
      <c r="Q8" s="63"/>
      <c r="R8" s="62"/>
      <c r="S8" s="89"/>
      <c r="T8" s="150"/>
      <c r="U8" s="150"/>
      <c r="V8" s="150"/>
      <c r="W8" s="150"/>
      <c r="X8" s="150"/>
      <c r="Y8" s="150"/>
    </row>
    <row r="9" spans="1:28" ht="18" customHeight="1">
      <c r="A9" s="46" t="s">
        <v>28</v>
      </c>
      <c r="B9" s="88">
        <v>2</v>
      </c>
      <c r="C9" s="102" t="s">
        <v>56</v>
      </c>
      <c r="D9" s="63"/>
      <c r="E9" s="62"/>
      <c r="F9" s="88">
        <v>2</v>
      </c>
      <c r="G9" s="102" t="s">
        <v>56</v>
      </c>
      <c r="H9" s="63"/>
      <c r="I9" s="62"/>
      <c r="J9" s="63">
        <v>2</v>
      </c>
      <c r="K9" s="102" t="s">
        <v>56</v>
      </c>
      <c r="L9" s="67"/>
      <c r="M9" s="65"/>
      <c r="N9" s="63"/>
      <c r="O9" s="62"/>
      <c r="P9" s="63"/>
      <c r="Q9" s="63"/>
      <c r="R9" s="102"/>
      <c r="S9" s="89"/>
      <c r="T9" s="150"/>
      <c r="U9" s="150"/>
      <c r="V9" s="150"/>
      <c r="W9" s="150"/>
      <c r="X9" s="150"/>
      <c r="Y9" s="150"/>
    </row>
    <row r="10" spans="1:28" ht="18" customHeight="1">
      <c r="A10" s="46" t="s">
        <v>59</v>
      </c>
      <c r="B10" s="88">
        <v>1</v>
      </c>
      <c r="C10" s="62" t="s">
        <v>55</v>
      </c>
      <c r="D10" s="63"/>
      <c r="E10" s="62"/>
      <c r="F10" s="88">
        <v>1</v>
      </c>
      <c r="G10" s="62" t="s">
        <v>55</v>
      </c>
      <c r="H10" s="63"/>
      <c r="I10" s="62"/>
      <c r="J10" s="63">
        <v>1</v>
      </c>
      <c r="K10" s="62" t="s">
        <v>55</v>
      </c>
      <c r="L10" s="67"/>
      <c r="M10" s="65"/>
      <c r="N10" s="63"/>
      <c r="O10" s="102"/>
      <c r="P10" s="63"/>
      <c r="Q10" s="63"/>
      <c r="R10" s="62"/>
      <c r="S10" s="89"/>
      <c r="T10" s="150"/>
      <c r="U10" s="150"/>
      <c r="V10" s="150"/>
      <c r="W10" s="150"/>
      <c r="X10" s="150"/>
      <c r="Y10" s="150"/>
    </row>
    <row r="11" spans="1:28" ht="20.25">
      <c r="A11" s="46" t="s">
        <v>22</v>
      </c>
      <c r="B11" s="88">
        <v>1</v>
      </c>
      <c r="C11" s="62" t="s">
        <v>55</v>
      </c>
      <c r="D11" s="63"/>
      <c r="E11" s="62"/>
      <c r="F11" s="88">
        <v>1</v>
      </c>
      <c r="G11" s="62" t="s">
        <v>55</v>
      </c>
      <c r="H11" s="63"/>
      <c r="I11" s="62"/>
      <c r="J11" s="63">
        <v>1</v>
      </c>
      <c r="K11" s="62" t="s">
        <v>55</v>
      </c>
      <c r="L11" s="67"/>
      <c r="M11" s="65"/>
      <c r="N11" s="63"/>
      <c r="O11" s="62"/>
      <c r="P11" s="63"/>
      <c r="Q11" s="63"/>
      <c r="R11" s="62"/>
      <c r="S11" s="90"/>
      <c r="T11" s="150"/>
      <c r="U11" s="150"/>
      <c r="V11" s="150"/>
      <c r="W11" s="150"/>
      <c r="X11" s="150"/>
      <c r="Y11" s="150"/>
    </row>
    <row r="12" spans="1:28" ht="18" customHeight="1">
      <c r="A12" s="46" t="s">
        <v>23</v>
      </c>
      <c r="B12" s="88">
        <v>1</v>
      </c>
      <c r="C12" s="62" t="s">
        <v>55</v>
      </c>
      <c r="D12" s="63"/>
      <c r="E12" s="102"/>
      <c r="F12" s="88">
        <v>1</v>
      </c>
      <c r="G12" s="62" t="s">
        <v>55</v>
      </c>
      <c r="H12" s="63"/>
      <c r="I12" s="68"/>
      <c r="J12" s="63">
        <v>2</v>
      </c>
      <c r="K12" s="102" t="s">
        <v>56</v>
      </c>
      <c r="L12" s="67"/>
      <c r="M12" s="65"/>
      <c r="N12" s="63"/>
      <c r="O12" s="62"/>
      <c r="P12" s="63"/>
      <c r="Q12" s="63"/>
      <c r="R12" s="102"/>
      <c r="S12" s="91"/>
      <c r="T12" s="150"/>
      <c r="U12" s="150"/>
      <c r="V12" s="150"/>
      <c r="W12" s="150"/>
      <c r="X12" s="150"/>
      <c r="Y12" s="150"/>
      <c r="AB12" s="12"/>
    </row>
    <row r="13" spans="1:28" ht="18" customHeight="1">
      <c r="A13" s="46" t="s">
        <v>24</v>
      </c>
      <c r="B13" s="88">
        <v>2</v>
      </c>
      <c r="C13" s="102" t="s">
        <v>56</v>
      </c>
      <c r="D13" s="63"/>
      <c r="E13" s="62"/>
      <c r="F13" s="88">
        <v>2</v>
      </c>
      <c r="G13" s="102" t="s">
        <v>56</v>
      </c>
      <c r="H13" s="63"/>
      <c r="I13" s="62"/>
      <c r="J13" s="63">
        <v>1</v>
      </c>
      <c r="K13" s="62" t="s">
        <v>55</v>
      </c>
      <c r="L13" s="67"/>
      <c r="M13" s="65"/>
      <c r="N13" s="63"/>
      <c r="O13" s="62"/>
      <c r="P13" s="63"/>
      <c r="Q13" s="63"/>
      <c r="R13" s="102"/>
      <c r="S13" s="91"/>
      <c r="T13" s="150"/>
      <c r="U13" s="150"/>
      <c r="V13" s="150"/>
      <c r="W13" s="150"/>
      <c r="X13" s="150"/>
      <c r="Y13" s="150"/>
    </row>
    <row r="14" spans="1:28" ht="18" customHeight="1">
      <c r="A14" s="46" t="s">
        <v>60</v>
      </c>
      <c r="B14" s="88">
        <v>1</v>
      </c>
      <c r="C14" s="62" t="s">
        <v>55</v>
      </c>
      <c r="D14" s="63"/>
      <c r="E14" s="62"/>
      <c r="F14" s="88">
        <v>1</v>
      </c>
      <c r="G14" s="62" t="s">
        <v>55</v>
      </c>
      <c r="H14" s="63"/>
      <c r="I14" s="62"/>
      <c r="J14" s="63">
        <v>2</v>
      </c>
      <c r="K14" s="102" t="s">
        <v>56</v>
      </c>
      <c r="L14" s="67"/>
      <c r="M14" s="65"/>
      <c r="N14" s="63"/>
      <c r="O14" s="62"/>
      <c r="P14" s="63"/>
      <c r="Q14" s="63"/>
      <c r="R14" s="102"/>
      <c r="S14" s="91"/>
      <c r="T14" s="150"/>
      <c r="U14" s="150"/>
      <c r="V14" s="150"/>
      <c r="W14" s="150"/>
      <c r="X14" s="150"/>
      <c r="Y14" s="150"/>
    </row>
    <row r="15" spans="1:28" ht="18" customHeight="1">
      <c r="A15" s="46" t="s">
        <v>61</v>
      </c>
      <c r="B15" s="88">
        <v>1</v>
      </c>
      <c r="C15" s="62" t="s">
        <v>55</v>
      </c>
      <c r="D15" s="63"/>
      <c r="E15" s="62"/>
      <c r="F15" s="88">
        <v>1</v>
      </c>
      <c r="G15" s="62" t="s">
        <v>55</v>
      </c>
      <c r="H15" s="63"/>
      <c r="I15" s="62"/>
      <c r="J15" s="63">
        <v>2</v>
      </c>
      <c r="K15" s="102" t="s">
        <v>56</v>
      </c>
      <c r="L15" s="67"/>
      <c r="M15" s="65"/>
      <c r="N15" s="63"/>
      <c r="O15" s="62"/>
      <c r="P15" s="63"/>
      <c r="Q15" s="63"/>
      <c r="R15" s="102"/>
      <c r="S15" s="91"/>
      <c r="T15" s="150"/>
      <c r="U15" s="150"/>
      <c r="V15" s="150"/>
      <c r="W15" s="150"/>
      <c r="X15" s="150"/>
      <c r="Y15" s="150"/>
    </row>
    <row r="16" spans="1:28" ht="18" customHeight="1">
      <c r="A16" s="46" t="s">
        <v>62</v>
      </c>
      <c r="B16" s="88">
        <v>1</v>
      </c>
      <c r="C16" s="62" t="s">
        <v>55</v>
      </c>
      <c r="D16" s="63"/>
      <c r="E16" s="62"/>
      <c r="F16" s="88">
        <v>1</v>
      </c>
      <c r="G16" s="62" t="s">
        <v>55</v>
      </c>
      <c r="H16" s="63"/>
      <c r="I16" s="62"/>
      <c r="J16" s="63">
        <v>1</v>
      </c>
      <c r="K16" s="62" t="s">
        <v>55</v>
      </c>
      <c r="L16" s="67"/>
      <c r="M16" s="65"/>
      <c r="N16" s="63"/>
      <c r="O16" s="62"/>
      <c r="P16" s="63"/>
      <c r="Q16" s="63"/>
      <c r="R16" s="102"/>
      <c r="S16" s="91"/>
      <c r="T16" s="150"/>
      <c r="U16" s="150"/>
      <c r="V16" s="150"/>
      <c r="W16" s="150"/>
      <c r="X16" s="150"/>
      <c r="Y16" s="150"/>
    </row>
    <row r="17" spans="1:28" ht="18.75" customHeight="1">
      <c r="A17" s="46" t="s">
        <v>25</v>
      </c>
      <c r="B17" s="88">
        <v>2</v>
      </c>
      <c r="C17" s="102" t="s">
        <v>56</v>
      </c>
      <c r="D17" s="63"/>
      <c r="E17" s="62"/>
      <c r="F17" s="88">
        <v>1</v>
      </c>
      <c r="G17" s="62" t="s">
        <v>55</v>
      </c>
      <c r="H17" s="63"/>
      <c r="I17" s="68"/>
      <c r="J17" s="63">
        <v>2</v>
      </c>
      <c r="K17" s="102" t="s">
        <v>56</v>
      </c>
      <c r="L17" s="67"/>
      <c r="M17" s="65"/>
      <c r="N17" s="63"/>
      <c r="O17" s="62"/>
      <c r="P17" s="63"/>
      <c r="Q17" s="63"/>
      <c r="R17" s="102"/>
      <c r="S17" s="91"/>
      <c r="T17" s="150"/>
      <c r="U17" s="150"/>
      <c r="V17" s="150"/>
      <c r="W17" s="150"/>
      <c r="X17" s="150"/>
      <c r="Y17" s="150"/>
    </row>
    <row r="18" spans="1:28" ht="17.25" customHeight="1">
      <c r="A18" s="46" t="s">
        <v>63</v>
      </c>
      <c r="B18" s="88">
        <v>1</v>
      </c>
      <c r="C18" s="62" t="s">
        <v>55</v>
      </c>
      <c r="D18" s="63"/>
      <c r="E18" s="62"/>
      <c r="F18" s="88">
        <v>1</v>
      </c>
      <c r="G18" s="62" t="s">
        <v>55</v>
      </c>
      <c r="H18" s="63"/>
      <c r="I18" s="62"/>
      <c r="J18" s="63">
        <v>1</v>
      </c>
      <c r="K18" s="62" t="s">
        <v>55</v>
      </c>
      <c r="L18" s="67"/>
      <c r="M18" s="65"/>
      <c r="N18" s="63"/>
      <c r="O18" s="62"/>
      <c r="P18" s="63"/>
      <c r="Q18" s="63"/>
      <c r="R18" s="102"/>
      <c r="S18" s="91"/>
      <c r="T18" s="150"/>
      <c r="U18" s="150"/>
      <c r="V18" s="150"/>
      <c r="W18" s="150"/>
      <c r="X18" s="150"/>
      <c r="Y18" s="150"/>
    </row>
    <row r="19" spans="1:28" ht="18" customHeight="1">
      <c r="A19" s="46" t="s">
        <v>95</v>
      </c>
      <c r="B19" s="88">
        <v>2</v>
      </c>
      <c r="C19" s="102" t="s">
        <v>56</v>
      </c>
      <c r="D19" s="63"/>
      <c r="E19" s="102"/>
      <c r="F19" s="88">
        <v>1</v>
      </c>
      <c r="G19" s="62" t="s">
        <v>55</v>
      </c>
      <c r="H19" s="63"/>
      <c r="I19" s="62"/>
      <c r="J19" s="63">
        <v>1</v>
      </c>
      <c r="K19" s="62" t="s">
        <v>55</v>
      </c>
      <c r="L19" s="67"/>
      <c r="M19" s="65"/>
      <c r="N19" s="63"/>
      <c r="O19" s="102"/>
      <c r="P19" s="63"/>
      <c r="Q19" s="63"/>
      <c r="R19" s="102"/>
      <c r="S19" s="91"/>
      <c r="T19" s="150"/>
      <c r="U19" s="150"/>
      <c r="V19" s="150"/>
      <c r="W19" s="150"/>
      <c r="X19" s="150"/>
      <c r="Y19" s="150"/>
    </row>
    <row r="20" spans="1:28" ht="18" customHeight="1">
      <c r="A20" s="46" t="s">
        <v>26</v>
      </c>
      <c r="B20" s="88">
        <v>2</v>
      </c>
      <c r="C20" s="102" t="s">
        <v>56</v>
      </c>
      <c r="D20" s="63"/>
      <c r="E20" s="62"/>
      <c r="F20" s="88">
        <v>1</v>
      </c>
      <c r="G20" s="62" t="s">
        <v>55</v>
      </c>
      <c r="H20" s="63"/>
      <c r="I20" s="68"/>
      <c r="J20" s="63">
        <v>1</v>
      </c>
      <c r="K20" s="62" t="s">
        <v>55</v>
      </c>
      <c r="L20" s="67"/>
      <c r="M20" s="65"/>
      <c r="N20" s="63"/>
      <c r="O20" s="62"/>
      <c r="P20" s="63"/>
      <c r="Q20" s="63"/>
      <c r="R20" s="102"/>
      <c r="S20" s="91"/>
      <c r="T20" s="150"/>
      <c r="U20" s="150"/>
      <c r="V20" s="150"/>
      <c r="W20" s="150"/>
      <c r="X20" s="150"/>
      <c r="Y20" s="150"/>
    </row>
    <row r="21" spans="1:28" ht="18.75" customHeight="1">
      <c r="A21" s="46" t="s">
        <v>64</v>
      </c>
      <c r="B21" s="88">
        <v>2</v>
      </c>
      <c r="C21" s="102" t="s">
        <v>56</v>
      </c>
      <c r="D21" s="63"/>
      <c r="E21" s="62"/>
      <c r="F21" s="88">
        <v>1</v>
      </c>
      <c r="G21" s="62" t="s">
        <v>55</v>
      </c>
      <c r="H21" s="63"/>
      <c r="I21" s="62"/>
      <c r="J21" s="63">
        <v>2</v>
      </c>
      <c r="K21" s="102" t="s">
        <v>56</v>
      </c>
      <c r="L21" s="64"/>
      <c r="M21" s="64"/>
      <c r="N21" s="63"/>
      <c r="O21" s="62"/>
      <c r="P21" s="63"/>
      <c r="Q21" s="63"/>
      <c r="R21" s="62"/>
      <c r="S21" s="91"/>
      <c r="T21" s="150"/>
      <c r="U21" s="150"/>
      <c r="V21" s="150"/>
      <c r="W21" s="150"/>
      <c r="X21" s="150"/>
      <c r="Y21" s="150"/>
    </row>
    <row r="22" spans="1:28" ht="18" customHeight="1">
      <c r="A22" s="46" t="s">
        <v>96</v>
      </c>
      <c r="B22" s="88">
        <v>2</v>
      </c>
      <c r="C22" s="102" t="s">
        <v>56</v>
      </c>
      <c r="D22" s="63"/>
      <c r="E22" s="102"/>
      <c r="F22" s="88">
        <v>1</v>
      </c>
      <c r="G22" s="62" t="s">
        <v>55</v>
      </c>
      <c r="H22" s="63"/>
      <c r="I22" s="68"/>
      <c r="J22" s="63">
        <v>2</v>
      </c>
      <c r="K22" s="102" t="s">
        <v>56</v>
      </c>
      <c r="L22" s="67"/>
      <c r="M22" s="65"/>
      <c r="N22" s="63"/>
      <c r="O22" s="62"/>
      <c r="P22" s="63"/>
      <c r="Q22" s="63"/>
      <c r="R22" s="102"/>
      <c r="S22" s="91"/>
      <c r="T22" s="150"/>
      <c r="U22" s="150"/>
      <c r="V22" s="150"/>
      <c r="W22" s="150"/>
      <c r="X22" s="150"/>
      <c r="Y22" s="150"/>
    </row>
    <row r="23" spans="1:28" ht="18" customHeight="1">
      <c r="A23" s="46" t="s">
        <v>52</v>
      </c>
      <c r="B23" s="88">
        <v>2</v>
      </c>
      <c r="C23" s="102" t="s">
        <v>56</v>
      </c>
      <c r="D23" s="63"/>
      <c r="E23" s="62"/>
      <c r="F23" s="88">
        <v>2</v>
      </c>
      <c r="G23" s="102" t="s">
        <v>56</v>
      </c>
      <c r="H23" s="63"/>
      <c r="I23" s="62"/>
      <c r="J23" s="63">
        <v>2</v>
      </c>
      <c r="K23" s="102" t="s">
        <v>56</v>
      </c>
      <c r="L23" s="67"/>
      <c r="M23" s="65"/>
      <c r="N23" s="63"/>
      <c r="O23" s="62"/>
      <c r="P23" s="63"/>
      <c r="Q23" s="63"/>
      <c r="R23" s="62"/>
      <c r="S23" s="91"/>
      <c r="T23" s="150"/>
      <c r="U23" s="150"/>
      <c r="V23" s="150"/>
      <c r="W23" s="150"/>
      <c r="X23" s="150"/>
      <c r="Y23" s="150"/>
    </row>
    <row r="24" spans="1:28" ht="20.25">
      <c r="A24" s="46" t="s">
        <v>102</v>
      </c>
      <c r="B24" s="88"/>
      <c r="C24" s="102"/>
      <c r="D24" s="63"/>
      <c r="E24" s="62"/>
      <c r="F24" s="88">
        <v>1</v>
      </c>
      <c r="G24" s="62" t="s">
        <v>55</v>
      </c>
      <c r="H24" s="63"/>
      <c r="I24" s="62"/>
      <c r="J24" s="63">
        <v>1</v>
      </c>
      <c r="K24" s="62" t="s">
        <v>55</v>
      </c>
      <c r="L24" s="67"/>
      <c r="M24" s="65"/>
      <c r="N24" s="63"/>
      <c r="O24" s="62"/>
      <c r="P24" s="63"/>
      <c r="Q24" s="63"/>
      <c r="R24" s="102"/>
      <c r="S24" s="91"/>
      <c r="T24" s="150"/>
      <c r="U24" s="150"/>
      <c r="V24" s="150"/>
      <c r="W24" s="150"/>
      <c r="X24" s="150"/>
      <c r="Y24" s="150"/>
    </row>
    <row r="25" spans="1:28" ht="18" customHeight="1" thickBot="1">
      <c r="A25" s="46" t="s">
        <v>65</v>
      </c>
      <c r="B25" s="88">
        <v>1</v>
      </c>
      <c r="C25" s="62" t="s">
        <v>55</v>
      </c>
      <c r="D25" s="63"/>
      <c r="E25" s="62"/>
      <c r="F25" s="88">
        <v>1</v>
      </c>
      <c r="G25" s="62" t="s">
        <v>55</v>
      </c>
      <c r="H25" s="63"/>
      <c r="I25" s="68"/>
      <c r="J25" s="63">
        <v>1</v>
      </c>
      <c r="K25" s="62" t="s">
        <v>55</v>
      </c>
      <c r="L25" s="67"/>
      <c r="M25" s="65"/>
      <c r="N25" s="63"/>
      <c r="O25" s="62"/>
      <c r="P25" s="63"/>
      <c r="Q25" s="66"/>
      <c r="R25" s="102"/>
      <c r="S25" s="91"/>
      <c r="T25" s="150"/>
      <c r="U25" s="150"/>
      <c r="V25" s="150"/>
      <c r="W25" s="150"/>
      <c r="X25" s="150"/>
      <c r="Y25" s="150"/>
    </row>
    <row r="26" spans="1:28" ht="16.5" thickBot="1">
      <c r="A26" s="38" t="s">
        <v>13</v>
      </c>
      <c r="B26" s="98">
        <v>11</v>
      </c>
      <c r="C26" s="96" t="s">
        <v>49</v>
      </c>
      <c r="D26" s="98"/>
      <c r="E26" s="96"/>
      <c r="F26" s="98">
        <v>18</v>
      </c>
      <c r="G26" s="96" t="s">
        <v>49</v>
      </c>
      <c r="H26" s="100"/>
      <c r="I26" s="101"/>
      <c r="J26" s="98">
        <v>13</v>
      </c>
      <c r="K26" s="95" t="s">
        <v>49</v>
      </c>
      <c r="L26" s="85"/>
      <c r="M26" s="94"/>
      <c r="N26" s="98"/>
      <c r="O26" s="96" t="s">
        <v>49</v>
      </c>
      <c r="P26" s="98"/>
      <c r="Q26" s="98"/>
      <c r="R26" s="97" t="s">
        <v>49</v>
      </c>
      <c r="S26" s="86"/>
      <c r="V26" s="12"/>
      <c r="W26" s="12"/>
    </row>
    <row r="27" spans="1:28" ht="16.5" thickBot="1">
      <c r="A27" s="39" t="s">
        <v>14</v>
      </c>
      <c r="B27" s="98">
        <v>9</v>
      </c>
      <c r="C27" s="96" t="s">
        <v>50</v>
      </c>
      <c r="D27" s="98"/>
      <c r="E27" s="96"/>
      <c r="F27" s="98">
        <v>3</v>
      </c>
      <c r="G27" s="96" t="s">
        <v>50</v>
      </c>
      <c r="H27" s="100"/>
      <c r="I27" s="96"/>
      <c r="J27" s="98">
        <v>8</v>
      </c>
      <c r="K27" s="95" t="s">
        <v>50</v>
      </c>
      <c r="L27" s="85"/>
      <c r="M27" s="94"/>
      <c r="N27" s="98"/>
      <c r="O27" s="96" t="s">
        <v>50</v>
      </c>
      <c r="P27" s="98"/>
      <c r="Q27" s="98"/>
      <c r="R27" s="95" t="s">
        <v>50</v>
      </c>
      <c r="S27" s="86"/>
      <c r="V27" s="12"/>
      <c r="W27" s="12"/>
      <c r="AB27" s="5" t="s">
        <v>93</v>
      </c>
    </row>
    <row r="28" spans="1:28" ht="19.5" customHeight="1">
      <c r="A28"/>
      <c r="B28" s="53"/>
      <c r="C28" s="71"/>
      <c r="D28" s="71"/>
      <c r="E28" s="71"/>
      <c r="F28" s="53"/>
      <c r="G28" s="53"/>
      <c r="H28" s="53"/>
      <c r="I28" s="6"/>
      <c r="J28" s="6"/>
      <c r="K28" s="6"/>
      <c r="L28" s="6"/>
      <c r="M28" s="6"/>
      <c r="N28" s="6"/>
      <c r="O28" s="6"/>
      <c r="P28" s="6"/>
      <c r="Q28" s="6"/>
      <c r="R28" s="6"/>
      <c r="S28" s="53"/>
      <c r="V28" s="12"/>
      <c r="W28" s="12"/>
    </row>
    <row r="29" spans="1:28" ht="15.75">
      <c r="A29"/>
      <c r="C29" s="72"/>
      <c r="D29" s="72"/>
      <c r="E29" s="72"/>
      <c r="I29" s="6"/>
      <c r="K29" s="6"/>
      <c r="M29" s="6"/>
      <c r="O29" s="6"/>
      <c r="R29" s="6"/>
      <c r="S29" s="6"/>
      <c r="V29" s="12"/>
      <c r="W29" s="12"/>
    </row>
    <row r="30" spans="1:28" ht="18.75">
      <c r="A30" s="33" t="s">
        <v>15</v>
      </c>
      <c r="B30" s="33"/>
      <c r="C30" s="73"/>
      <c r="D30" s="73"/>
      <c r="E30" s="73"/>
      <c r="F30" s="33"/>
      <c r="G30" s="33"/>
      <c r="H30" s="33"/>
      <c r="I30" s="33"/>
      <c r="R30" s="33"/>
      <c r="V30" s="12"/>
      <c r="W30" s="12"/>
    </row>
    <row r="31" spans="1:28" ht="15.75">
      <c r="A31" s="7" t="s">
        <v>36</v>
      </c>
      <c r="V31" s="12"/>
      <c r="W31" s="12"/>
    </row>
    <row r="32" spans="1:28" ht="18">
      <c r="A32" s="34" t="s">
        <v>96</v>
      </c>
      <c r="V32" s="12"/>
      <c r="W32" s="12"/>
    </row>
    <row r="33" spans="1:23" ht="18">
      <c r="A33" s="34" t="s">
        <v>95</v>
      </c>
      <c r="V33" s="12"/>
      <c r="W33" s="12"/>
    </row>
    <row r="34" spans="1:23" ht="18">
      <c r="A34" s="34" t="s">
        <v>102</v>
      </c>
      <c r="V34" s="12"/>
      <c r="W34" s="12"/>
    </row>
    <row r="35" spans="1:23" ht="18">
      <c r="A35" s="34" t="s">
        <v>26</v>
      </c>
      <c r="V35" s="12"/>
      <c r="W35" s="12"/>
    </row>
    <row r="36" spans="1:23" ht="18">
      <c r="A36" s="34" t="s">
        <v>64</v>
      </c>
      <c r="V36" s="32"/>
      <c r="W36" s="12"/>
    </row>
    <row r="37" spans="1:23" ht="18">
      <c r="A37" s="34" t="s">
        <v>94</v>
      </c>
      <c r="V37" s="12"/>
      <c r="W37" s="12"/>
    </row>
    <row r="38" spans="1:23" ht="18">
      <c r="A38" s="34" t="s">
        <v>25</v>
      </c>
      <c r="V38" s="12"/>
      <c r="W38" s="12"/>
    </row>
    <row r="39" spans="1:23" ht="18">
      <c r="A39" s="34" t="s">
        <v>28</v>
      </c>
      <c r="V39" s="12"/>
      <c r="W39" s="12"/>
    </row>
    <row r="40" spans="1:23" ht="15.75">
      <c r="A40" s="7" t="s">
        <v>89</v>
      </c>
      <c r="V40" s="12"/>
      <c r="W40" s="12"/>
    </row>
    <row r="41" spans="1:23" ht="18">
      <c r="A41" s="34" t="s">
        <v>28</v>
      </c>
      <c r="V41" s="12"/>
      <c r="W41" s="12"/>
    </row>
    <row r="42" spans="1:23" ht="18">
      <c r="A42" s="34" t="s">
        <v>24</v>
      </c>
      <c r="V42" s="12"/>
      <c r="W42" s="12"/>
    </row>
    <row r="43" spans="1:23" ht="18">
      <c r="A43" s="34"/>
      <c r="V43" s="12"/>
      <c r="W43" s="12"/>
    </row>
    <row r="44" spans="1:23" ht="18">
      <c r="A44" s="34"/>
      <c r="V44" s="12"/>
      <c r="W44" s="12"/>
    </row>
    <row r="45" spans="1:23" ht="18">
      <c r="A45" s="34"/>
      <c r="B45" s="7"/>
      <c r="V45" s="12"/>
      <c r="W45" s="32"/>
    </row>
    <row r="46" spans="1:23" ht="18">
      <c r="A46" s="34"/>
      <c r="W46" s="12"/>
    </row>
    <row r="47" spans="1:23" ht="18">
      <c r="A47" s="34"/>
      <c r="W47" s="12"/>
    </row>
    <row r="48" spans="1:23" ht="18">
      <c r="A48" s="34"/>
      <c r="W48" s="12"/>
    </row>
    <row r="49" spans="1:23" ht="18">
      <c r="A49" s="34"/>
      <c r="M49"/>
      <c r="W49" s="12"/>
    </row>
    <row r="50" spans="1:23" ht="15.75">
      <c r="A50" s="5" t="s">
        <v>35</v>
      </c>
      <c r="M50"/>
      <c r="W50" s="12"/>
    </row>
    <row r="51" spans="1:23" ht="18">
      <c r="A51" s="34" t="s">
        <v>60</v>
      </c>
    </row>
    <row r="52" spans="1:23" ht="18">
      <c r="A52" s="34" t="s">
        <v>25</v>
      </c>
    </row>
    <row r="53" spans="1:23" ht="18">
      <c r="A53" s="34" t="s">
        <v>64</v>
      </c>
    </row>
    <row r="54" spans="1:23" ht="18">
      <c r="A54" s="34" t="s">
        <v>96</v>
      </c>
    </row>
    <row r="55" spans="1:23" ht="18">
      <c r="A55" s="34" t="s">
        <v>102</v>
      </c>
    </row>
    <row r="56" spans="1:23" ht="18">
      <c r="A56" s="34"/>
    </row>
    <row r="57" spans="1:23" ht="18">
      <c r="A57" s="34"/>
    </row>
    <row r="58" spans="1:23" ht="18">
      <c r="A58" s="34"/>
    </row>
    <row r="60" spans="1:23" ht="18">
      <c r="A60" s="34"/>
    </row>
    <row r="61" spans="1:23" ht="18">
      <c r="A61" s="34"/>
    </row>
    <row r="62" spans="1:23" ht="18">
      <c r="A62" s="34"/>
    </row>
    <row r="63" spans="1:23" ht="18">
      <c r="A63" s="34"/>
    </row>
    <row r="64" spans="1:23" ht="18">
      <c r="A64" s="34"/>
    </row>
    <row r="65" spans="1:1" ht="18">
      <c r="A65" s="34"/>
    </row>
    <row r="66" spans="1:1" ht="18">
      <c r="A66" s="34"/>
    </row>
    <row r="67" spans="1:1" ht="18">
      <c r="A67" s="34"/>
    </row>
    <row r="68" spans="1:1" ht="18">
      <c r="A68" s="34"/>
    </row>
    <row r="69" spans="1:1" ht="15.75">
      <c r="A69" s="7"/>
    </row>
    <row r="70" spans="1:1" ht="18">
      <c r="A70" s="34"/>
    </row>
    <row r="71" spans="1:1" ht="18">
      <c r="A71" s="34"/>
    </row>
    <row r="72" spans="1:1" ht="18">
      <c r="A72" s="34"/>
    </row>
    <row r="73" spans="1:1" ht="18">
      <c r="A73" s="34"/>
    </row>
    <row r="74" spans="1:1" ht="18">
      <c r="A74" s="34"/>
    </row>
    <row r="75" spans="1:1" ht="18">
      <c r="A75" s="34"/>
    </row>
    <row r="76" spans="1:1" ht="18">
      <c r="A76" s="34"/>
    </row>
    <row r="77" spans="1:1" ht="18">
      <c r="A77" s="34"/>
    </row>
    <row r="78" spans="1:1" ht="18">
      <c r="A78" s="34"/>
    </row>
  </sheetData>
  <mergeCells count="2">
    <mergeCell ref="B1:M3"/>
    <mergeCell ref="T1:Y25"/>
  </mergeCells>
  <dataValidations count="2">
    <dataValidation type="custom" allowBlank="1" showInputMessage="1" showErrorMessage="1" sqref="A70:A78 A60:A68" xr:uid="{201F3B03-C924-4B48-A5BC-AE6429F789F2}">
      <formula1>"a5:a25"</formula1>
    </dataValidation>
    <dataValidation type="list" allowBlank="1" showInputMessage="1" showErrorMessage="1" sqref="A32:A39 A41:A49 A51:A58" xr:uid="{B252DB4A-E8B6-4617-B61D-95E734AD4288}">
      <formula1>$A$5:$A$25</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2"/>
  <dimension ref="A1:AA39"/>
  <sheetViews>
    <sheetView workbookViewId="0">
      <pane xSplit="1" topLeftCell="L1" activePane="topRight" state="frozen"/>
      <selection pane="topRight" activeCell="T5" sqref="T5"/>
    </sheetView>
  </sheetViews>
  <sheetFormatPr defaultColWidth="9.140625" defaultRowHeight="12.75"/>
  <cols>
    <col min="1" max="1" width="47.7109375" style="22" customWidth="1"/>
    <col min="2" max="16" width="23.7109375" style="22" customWidth="1"/>
    <col min="17" max="17" width="19" style="22" customWidth="1"/>
    <col min="18" max="18" width="26.28515625" style="22" customWidth="1"/>
    <col min="19" max="19" width="22.140625" style="22" customWidth="1"/>
    <col min="20" max="27" width="22.7109375" style="22" customWidth="1"/>
    <col min="28" max="16384" width="9.140625" style="22"/>
  </cols>
  <sheetData>
    <row r="1" spans="1:27" ht="15">
      <c r="A1" s="76" t="s">
        <v>8</v>
      </c>
      <c r="B1" s="21"/>
      <c r="C1" s="21"/>
      <c r="D1" s="21"/>
      <c r="E1" s="21"/>
      <c r="F1" s="21"/>
      <c r="G1" s="21"/>
      <c r="H1" s="21"/>
      <c r="I1" s="21"/>
      <c r="J1" s="21"/>
      <c r="K1" s="21"/>
      <c r="L1" s="21"/>
      <c r="M1" s="21"/>
      <c r="N1" s="21"/>
      <c r="O1" s="21"/>
      <c r="P1" s="21"/>
      <c r="Q1" s="21"/>
      <c r="R1" s="21"/>
    </row>
    <row r="2" spans="1:27" ht="15">
      <c r="A2" s="76" t="s">
        <v>100</v>
      </c>
      <c r="B2" s="21"/>
      <c r="C2" s="21"/>
      <c r="D2" s="21"/>
      <c r="E2" s="21"/>
      <c r="F2" s="21"/>
      <c r="G2" s="21"/>
      <c r="H2" s="21"/>
      <c r="I2" s="21"/>
      <c r="J2" s="21"/>
      <c r="K2" s="21"/>
      <c r="L2" s="21"/>
      <c r="M2" s="21"/>
      <c r="N2" s="21"/>
      <c r="O2" s="21"/>
      <c r="P2" s="21"/>
      <c r="Q2" s="21"/>
      <c r="R2" s="21"/>
    </row>
    <row r="3" spans="1:27" ht="17.25" customHeight="1">
      <c r="A3" s="76" t="s">
        <v>101</v>
      </c>
      <c r="B3" s="21"/>
      <c r="C3" s="21"/>
      <c r="D3" s="21"/>
      <c r="E3" s="21"/>
      <c r="F3" s="21"/>
      <c r="G3" s="21"/>
      <c r="H3" s="21"/>
      <c r="I3" s="21"/>
      <c r="J3" s="21"/>
      <c r="K3" s="21"/>
      <c r="L3" s="21"/>
      <c r="M3" s="21"/>
      <c r="N3" s="21"/>
      <c r="O3" s="21"/>
      <c r="P3" s="21"/>
      <c r="Q3" s="21"/>
      <c r="R3" s="21"/>
    </row>
    <row r="4" spans="1:27" ht="63" customHeight="1">
      <c r="A4" s="51" t="str">
        <f>'[1]MOÇÃO E REQUERIMENTO'!B7</f>
        <v>EXPEDIENTE</v>
      </c>
      <c r="B4" s="50" t="s">
        <v>48</v>
      </c>
      <c r="C4" s="117" t="s">
        <v>103</v>
      </c>
      <c r="D4" s="117" t="s">
        <v>104</v>
      </c>
      <c r="E4" s="117" t="s">
        <v>105</v>
      </c>
      <c r="F4" s="117" t="s">
        <v>106</v>
      </c>
      <c r="G4" s="117" t="s">
        <v>107</v>
      </c>
      <c r="H4" s="117" t="s">
        <v>108</v>
      </c>
      <c r="I4" s="117" t="s">
        <v>109</v>
      </c>
      <c r="J4" s="117" t="s">
        <v>110</v>
      </c>
      <c r="K4" s="117" t="s">
        <v>111</v>
      </c>
      <c r="L4" s="117" t="s">
        <v>112</v>
      </c>
      <c r="M4" s="117" t="s">
        <v>113</v>
      </c>
      <c r="N4" s="117" t="s">
        <v>114</v>
      </c>
      <c r="O4" s="117" t="s">
        <v>115</v>
      </c>
      <c r="P4" s="117" t="s">
        <v>116</v>
      </c>
      <c r="Q4" s="112" t="s">
        <v>34</v>
      </c>
      <c r="R4" s="124"/>
      <c r="S4" s="50" t="s">
        <v>27</v>
      </c>
      <c r="T4" s="84" t="s">
        <v>117</v>
      </c>
      <c r="U4" s="84" t="s">
        <v>118</v>
      </c>
      <c r="V4" s="84" t="s">
        <v>119</v>
      </c>
      <c r="W4" s="84" t="s">
        <v>120</v>
      </c>
      <c r="X4" s="84" t="s">
        <v>121</v>
      </c>
      <c r="Y4" s="84" t="s">
        <v>122</v>
      </c>
      <c r="Z4" s="84" t="s">
        <v>124</v>
      </c>
      <c r="AA4" s="84" t="s">
        <v>125</v>
      </c>
    </row>
    <row r="5" spans="1:27" s="59" customFormat="1" ht="48" customHeight="1">
      <c r="A5" s="57" t="s">
        <v>45</v>
      </c>
      <c r="B5" s="55"/>
      <c r="C5" s="55"/>
      <c r="D5" s="55"/>
      <c r="E5" s="55"/>
      <c r="F5" s="55"/>
      <c r="G5" s="55"/>
      <c r="H5" s="55"/>
      <c r="I5" s="55"/>
      <c r="J5" s="55"/>
      <c r="K5" s="55"/>
      <c r="L5" s="55"/>
      <c r="M5" s="55"/>
      <c r="N5" s="55"/>
      <c r="O5" s="55"/>
      <c r="P5" s="55"/>
      <c r="Q5" s="55"/>
      <c r="R5" s="113"/>
      <c r="T5" s="113" t="s">
        <v>91</v>
      </c>
      <c r="U5" s="113" t="s">
        <v>91</v>
      </c>
      <c r="V5" s="118" t="s">
        <v>123</v>
      </c>
      <c r="W5" s="118" t="s">
        <v>123</v>
      </c>
      <c r="X5" s="118" t="s">
        <v>123</v>
      </c>
      <c r="Y5" s="113" t="s">
        <v>91</v>
      </c>
      <c r="Z5" s="118" t="s">
        <v>123</v>
      </c>
      <c r="AA5" s="113" t="s">
        <v>91</v>
      </c>
    </row>
    <row r="6" spans="1:27" ht="15.75">
      <c r="A6" s="127" t="s">
        <v>54</v>
      </c>
      <c r="S6" s="23"/>
    </row>
    <row r="7" spans="1:27" ht="15.75">
      <c r="A7" s="127" t="s">
        <v>94</v>
      </c>
      <c r="S7" s="23"/>
    </row>
    <row r="8" spans="1:27" ht="15.75">
      <c r="A8" s="127" t="s">
        <v>57</v>
      </c>
      <c r="S8" s="23"/>
    </row>
    <row r="9" spans="1:27" ht="15.75">
      <c r="A9" s="128" t="s">
        <v>58</v>
      </c>
      <c r="S9" s="23"/>
    </row>
    <row r="10" spans="1:27" ht="15.75">
      <c r="A10" s="127" t="s">
        <v>28</v>
      </c>
      <c r="S10" s="23"/>
    </row>
    <row r="11" spans="1:27" ht="15.75">
      <c r="A11" s="127" t="s">
        <v>59</v>
      </c>
      <c r="S11" s="23"/>
    </row>
    <row r="12" spans="1:27" ht="15.75">
      <c r="A12" s="127" t="s">
        <v>22</v>
      </c>
      <c r="S12" s="23"/>
    </row>
    <row r="13" spans="1:27" ht="15.75">
      <c r="A13" s="127" t="s">
        <v>23</v>
      </c>
      <c r="S13" s="23"/>
    </row>
    <row r="14" spans="1:27" ht="15.75">
      <c r="A14" s="127" t="s">
        <v>24</v>
      </c>
      <c r="S14" s="23"/>
    </row>
    <row r="15" spans="1:27" ht="15.75">
      <c r="A15" s="127" t="s">
        <v>60</v>
      </c>
      <c r="S15" s="23"/>
    </row>
    <row r="16" spans="1:27" ht="15.75">
      <c r="A16" s="127" t="s">
        <v>61</v>
      </c>
      <c r="S16" s="23"/>
    </row>
    <row r="17" spans="1:19" ht="15.75">
      <c r="A17" s="127" t="s">
        <v>62</v>
      </c>
      <c r="S17" s="23"/>
    </row>
    <row r="18" spans="1:19" ht="15.75">
      <c r="A18" s="127" t="s">
        <v>25</v>
      </c>
      <c r="S18" s="23"/>
    </row>
    <row r="19" spans="1:19" ht="15.75">
      <c r="A19" s="127" t="s">
        <v>63</v>
      </c>
      <c r="S19" s="23"/>
    </row>
    <row r="20" spans="1:19" ht="15.75">
      <c r="A20" s="127" t="s">
        <v>95</v>
      </c>
      <c r="S20" s="23"/>
    </row>
    <row r="21" spans="1:19" ht="15.75">
      <c r="A21" s="127" t="s">
        <v>26</v>
      </c>
      <c r="S21" s="23"/>
    </row>
    <row r="22" spans="1:19" ht="15.75">
      <c r="A22" s="127" t="s">
        <v>64</v>
      </c>
      <c r="S22" s="23"/>
    </row>
    <row r="23" spans="1:19" ht="15.75">
      <c r="A23" s="127" t="s">
        <v>96</v>
      </c>
      <c r="S23" s="23"/>
    </row>
    <row r="24" spans="1:19" ht="15.75">
      <c r="A24" s="127" t="s">
        <v>52</v>
      </c>
      <c r="S24" s="23"/>
    </row>
    <row r="25" spans="1:19" ht="15.75">
      <c r="A25" s="127" t="s">
        <v>102</v>
      </c>
      <c r="S25" s="23"/>
    </row>
    <row r="26" spans="1:19" ht="15.75">
      <c r="A26" s="127" t="s">
        <v>65</v>
      </c>
      <c r="S26" s="23"/>
    </row>
    <row r="27" spans="1:19" s="25" customFormat="1">
      <c r="A27" s="24" t="s">
        <v>18</v>
      </c>
    </row>
    <row r="28" spans="1:19" s="27" customFormat="1">
      <c r="A28" s="26" t="s">
        <v>19</v>
      </c>
    </row>
    <row r="29" spans="1:19">
      <c r="A29" s="28" t="s">
        <v>11</v>
      </c>
    </row>
    <row r="30" spans="1:19" s="30" customFormat="1">
      <c r="A30" s="29" t="s">
        <v>20</v>
      </c>
    </row>
    <row r="32" spans="1:19" ht="25.5">
      <c r="A32" s="31" t="s">
        <v>0</v>
      </c>
    </row>
    <row r="33" spans="1:1" ht="76.5">
      <c r="A33" s="31" t="s">
        <v>1</v>
      </c>
    </row>
    <row r="34" spans="1:1" ht="63.75">
      <c r="A34" s="31" t="s">
        <v>2</v>
      </c>
    </row>
    <row r="35" spans="1:1" ht="38.25">
      <c r="A35" s="31" t="s">
        <v>3</v>
      </c>
    </row>
    <row r="36" spans="1:1" ht="89.25">
      <c r="A36" s="31" t="s">
        <v>4</v>
      </c>
    </row>
    <row r="39" spans="1:1">
      <c r="A39" s="58" t="s">
        <v>46</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DZ37"/>
  <sheetViews>
    <sheetView zoomScale="80" zoomScaleNormal="80" workbookViewId="0">
      <pane xSplit="1" topLeftCell="B1" activePane="topRight" state="frozen"/>
      <selection activeCell="A4" sqref="A4"/>
      <selection pane="topRight" activeCell="H5" sqref="H5"/>
    </sheetView>
  </sheetViews>
  <sheetFormatPr defaultRowHeight="15"/>
  <cols>
    <col min="1" max="1" width="61" customWidth="1"/>
    <col min="2" max="2" width="28.7109375" bestFit="1" customWidth="1"/>
    <col min="3" max="3" width="36.7109375" customWidth="1"/>
    <col min="4" max="4" width="24.7109375" customWidth="1"/>
    <col min="5" max="45" width="36.7109375" customWidth="1"/>
  </cols>
  <sheetData>
    <row r="1" spans="1:45" ht="18" customHeight="1">
      <c r="A1" s="76" t="s">
        <v>8</v>
      </c>
      <c r="B1" s="49"/>
      <c r="C1" s="74"/>
    </row>
    <row r="2" spans="1:45" ht="18" customHeight="1">
      <c r="A2" s="76" t="s">
        <v>100</v>
      </c>
      <c r="B2" s="49"/>
      <c r="C2" s="74"/>
    </row>
    <row r="3" spans="1:45" ht="17.25" customHeight="1">
      <c r="A3" s="76" t="s">
        <v>101</v>
      </c>
      <c r="B3" s="49"/>
      <c r="C3" s="74"/>
      <c r="E3" s="116"/>
    </row>
    <row r="4" spans="1:45" ht="90.75" customHeight="1" thickBot="1">
      <c r="A4" s="52" t="s">
        <v>5</v>
      </c>
      <c r="B4" s="108" t="s">
        <v>31</v>
      </c>
      <c r="C4" s="143"/>
      <c r="D4" s="109" t="s">
        <v>6</v>
      </c>
      <c r="E4" s="141" t="s">
        <v>126</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3"/>
      <c r="AS4" s="3"/>
    </row>
    <row r="5" spans="1:45" s="81" customFormat="1" ht="48" customHeight="1">
      <c r="A5" s="99" t="s">
        <v>37</v>
      </c>
      <c r="B5" s="78"/>
      <c r="C5" s="144"/>
      <c r="D5" s="79"/>
      <c r="E5" s="151" t="s">
        <v>97</v>
      </c>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row>
    <row r="6" spans="1:45" ht="20.25">
      <c r="A6" s="46" t="s">
        <v>54</v>
      </c>
      <c r="C6" s="107"/>
      <c r="E6" s="107" t="s">
        <v>92</v>
      </c>
    </row>
    <row r="7" spans="1:45" ht="20.25">
      <c r="A7" s="46" t="s">
        <v>94</v>
      </c>
      <c r="C7" s="107"/>
      <c r="E7" s="107" t="s">
        <v>92</v>
      </c>
    </row>
    <row r="8" spans="1:45" ht="20.25">
      <c r="A8" s="46" t="s">
        <v>57</v>
      </c>
      <c r="C8" s="107"/>
      <c r="E8" s="107" t="s">
        <v>92</v>
      </c>
    </row>
    <row r="9" spans="1:45" ht="20.25">
      <c r="A9" s="82" t="s">
        <v>58</v>
      </c>
      <c r="C9" s="114"/>
      <c r="E9" s="114" t="s">
        <v>99</v>
      </c>
    </row>
    <row r="10" spans="1:45" ht="20.25">
      <c r="A10" s="46" t="s">
        <v>28</v>
      </c>
      <c r="C10" s="107"/>
      <c r="E10" s="114" t="s">
        <v>56</v>
      </c>
    </row>
    <row r="11" spans="1:45" ht="20.25">
      <c r="A11" s="46" t="s">
        <v>59</v>
      </c>
      <c r="C11" s="114"/>
      <c r="E11" s="107" t="s">
        <v>92</v>
      </c>
    </row>
    <row r="12" spans="1:45" ht="20.25">
      <c r="A12" s="46" t="s">
        <v>22</v>
      </c>
      <c r="C12" s="107"/>
      <c r="E12" s="107" t="s">
        <v>92</v>
      </c>
    </row>
    <row r="13" spans="1:45" ht="20.25">
      <c r="A13" s="46" t="s">
        <v>23</v>
      </c>
      <c r="C13" s="114"/>
      <c r="E13" s="114" t="s">
        <v>56</v>
      </c>
    </row>
    <row r="14" spans="1:45" ht="20.25">
      <c r="A14" s="46" t="s">
        <v>24</v>
      </c>
      <c r="C14" s="107"/>
      <c r="E14" s="107" t="s">
        <v>92</v>
      </c>
    </row>
    <row r="15" spans="1:45" ht="20.25">
      <c r="A15" s="46" t="s">
        <v>60</v>
      </c>
      <c r="C15" s="107"/>
      <c r="E15" s="107" t="s">
        <v>92</v>
      </c>
    </row>
    <row r="16" spans="1:45" ht="20.25">
      <c r="A16" s="46" t="s">
        <v>61</v>
      </c>
      <c r="C16" s="107"/>
      <c r="E16" s="114" t="s">
        <v>56</v>
      </c>
    </row>
    <row r="17" spans="1:130" ht="20.25">
      <c r="A17" s="46" t="s">
        <v>62</v>
      </c>
      <c r="C17" s="142"/>
      <c r="E17" s="107" t="s">
        <v>92</v>
      </c>
    </row>
    <row r="18" spans="1:130" ht="20.25">
      <c r="A18" s="46" t="s">
        <v>25</v>
      </c>
      <c r="C18" s="107"/>
      <c r="E18" s="114" t="s">
        <v>56</v>
      </c>
    </row>
    <row r="19" spans="1:130" ht="20.25">
      <c r="A19" s="46" t="s">
        <v>63</v>
      </c>
      <c r="C19" s="107"/>
      <c r="E19" s="107" t="s">
        <v>92</v>
      </c>
    </row>
    <row r="20" spans="1:130" ht="20.25">
      <c r="A20" s="46" t="s">
        <v>95</v>
      </c>
      <c r="C20" s="107"/>
      <c r="E20" s="107" t="s">
        <v>92</v>
      </c>
    </row>
    <row r="21" spans="1:130" ht="20.25">
      <c r="A21" s="46" t="s">
        <v>26</v>
      </c>
      <c r="C21" s="107"/>
      <c r="E21" s="107" t="s">
        <v>92</v>
      </c>
    </row>
    <row r="22" spans="1:130" ht="20.25">
      <c r="A22" s="46" t="s">
        <v>64</v>
      </c>
      <c r="C22" s="107"/>
      <c r="E22" s="107" t="s">
        <v>92</v>
      </c>
    </row>
    <row r="23" spans="1:130" ht="20.25">
      <c r="A23" s="46" t="s">
        <v>96</v>
      </c>
      <c r="C23" s="107"/>
      <c r="E23" s="114" t="s">
        <v>56</v>
      </c>
    </row>
    <row r="24" spans="1:130" ht="20.25">
      <c r="A24" s="46" t="s">
        <v>52</v>
      </c>
      <c r="C24" s="107"/>
      <c r="E24" s="114" t="s">
        <v>56</v>
      </c>
    </row>
    <row r="25" spans="1:130" ht="20.25">
      <c r="A25" s="46" t="s">
        <v>102</v>
      </c>
      <c r="C25" s="107"/>
      <c r="E25" s="107" t="s">
        <v>92</v>
      </c>
    </row>
    <row r="26" spans="1:130" ht="20.25">
      <c r="A26" s="46" t="s">
        <v>65</v>
      </c>
      <c r="C26" s="107"/>
      <c r="E26" s="107" t="s">
        <v>92</v>
      </c>
    </row>
    <row r="27" spans="1:130" s="16" customFormat="1" ht="15.75">
      <c r="A27" s="15" t="s">
        <v>18</v>
      </c>
      <c r="B27"/>
      <c r="C27" s="103">
        <f t="shared" ref="C27" si="0">COUNTIF(C6:C26,"sim")</f>
        <v>0</v>
      </c>
      <c r="D27"/>
      <c r="E27" s="103">
        <f t="shared" ref="E27" si="1">COUNTIF(E6:E26,"sim")</f>
        <v>14</v>
      </c>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row>
    <row r="28" spans="1:130" s="18" customFormat="1" ht="15.75">
      <c r="A28" s="17" t="s">
        <v>19</v>
      </c>
      <c r="B28"/>
      <c r="C28" s="104">
        <f t="shared" ref="C28" si="2">COUNTIF(C6:C26,"não")</f>
        <v>0</v>
      </c>
      <c r="D28"/>
      <c r="E28" s="104">
        <f t="shared" ref="E28" si="3">COUNTIF(E6:E26,"não")</f>
        <v>0</v>
      </c>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row>
    <row r="29" spans="1:130" ht="15.75">
      <c r="A29" s="14" t="s">
        <v>11</v>
      </c>
      <c r="C29" s="40">
        <f t="shared" ref="C29" si="4">COUNTIF(C6:C26,"ausente")</f>
        <v>0</v>
      </c>
      <c r="E29" s="40">
        <f t="shared" ref="E29" si="5">COUNTIF(E6:E26,"ausente")</f>
        <v>6</v>
      </c>
    </row>
    <row r="30" spans="1:130" s="20" customFormat="1" ht="15.75">
      <c r="A30" s="19" t="s">
        <v>20</v>
      </c>
      <c r="B30"/>
      <c r="C30" s="105">
        <f t="shared" ref="C30" si="6">COUNTIF(C6:C26,"abstenção")</f>
        <v>0</v>
      </c>
      <c r="D30"/>
      <c r="E30" s="105">
        <f t="shared" ref="E30" si="7">COUNTIF(E6:E26,"abstenção")</f>
        <v>0</v>
      </c>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row>
    <row r="31" spans="1:130" s="20" customFormat="1" ht="15.75">
      <c r="A31" s="19"/>
      <c r="B31"/>
      <c r="C31" s="105"/>
      <c r="D31"/>
      <c r="E31" s="105"/>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row>
    <row r="33" spans="1:1" ht="24.75">
      <c r="A33" s="1" t="s">
        <v>0</v>
      </c>
    </row>
    <row r="34" spans="1:1" ht="60.75">
      <c r="A34" s="1" t="s">
        <v>1</v>
      </c>
    </row>
    <row r="35" spans="1:1" ht="48.75">
      <c r="A35" s="1" t="s">
        <v>2</v>
      </c>
    </row>
    <row r="36" spans="1:1" ht="24.75">
      <c r="A36" s="1" t="s">
        <v>3</v>
      </c>
    </row>
    <row r="37" spans="1:1" ht="60.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dimension ref="A1:DU37"/>
  <sheetViews>
    <sheetView zoomScale="90" zoomScaleNormal="90" workbookViewId="0">
      <pane xSplit="1" topLeftCell="B1" activePane="topRight" state="frozen"/>
      <selection pane="topRight" activeCell="H8" sqref="H8"/>
    </sheetView>
  </sheetViews>
  <sheetFormatPr defaultRowHeight="15"/>
  <cols>
    <col min="1" max="1" width="46.85546875" customWidth="1"/>
    <col min="2" max="5" width="30.42578125" customWidth="1"/>
    <col min="6" max="6" width="17.42578125" customWidth="1"/>
    <col min="7" max="7" width="16.85546875" customWidth="1"/>
    <col min="8" max="8" width="29.85546875" customWidth="1"/>
    <col min="9" max="9" width="29.28515625" customWidth="1"/>
    <col min="10" max="10" width="25.7109375" customWidth="1"/>
    <col min="11" max="11" width="28" customWidth="1"/>
    <col min="12" max="12" width="28.140625" customWidth="1"/>
    <col min="13" max="13" width="30.5703125" customWidth="1"/>
    <col min="14" max="14" width="26.7109375" customWidth="1"/>
    <col min="15" max="16" width="29.28515625" customWidth="1"/>
    <col min="17" max="17" width="29.42578125" customWidth="1"/>
    <col min="18" max="19" width="28.7109375" customWidth="1"/>
    <col min="20" max="20" width="28.140625" customWidth="1"/>
    <col min="21" max="21" width="25.7109375" customWidth="1"/>
    <col min="22" max="22" width="21.28515625" customWidth="1"/>
    <col min="23" max="23" width="19.5703125" customWidth="1"/>
    <col min="24" max="24" width="18.28515625" customWidth="1"/>
    <col min="25" max="25" width="17.28515625" customWidth="1"/>
    <col min="26" max="26" width="18.140625" customWidth="1"/>
    <col min="27" max="27" width="22" customWidth="1"/>
    <col min="28" max="28" width="16.140625" customWidth="1"/>
    <col min="29" max="29" width="18" customWidth="1"/>
    <col min="31" max="31" width="18.28515625" customWidth="1"/>
  </cols>
  <sheetData>
    <row r="1" spans="1:31">
      <c r="A1" s="76" t="s">
        <v>8</v>
      </c>
      <c r="B1" s="2"/>
      <c r="C1" s="2"/>
      <c r="D1" s="2"/>
      <c r="E1" s="2"/>
      <c r="F1" s="2"/>
      <c r="G1" s="2"/>
      <c r="H1" s="2"/>
      <c r="I1" s="2"/>
      <c r="J1" s="2"/>
      <c r="K1" s="2"/>
      <c r="L1" s="2"/>
      <c r="M1" s="2"/>
      <c r="N1" s="2"/>
      <c r="O1" s="2"/>
      <c r="P1" s="2"/>
      <c r="Q1" s="2"/>
      <c r="R1" s="2"/>
      <c r="S1" s="2"/>
      <c r="T1" s="2"/>
      <c r="U1" s="2"/>
      <c r="V1" s="2"/>
    </row>
    <row r="2" spans="1:31">
      <c r="A2" s="76" t="s">
        <v>100</v>
      </c>
      <c r="B2" s="2"/>
      <c r="C2" s="2"/>
      <c r="D2" s="2"/>
      <c r="E2" s="2"/>
      <c r="F2" s="2"/>
      <c r="G2" s="2"/>
      <c r="H2" s="2"/>
      <c r="I2" s="2"/>
      <c r="J2" s="2"/>
      <c r="K2" s="2"/>
      <c r="L2" s="2"/>
      <c r="M2" s="2"/>
      <c r="N2" s="2"/>
      <c r="O2" s="2"/>
      <c r="P2" s="2"/>
      <c r="Q2" s="2"/>
      <c r="R2" s="2"/>
      <c r="S2" s="2"/>
      <c r="T2" s="2"/>
      <c r="U2" s="2"/>
      <c r="V2" s="2"/>
    </row>
    <row r="3" spans="1:31" ht="18" customHeight="1" thickBot="1">
      <c r="A3" s="76" t="s">
        <v>101</v>
      </c>
      <c r="B3" s="2"/>
      <c r="C3" s="2"/>
      <c r="D3" s="2"/>
      <c r="E3" s="2"/>
      <c r="F3" s="2"/>
      <c r="G3" s="2"/>
      <c r="H3" s="2"/>
      <c r="I3" s="2"/>
      <c r="J3" s="2"/>
      <c r="K3" s="2"/>
      <c r="L3" s="2"/>
      <c r="M3" s="2"/>
      <c r="N3" s="2"/>
      <c r="O3" s="2"/>
      <c r="P3" s="2"/>
      <c r="Q3" s="2"/>
      <c r="R3" s="2"/>
      <c r="S3" s="2"/>
      <c r="T3" s="2"/>
      <c r="U3" s="2"/>
      <c r="V3" s="2"/>
    </row>
    <row r="4" spans="1:31" ht="90.6" customHeight="1" thickBot="1">
      <c r="A4" s="120" t="s">
        <v>5</v>
      </c>
      <c r="B4" s="119" t="s">
        <v>7</v>
      </c>
      <c r="C4" s="140" t="s">
        <v>98</v>
      </c>
      <c r="D4" s="140" t="s">
        <v>128</v>
      </c>
      <c r="E4" s="140" t="s">
        <v>129</v>
      </c>
      <c r="F4" s="60"/>
      <c r="G4" s="60"/>
      <c r="H4" s="60"/>
      <c r="I4" s="9"/>
      <c r="J4" s="9"/>
      <c r="K4" s="9"/>
      <c r="L4" s="9"/>
      <c r="M4" s="9"/>
      <c r="N4" s="9"/>
      <c r="O4" s="13"/>
      <c r="P4" s="9"/>
      <c r="Q4" s="9"/>
      <c r="R4" s="9"/>
      <c r="S4" s="9"/>
      <c r="T4" s="9"/>
      <c r="U4" s="9"/>
      <c r="V4" s="13"/>
      <c r="W4" s="13"/>
      <c r="X4" s="13"/>
      <c r="Y4" s="13"/>
      <c r="Z4" s="13"/>
      <c r="AA4" s="9"/>
      <c r="AB4" s="9"/>
      <c r="AC4" s="9"/>
      <c r="AE4" s="8"/>
    </row>
    <row r="5" spans="1:31" s="77" customFormat="1" ht="51.75" customHeight="1">
      <c r="B5" s="75"/>
      <c r="C5" s="113" t="s">
        <v>127</v>
      </c>
      <c r="D5" s="145" t="s">
        <v>131</v>
      </c>
      <c r="E5" s="145" t="s">
        <v>130</v>
      </c>
      <c r="F5" s="75"/>
      <c r="G5" s="75"/>
      <c r="H5" s="75"/>
      <c r="I5" s="75"/>
      <c r="J5" s="75"/>
      <c r="K5" s="75"/>
      <c r="L5" s="75"/>
      <c r="M5" s="75"/>
      <c r="N5" s="75"/>
      <c r="O5" s="75"/>
      <c r="P5" s="75"/>
      <c r="Q5" s="75"/>
      <c r="R5" s="75"/>
      <c r="S5" s="75"/>
      <c r="T5" s="75"/>
      <c r="U5" s="75"/>
      <c r="V5" s="75"/>
      <c r="AB5" s="75"/>
      <c r="AC5" s="75"/>
    </row>
    <row r="6" spans="1:31" ht="18">
      <c r="A6" s="129" t="s">
        <v>54</v>
      </c>
      <c r="C6" s="107"/>
      <c r="D6" s="107"/>
      <c r="E6" s="107"/>
      <c r="W6" s="7"/>
      <c r="X6" s="7"/>
    </row>
    <row r="7" spans="1:31" ht="18">
      <c r="A7" s="129" t="s">
        <v>94</v>
      </c>
      <c r="C7" s="107"/>
      <c r="D7" s="114"/>
      <c r="E7" s="114"/>
      <c r="W7" s="7"/>
      <c r="X7" s="7"/>
    </row>
    <row r="8" spans="1:31" ht="18">
      <c r="A8" s="129" t="s">
        <v>57</v>
      </c>
      <c r="C8" s="107"/>
      <c r="D8" s="107"/>
      <c r="E8" s="107"/>
      <c r="W8" s="7"/>
      <c r="X8" s="7"/>
    </row>
    <row r="9" spans="1:31" ht="18">
      <c r="A9" s="130" t="s">
        <v>58</v>
      </c>
      <c r="C9" s="114"/>
      <c r="D9" s="114"/>
      <c r="E9" s="114"/>
      <c r="W9" s="7"/>
      <c r="X9" s="7"/>
    </row>
    <row r="10" spans="1:31" ht="18">
      <c r="A10" s="129" t="s">
        <v>28</v>
      </c>
      <c r="C10" s="107"/>
      <c r="D10" s="107"/>
      <c r="E10" s="107"/>
      <c r="W10" s="7"/>
      <c r="X10" s="7"/>
    </row>
    <row r="11" spans="1:31" ht="18">
      <c r="A11" s="129" t="s">
        <v>59</v>
      </c>
      <c r="C11" s="114"/>
      <c r="D11" s="114"/>
      <c r="E11" s="114"/>
      <c r="W11" s="7"/>
      <c r="X11" s="7"/>
    </row>
    <row r="12" spans="1:31" ht="18">
      <c r="A12" s="129" t="s">
        <v>22</v>
      </c>
      <c r="C12" s="107"/>
      <c r="D12" s="114"/>
      <c r="E12" s="114"/>
      <c r="W12" s="7"/>
      <c r="X12" s="7"/>
    </row>
    <row r="13" spans="1:31" ht="18">
      <c r="A13" s="129" t="s">
        <v>23</v>
      </c>
      <c r="C13" s="114"/>
      <c r="D13" s="107"/>
      <c r="E13" s="107"/>
      <c r="W13" s="7"/>
      <c r="X13" s="7"/>
    </row>
    <row r="14" spans="1:31" ht="18">
      <c r="A14" s="129" t="s">
        <v>24</v>
      </c>
      <c r="C14" s="107"/>
      <c r="D14" s="107"/>
      <c r="E14" s="107"/>
      <c r="W14" s="7"/>
      <c r="X14" s="7"/>
    </row>
    <row r="15" spans="1:31" ht="18">
      <c r="A15" s="129" t="s">
        <v>60</v>
      </c>
      <c r="C15" s="107"/>
      <c r="D15" s="107"/>
      <c r="E15" s="107"/>
      <c r="W15" s="7"/>
      <c r="X15" s="7"/>
    </row>
    <row r="16" spans="1:31" ht="18">
      <c r="A16" s="129" t="s">
        <v>61</v>
      </c>
      <c r="C16" s="107"/>
      <c r="D16" s="107"/>
      <c r="E16" s="107"/>
      <c r="W16" s="7"/>
      <c r="X16" s="7"/>
    </row>
    <row r="17" spans="1:125" ht="15" customHeight="1">
      <c r="A17" s="129" t="s">
        <v>62</v>
      </c>
      <c r="C17" s="114"/>
      <c r="D17" s="107"/>
      <c r="E17" s="107"/>
      <c r="V17" s="8"/>
      <c r="W17" s="7"/>
      <c r="X17" s="7"/>
    </row>
    <row r="18" spans="1:125" ht="18">
      <c r="A18" s="129" t="s">
        <v>25</v>
      </c>
      <c r="C18" s="107"/>
      <c r="D18" s="107"/>
      <c r="E18" s="107"/>
      <c r="W18" s="7"/>
      <c r="X18" s="7"/>
    </row>
    <row r="19" spans="1:125" ht="18">
      <c r="A19" s="129" t="s">
        <v>63</v>
      </c>
      <c r="C19" s="107"/>
      <c r="D19" s="114"/>
      <c r="E19" s="114"/>
      <c r="W19" s="7"/>
      <c r="X19" s="7"/>
    </row>
    <row r="20" spans="1:125" ht="18">
      <c r="A20" s="129" t="s">
        <v>95</v>
      </c>
      <c r="C20" s="107"/>
      <c r="D20" s="114"/>
      <c r="E20" s="114"/>
      <c r="W20" s="7"/>
      <c r="X20" s="7"/>
    </row>
    <row r="21" spans="1:125" ht="18">
      <c r="A21" s="129" t="s">
        <v>26</v>
      </c>
      <c r="C21" s="107"/>
      <c r="D21" s="107"/>
      <c r="E21" s="107"/>
      <c r="W21" s="7"/>
      <c r="X21" s="7"/>
    </row>
    <row r="22" spans="1:125" ht="18">
      <c r="A22" s="129" t="s">
        <v>64</v>
      </c>
      <c r="C22" s="107"/>
      <c r="D22" s="107"/>
      <c r="E22" s="107"/>
      <c r="W22" s="7"/>
      <c r="X22" s="7"/>
    </row>
    <row r="23" spans="1:125" ht="18">
      <c r="A23" s="129" t="s">
        <v>96</v>
      </c>
      <c r="C23" s="107"/>
      <c r="D23" s="107"/>
      <c r="E23" s="107"/>
      <c r="W23" s="7"/>
      <c r="X23" s="7"/>
    </row>
    <row r="24" spans="1:125" ht="18">
      <c r="A24" s="129" t="s">
        <v>52</v>
      </c>
      <c r="C24" s="107"/>
      <c r="D24" s="114"/>
      <c r="E24" s="114"/>
      <c r="W24" s="7"/>
      <c r="X24" s="7"/>
    </row>
    <row r="25" spans="1:125" ht="18">
      <c r="A25" s="129" t="s">
        <v>102</v>
      </c>
      <c r="C25" s="107"/>
      <c r="D25" s="107"/>
      <c r="E25" s="107"/>
      <c r="W25" s="7"/>
      <c r="X25" s="7"/>
    </row>
    <row r="26" spans="1:125" ht="18">
      <c r="A26" s="129" t="s">
        <v>65</v>
      </c>
      <c r="C26" s="107"/>
      <c r="D26" s="107"/>
      <c r="E26" s="107"/>
      <c r="W26" s="7"/>
      <c r="X26" s="7"/>
    </row>
    <row r="27" spans="1:125" s="16" customFormat="1" ht="15.75">
      <c r="A27" s="15" t="s">
        <v>18</v>
      </c>
      <c r="B27" s="16">
        <f t="shared" ref="B27" si="0">COUNTIF(B6:B26,"sim")</f>
        <v>0</v>
      </c>
      <c r="C27" s="103">
        <f t="shared" ref="C27:E27" si="1">COUNTIF(C6:C26,"sim")</f>
        <v>0</v>
      </c>
      <c r="D27" s="103">
        <f t="shared" ref="D27" si="2">COUNTIF(D6:D26,"sim")</f>
        <v>0</v>
      </c>
      <c r="E27" s="103">
        <f t="shared" si="1"/>
        <v>0</v>
      </c>
      <c r="L27" s="16">
        <f t="shared" ref="L27:AQ27" si="3">COUNTIF(L6:L26,"sim")</f>
        <v>0</v>
      </c>
      <c r="M27" s="16">
        <f t="shared" si="3"/>
        <v>0</v>
      </c>
      <c r="N27" s="16">
        <f t="shared" si="3"/>
        <v>0</v>
      </c>
      <c r="O27" s="16">
        <f t="shared" si="3"/>
        <v>0</v>
      </c>
      <c r="P27" s="16">
        <f t="shared" si="3"/>
        <v>0</v>
      </c>
      <c r="Q27" s="16">
        <f t="shared" si="3"/>
        <v>0</v>
      </c>
      <c r="R27" s="16">
        <f t="shared" si="3"/>
        <v>0</v>
      </c>
      <c r="S27" s="16">
        <f t="shared" si="3"/>
        <v>0</v>
      </c>
      <c r="T27" s="16">
        <f t="shared" si="3"/>
        <v>0</v>
      </c>
      <c r="U27" s="16">
        <f t="shared" si="3"/>
        <v>0</v>
      </c>
      <c r="V27" s="16">
        <f t="shared" si="3"/>
        <v>0</v>
      </c>
      <c r="W27" s="16">
        <f t="shared" si="3"/>
        <v>0</v>
      </c>
      <c r="X27" s="16">
        <f t="shared" si="3"/>
        <v>0</v>
      </c>
      <c r="Y27" s="16">
        <f t="shared" si="3"/>
        <v>0</v>
      </c>
      <c r="Z27" s="16">
        <f t="shared" si="3"/>
        <v>0</v>
      </c>
      <c r="AA27" s="16">
        <f t="shared" si="3"/>
        <v>0</v>
      </c>
      <c r="AB27" s="16">
        <f t="shared" si="3"/>
        <v>0</v>
      </c>
      <c r="AC27" s="16">
        <f t="shared" si="3"/>
        <v>0</v>
      </c>
      <c r="AD27" s="16">
        <f t="shared" si="3"/>
        <v>0</v>
      </c>
      <c r="AE27" s="16">
        <f t="shared" si="3"/>
        <v>0</v>
      </c>
      <c r="AF27" s="16">
        <f t="shared" si="3"/>
        <v>0</v>
      </c>
      <c r="AG27" s="16">
        <f t="shared" si="3"/>
        <v>0</v>
      </c>
      <c r="AH27" s="16">
        <f t="shared" si="3"/>
        <v>0</v>
      </c>
      <c r="AI27" s="16">
        <f t="shared" si="3"/>
        <v>0</v>
      </c>
      <c r="AJ27" s="16">
        <f t="shared" si="3"/>
        <v>0</v>
      </c>
      <c r="AK27" s="16">
        <f t="shared" si="3"/>
        <v>0</v>
      </c>
      <c r="AL27" s="16">
        <f t="shared" si="3"/>
        <v>0</v>
      </c>
      <c r="AM27" s="16">
        <f t="shared" si="3"/>
        <v>0</v>
      </c>
      <c r="AN27" s="16">
        <f t="shared" si="3"/>
        <v>0</v>
      </c>
      <c r="AO27" s="16">
        <f t="shared" si="3"/>
        <v>0</v>
      </c>
      <c r="AP27" s="16">
        <f t="shared" si="3"/>
        <v>0</v>
      </c>
      <c r="AQ27" s="16">
        <f t="shared" si="3"/>
        <v>0</v>
      </c>
      <c r="AR27" s="16">
        <f t="shared" ref="AR27:BW27" si="4">COUNTIF(AR6:AR26,"sim")</f>
        <v>0</v>
      </c>
      <c r="AS27" s="16">
        <f t="shared" si="4"/>
        <v>0</v>
      </c>
      <c r="AT27" s="16">
        <f t="shared" si="4"/>
        <v>0</v>
      </c>
      <c r="AU27" s="16">
        <f t="shared" si="4"/>
        <v>0</v>
      </c>
      <c r="AV27" s="16">
        <f t="shared" si="4"/>
        <v>0</v>
      </c>
      <c r="AW27" s="16">
        <f t="shared" si="4"/>
        <v>0</v>
      </c>
      <c r="AX27" s="16">
        <f t="shared" si="4"/>
        <v>0</v>
      </c>
      <c r="AY27" s="16">
        <f t="shared" si="4"/>
        <v>0</v>
      </c>
      <c r="AZ27" s="16">
        <f t="shared" si="4"/>
        <v>0</v>
      </c>
      <c r="BA27" s="16">
        <f t="shared" si="4"/>
        <v>0</v>
      </c>
      <c r="BB27" s="16">
        <f t="shared" si="4"/>
        <v>0</v>
      </c>
      <c r="BC27" s="16">
        <f t="shared" si="4"/>
        <v>0</v>
      </c>
      <c r="BD27" s="16">
        <f t="shared" si="4"/>
        <v>0</v>
      </c>
      <c r="BE27" s="16">
        <f t="shared" si="4"/>
        <v>0</v>
      </c>
      <c r="BF27" s="16">
        <f t="shared" si="4"/>
        <v>0</v>
      </c>
      <c r="BG27" s="16">
        <f t="shared" si="4"/>
        <v>0</v>
      </c>
      <c r="BH27" s="16">
        <f t="shared" si="4"/>
        <v>0</v>
      </c>
      <c r="BI27" s="16">
        <f t="shared" si="4"/>
        <v>0</v>
      </c>
      <c r="BJ27" s="16">
        <f t="shared" si="4"/>
        <v>0</v>
      </c>
      <c r="BK27" s="16">
        <f t="shared" si="4"/>
        <v>0</v>
      </c>
      <c r="BL27" s="16">
        <f t="shared" si="4"/>
        <v>0</v>
      </c>
      <c r="BM27" s="16">
        <f t="shared" si="4"/>
        <v>0</v>
      </c>
      <c r="BN27" s="16">
        <f t="shared" si="4"/>
        <v>0</v>
      </c>
      <c r="BO27" s="16">
        <f t="shared" si="4"/>
        <v>0</v>
      </c>
      <c r="BP27" s="16">
        <f t="shared" si="4"/>
        <v>0</v>
      </c>
      <c r="BQ27" s="16">
        <f t="shared" si="4"/>
        <v>0</v>
      </c>
      <c r="BR27" s="16">
        <f t="shared" si="4"/>
        <v>0</v>
      </c>
      <c r="BS27" s="16">
        <f t="shared" si="4"/>
        <v>0</v>
      </c>
      <c r="BT27" s="16">
        <f t="shared" si="4"/>
        <v>0</v>
      </c>
      <c r="BU27" s="16">
        <f t="shared" si="4"/>
        <v>0</v>
      </c>
      <c r="BV27" s="16">
        <f t="shared" si="4"/>
        <v>0</v>
      </c>
      <c r="BW27" s="16">
        <f t="shared" si="4"/>
        <v>0</v>
      </c>
      <c r="BX27" s="16">
        <f t="shared" ref="BX27:DC27" si="5">COUNTIF(BX6:BX26,"sim")</f>
        <v>0</v>
      </c>
      <c r="BY27" s="16">
        <f t="shared" si="5"/>
        <v>0</v>
      </c>
      <c r="BZ27" s="16">
        <f t="shared" si="5"/>
        <v>0</v>
      </c>
      <c r="CA27" s="16">
        <f t="shared" si="5"/>
        <v>0</v>
      </c>
      <c r="CB27" s="16">
        <f t="shared" si="5"/>
        <v>0</v>
      </c>
      <c r="CC27" s="16">
        <f t="shared" si="5"/>
        <v>0</v>
      </c>
      <c r="CD27" s="16">
        <f t="shared" si="5"/>
        <v>0</v>
      </c>
      <c r="CE27" s="16">
        <f t="shared" si="5"/>
        <v>0</v>
      </c>
      <c r="CF27" s="16">
        <f t="shared" si="5"/>
        <v>0</v>
      </c>
      <c r="CG27" s="16">
        <f t="shared" si="5"/>
        <v>0</v>
      </c>
      <c r="CH27" s="16">
        <f t="shared" si="5"/>
        <v>0</v>
      </c>
      <c r="CI27" s="16">
        <f t="shared" si="5"/>
        <v>0</v>
      </c>
      <c r="CJ27" s="16">
        <f t="shared" si="5"/>
        <v>0</v>
      </c>
      <c r="CK27" s="16">
        <f t="shared" si="5"/>
        <v>0</v>
      </c>
      <c r="CL27" s="16">
        <f t="shared" si="5"/>
        <v>0</v>
      </c>
      <c r="CM27" s="16">
        <f t="shared" si="5"/>
        <v>0</v>
      </c>
      <c r="CN27" s="16">
        <f t="shared" si="5"/>
        <v>0</v>
      </c>
      <c r="CO27" s="16">
        <f t="shared" si="5"/>
        <v>0</v>
      </c>
      <c r="CP27" s="16">
        <f t="shared" si="5"/>
        <v>0</v>
      </c>
      <c r="CQ27" s="16">
        <f t="shared" si="5"/>
        <v>0</v>
      </c>
      <c r="CR27" s="16">
        <f t="shared" si="5"/>
        <v>0</v>
      </c>
      <c r="CS27" s="16">
        <f t="shared" si="5"/>
        <v>0</v>
      </c>
      <c r="CT27" s="16">
        <f t="shared" si="5"/>
        <v>0</v>
      </c>
      <c r="CU27" s="16">
        <f t="shared" si="5"/>
        <v>0</v>
      </c>
      <c r="CV27" s="16">
        <f t="shared" si="5"/>
        <v>0</v>
      </c>
      <c r="CW27" s="16">
        <f t="shared" si="5"/>
        <v>0</v>
      </c>
      <c r="CX27" s="16">
        <f t="shared" si="5"/>
        <v>0</v>
      </c>
      <c r="CY27" s="16">
        <f t="shared" si="5"/>
        <v>0</v>
      </c>
      <c r="CZ27" s="16">
        <f t="shared" si="5"/>
        <v>0</v>
      </c>
      <c r="DA27" s="16">
        <f t="shared" si="5"/>
        <v>0</v>
      </c>
      <c r="DB27" s="16">
        <f t="shared" si="5"/>
        <v>0</v>
      </c>
      <c r="DC27" s="16">
        <f t="shared" si="5"/>
        <v>0</v>
      </c>
      <c r="DD27" s="16">
        <f t="shared" ref="DD27:DU27" si="6">COUNTIF(DD6:DD26,"sim")</f>
        <v>0</v>
      </c>
      <c r="DE27" s="16">
        <f t="shared" si="6"/>
        <v>0</v>
      </c>
      <c r="DF27" s="16">
        <f t="shared" si="6"/>
        <v>0</v>
      </c>
      <c r="DG27" s="16">
        <f t="shared" si="6"/>
        <v>0</v>
      </c>
      <c r="DH27" s="16">
        <f t="shared" si="6"/>
        <v>0</v>
      </c>
      <c r="DI27" s="16">
        <f t="shared" si="6"/>
        <v>0</v>
      </c>
      <c r="DJ27" s="16">
        <f t="shared" si="6"/>
        <v>0</v>
      </c>
      <c r="DK27" s="16">
        <f t="shared" si="6"/>
        <v>0</v>
      </c>
      <c r="DL27" s="16">
        <f t="shared" si="6"/>
        <v>0</v>
      </c>
      <c r="DM27" s="16">
        <f t="shared" si="6"/>
        <v>0</v>
      </c>
      <c r="DN27" s="16">
        <f t="shared" si="6"/>
        <v>0</v>
      </c>
      <c r="DO27" s="16">
        <f t="shared" si="6"/>
        <v>0</v>
      </c>
      <c r="DP27" s="16">
        <f t="shared" si="6"/>
        <v>0</v>
      </c>
      <c r="DQ27" s="16">
        <f t="shared" si="6"/>
        <v>0</v>
      </c>
      <c r="DR27" s="16">
        <f t="shared" si="6"/>
        <v>0</v>
      </c>
      <c r="DS27" s="16">
        <f t="shared" si="6"/>
        <v>0</v>
      </c>
      <c r="DT27" s="16">
        <f t="shared" si="6"/>
        <v>0</v>
      </c>
      <c r="DU27" s="16">
        <f t="shared" si="6"/>
        <v>0</v>
      </c>
    </row>
    <row r="28" spans="1:125" s="18" customFormat="1" ht="15.75">
      <c r="A28" s="17" t="s">
        <v>19</v>
      </c>
      <c r="B28" s="18">
        <f t="shared" ref="B28" si="7">COUNTIF(B6:B26,"não")</f>
        <v>0</v>
      </c>
      <c r="C28" s="104">
        <f t="shared" ref="C28:E28" si="8">COUNTIF(C6:C26,"não")</f>
        <v>0</v>
      </c>
      <c r="D28" s="104">
        <f t="shared" ref="D28" si="9">COUNTIF(D6:D26,"não")</f>
        <v>0</v>
      </c>
      <c r="E28" s="104">
        <f t="shared" si="8"/>
        <v>0</v>
      </c>
      <c r="L28" s="18">
        <f t="shared" ref="L28:AQ28" si="10">COUNTIF(L6:L27,"não")</f>
        <v>0</v>
      </c>
      <c r="M28" s="18">
        <f t="shared" si="10"/>
        <v>0</v>
      </c>
      <c r="N28" s="18">
        <f t="shared" si="10"/>
        <v>0</v>
      </c>
      <c r="O28" s="18">
        <f t="shared" si="10"/>
        <v>0</v>
      </c>
      <c r="P28" s="18">
        <f t="shared" si="10"/>
        <v>0</v>
      </c>
      <c r="Q28" s="18">
        <f t="shared" si="10"/>
        <v>0</v>
      </c>
      <c r="R28" s="18">
        <f t="shared" si="10"/>
        <v>0</v>
      </c>
      <c r="S28" s="18">
        <f t="shared" si="10"/>
        <v>0</v>
      </c>
      <c r="T28" s="18">
        <f t="shared" si="10"/>
        <v>0</v>
      </c>
      <c r="U28" s="18">
        <f t="shared" si="10"/>
        <v>0</v>
      </c>
      <c r="V28" s="18">
        <f t="shared" si="10"/>
        <v>0</v>
      </c>
      <c r="W28" s="18">
        <f t="shared" si="10"/>
        <v>0</v>
      </c>
      <c r="X28" s="18">
        <f t="shared" si="10"/>
        <v>0</v>
      </c>
      <c r="Y28" s="18">
        <f t="shared" si="10"/>
        <v>0</v>
      </c>
      <c r="Z28" s="18">
        <f t="shared" si="10"/>
        <v>0</v>
      </c>
      <c r="AA28" s="18">
        <f t="shared" si="10"/>
        <v>0</v>
      </c>
      <c r="AB28" s="18">
        <f t="shared" si="10"/>
        <v>0</v>
      </c>
      <c r="AC28" s="18">
        <f t="shared" si="10"/>
        <v>0</v>
      </c>
      <c r="AD28" s="18">
        <f t="shared" si="10"/>
        <v>0</v>
      </c>
      <c r="AE28" s="18">
        <f t="shared" si="10"/>
        <v>0</v>
      </c>
      <c r="AF28" s="18">
        <f t="shared" si="10"/>
        <v>0</v>
      </c>
      <c r="AG28" s="18">
        <f t="shared" si="10"/>
        <v>0</v>
      </c>
      <c r="AH28" s="18">
        <f t="shared" si="10"/>
        <v>0</v>
      </c>
      <c r="AI28" s="18">
        <f t="shared" si="10"/>
        <v>0</v>
      </c>
      <c r="AJ28" s="18">
        <f t="shared" si="10"/>
        <v>0</v>
      </c>
      <c r="AK28" s="18">
        <f t="shared" si="10"/>
        <v>0</v>
      </c>
      <c r="AL28" s="18">
        <f t="shared" si="10"/>
        <v>0</v>
      </c>
      <c r="AM28" s="18">
        <f t="shared" si="10"/>
        <v>0</v>
      </c>
      <c r="AN28" s="18">
        <f t="shared" si="10"/>
        <v>0</v>
      </c>
      <c r="AO28" s="18">
        <f t="shared" si="10"/>
        <v>0</v>
      </c>
      <c r="AP28" s="18">
        <f t="shared" si="10"/>
        <v>0</v>
      </c>
      <c r="AQ28" s="18">
        <f t="shared" si="10"/>
        <v>0</v>
      </c>
      <c r="AR28" s="18">
        <f t="shared" ref="AR28:BW28" si="11">COUNTIF(AR6:AR27,"não")</f>
        <v>0</v>
      </c>
      <c r="AS28" s="18">
        <f t="shared" si="11"/>
        <v>0</v>
      </c>
      <c r="AT28" s="18">
        <f t="shared" si="11"/>
        <v>0</v>
      </c>
      <c r="AU28" s="18">
        <f t="shared" si="11"/>
        <v>0</v>
      </c>
      <c r="AV28" s="18">
        <f t="shared" si="11"/>
        <v>0</v>
      </c>
      <c r="AW28" s="18">
        <f t="shared" si="11"/>
        <v>0</v>
      </c>
      <c r="AX28" s="18">
        <f t="shared" si="11"/>
        <v>0</v>
      </c>
      <c r="AY28" s="18">
        <f t="shared" si="11"/>
        <v>0</v>
      </c>
      <c r="AZ28" s="18">
        <f t="shared" si="11"/>
        <v>0</v>
      </c>
      <c r="BA28" s="18">
        <f t="shared" si="11"/>
        <v>0</v>
      </c>
      <c r="BB28" s="18">
        <f t="shared" si="11"/>
        <v>0</v>
      </c>
      <c r="BC28" s="18">
        <f t="shared" si="11"/>
        <v>0</v>
      </c>
      <c r="BD28" s="18">
        <f t="shared" si="11"/>
        <v>0</v>
      </c>
      <c r="BE28" s="18">
        <f t="shared" si="11"/>
        <v>0</v>
      </c>
      <c r="BF28" s="18">
        <f t="shared" si="11"/>
        <v>0</v>
      </c>
      <c r="BG28" s="18">
        <f t="shared" si="11"/>
        <v>0</v>
      </c>
      <c r="BH28" s="18">
        <f t="shared" si="11"/>
        <v>0</v>
      </c>
      <c r="BI28" s="18">
        <f t="shared" si="11"/>
        <v>0</v>
      </c>
      <c r="BJ28" s="18">
        <f t="shared" si="11"/>
        <v>0</v>
      </c>
      <c r="BK28" s="18">
        <f t="shared" si="11"/>
        <v>0</v>
      </c>
      <c r="BL28" s="18">
        <f t="shared" si="11"/>
        <v>0</v>
      </c>
      <c r="BM28" s="18">
        <f t="shared" si="11"/>
        <v>0</v>
      </c>
      <c r="BN28" s="18">
        <f t="shared" si="11"/>
        <v>0</v>
      </c>
      <c r="BO28" s="18">
        <f t="shared" si="11"/>
        <v>0</v>
      </c>
      <c r="BP28" s="18">
        <f t="shared" si="11"/>
        <v>0</v>
      </c>
      <c r="BQ28" s="18">
        <f t="shared" si="11"/>
        <v>0</v>
      </c>
      <c r="BR28" s="18">
        <f t="shared" si="11"/>
        <v>0</v>
      </c>
      <c r="BS28" s="18">
        <f t="shared" si="11"/>
        <v>0</v>
      </c>
      <c r="BT28" s="18">
        <f t="shared" si="11"/>
        <v>0</v>
      </c>
      <c r="BU28" s="18">
        <f t="shared" si="11"/>
        <v>0</v>
      </c>
      <c r="BV28" s="18">
        <f t="shared" si="11"/>
        <v>0</v>
      </c>
      <c r="BW28" s="18">
        <f t="shared" si="11"/>
        <v>0</v>
      </c>
      <c r="BX28" s="18">
        <f t="shared" ref="BX28:DC28" si="12">COUNTIF(BX6:BX27,"não")</f>
        <v>0</v>
      </c>
      <c r="BY28" s="18">
        <f t="shared" si="12"/>
        <v>0</v>
      </c>
      <c r="BZ28" s="18">
        <f t="shared" si="12"/>
        <v>0</v>
      </c>
      <c r="CA28" s="18">
        <f t="shared" si="12"/>
        <v>0</v>
      </c>
      <c r="CB28" s="18">
        <f t="shared" si="12"/>
        <v>0</v>
      </c>
      <c r="CC28" s="18">
        <f t="shared" si="12"/>
        <v>0</v>
      </c>
      <c r="CD28" s="18">
        <f t="shared" si="12"/>
        <v>0</v>
      </c>
      <c r="CE28" s="18">
        <f t="shared" si="12"/>
        <v>0</v>
      </c>
      <c r="CF28" s="18">
        <f t="shared" si="12"/>
        <v>0</v>
      </c>
      <c r="CG28" s="18">
        <f t="shared" si="12"/>
        <v>0</v>
      </c>
      <c r="CH28" s="18">
        <f t="shared" si="12"/>
        <v>0</v>
      </c>
      <c r="CI28" s="18">
        <f t="shared" si="12"/>
        <v>0</v>
      </c>
      <c r="CJ28" s="18">
        <f t="shared" si="12"/>
        <v>0</v>
      </c>
      <c r="CK28" s="18">
        <f t="shared" si="12"/>
        <v>0</v>
      </c>
      <c r="CL28" s="18">
        <f t="shared" si="12"/>
        <v>0</v>
      </c>
      <c r="CM28" s="18">
        <f t="shared" si="12"/>
        <v>0</v>
      </c>
      <c r="CN28" s="18">
        <f t="shared" si="12"/>
        <v>0</v>
      </c>
      <c r="CO28" s="18">
        <f t="shared" si="12"/>
        <v>0</v>
      </c>
      <c r="CP28" s="18">
        <f t="shared" si="12"/>
        <v>0</v>
      </c>
      <c r="CQ28" s="18">
        <f t="shared" si="12"/>
        <v>0</v>
      </c>
      <c r="CR28" s="18">
        <f t="shared" si="12"/>
        <v>0</v>
      </c>
      <c r="CS28" s="18">
        <f t="shared" si="12"/>
        <v>0</v>
      </c>
      <c r="CT28" s="18">
        <f t="shared" si="12"/>
        <v>0</v>
      </c>
      <c r="CU28" s="18">
        <f t="shared" si="12"/>
        <v>0</v>
      </c>
      <c r="CV28" s="18">
        <f t="shared" si="12"/>
        <v>0</v>
      </c>
      <c r="CW28" s="18">
        <f t="shared" si="12"/>
        <v>0</v>
      </c>
      <c r="CX28" s="18">
        <f t="shared" si="12"/>
        <v>0</v>
      </c>
      <c r="CY28" s="18">
        <f t="shared" si="12"/>
        <v>0</v>
      </c>
      <c r="CZ28" s="18">
        <f t="shared" si="12"/>
        <v>0</v>
      </c>
      <c r="DA28" s="18">
        <f t="shared" si="12"/>
        <v>0</v>
      </c>
      <c r="DB28" s="18">
        <f t="shared" si="12"/>
        <v>0</v>
      </c>
      <c r="DC28" s="18">
        <f t="shared" si="12"/>
        <v>0</v>
      </c>
      <c r="DD28" s="18">
        <f t="shared" ref="DD28:DU28" si="13">COUNTIF(DD6:DD27,"não")</f>
        <v>0</v>
      </c>
      <c r="DE28" s="18">
        <f t="shared" si="13"/>
        <v>0</v>
      </c>
      <c r="DF28" s="18">
        <f t="shared" si="13"/>
        <v>0</v>
      </c>
      <c r="DG28" s="18">
        <f t="shared" si="13"/>
        <v>0</v>
      </c>
      <c r="DH28" s="18">
        <f t="shared" si="13"/>
        <v>0</v>
      </c>
      <c r="DI28" s="18">
        <f t="shared" si="13"/>
        <v>0</v>
      </c>
      <c r="DJ28" s="18">
        <f t="shared" si="13"/>
        <v>0</v>
      </c>
      <c r="DK28" s="18">
        <f t="shared" si="13"/>
        <v>0</v>
      </c>
      <c r="DL28" s="18">
        <f t="shared" si="13"/>
        <v>0</v>
      </c>
      <c r="DM28" s="18">
        <f t="shared" si="13"/>
        <v>0</v>
      </c>
      <c r="DN28" s="18">
        <f t="shared" si="13"/>
        <v>0</v>
      </c>
      <c r="DO28" s="18">
        <f t="shared" si="13"/>
        <v>0</v>
      </c>
      <c r="DP28" s="18">
        <f t="shared" si="13"/>
        <v>0</v>
      </c>
      <c r="DQ28" s="18">
        <f t="shared" si="13"/>
        <v>0</v>
      </c>
      <c r="DR28" s="18">
        <f t="shared" si="13"/>
        <v>0</v>
      </c>
      <c r="DS28" s="18">
        <f t="shared" si="13"/>
        <v>0</v>
      </c>
      <c r="DT28" s="18">
        <f t="shared" si="13"/>
        <v>0</v>
      </c>
      <c r="DU28" s="18">
        <f t="shared" si="13"/>
        <v>0</v>
      </c>
    </row>
    <row r="29" spans="1:125" ht="15.75">
      <c r="A29" s="14" t="s">
        <v>11</v>
      </c>
      <c r="B29">
        <f t="shared" ref="B29" si="14">COUNTIF(B6:B26,"ausente")</f>
        <v>0</v>
      </c>
      <c r="C29" s="40">
        <f t="shared" ref="C29:E29" si="15">COUNTIF(C6:C26,"ausente")</f>
        <v>0</v>
      </c>
      <c r="D29" s="40">
        <f t="shared" ref="D29" si="16">COUNTIF(D6:D26,"ausente")</f>
        <v>0</v>
      </c>
      <c r="E29" s="40">
        <f t="shared" si="15"/>
        <v>0</v>
      </c>
      <c r="L29">
        <f t="shared" ref="L29:AQ29" si="17">COUNTIF(L6:L28,"ausente")</f>
        <v>0</v>
      </c>
      <c r="M29">
        <f t="shared" si="17"/>
        <v>0</v>
      </c>
      <c r="N29">
        <f t="shared" si="17"/>
        <v>0</v>
      </c>
      <c r="O29">
        <f t="shared" si="17"/>
        <v>0</v>
      </c>
      <c r="P29">
        <f t="shared" si="17"/>
        <v>0</v>
      </c>
      <c r="Q29">
        <f t="shared" si="17"/>
        <v>0</v>
      </c>
      <c r="R29">
        <f t="shared" si="17"/>
        <v>0</v>
      </c>
      <c r="S29">
        <f t="shared" si="17"/>
        <v>0</v>
      </c>
      <c r="T29">
        <f t="shared" si="17"/>
        <v>0</v>
      </c>
      <c r="U29">
        <f t="shared" si="17"/>
        <v>0</v>
      </c>
      <c r="V29">
        <f t="shared" si="17"/>
        <v>0</v>
      </c>
      <c r="W29">
        <f t="shared" si="17"/>
        <v>0</v>
      </c>
      <c r="X29">
        <f t="shared" si="17"/>
        <v>0</v>
      </c>
      <c r="Y29">
        <f t="shared" si="17"/>
        <v>0</v>
      </c>
      <c r="Z29">
        <f t="shared" si="17"/>
        <v>0</v>
      </c>
      <c r="AA29">
        <f t="shared" si="17"/>
        <v>0</v>
      </c>
      <c r="AB29">
        <f t="shared" si="17"/>
        <v>0</v>
      </c>
      <c r="AC29">
        <f t="shared" si="17"/>
        <v>0</v>
      </c>
      <c r="AD29">
        <f t="shared" si="17"/>
        <v>0</v>
      </c>
      <c r="AE29">
        <f t="shared" si="17"/>
        <v>0</v>
      </c>
      <c r="AF29">
        <f t="shared" si="17"/>
        <v>0</v>
      </c>
      <c r="AG29">
        <f t="shared" si="17"/>
        <v>0</v>
      </c>
      <c r="AH29">
        <f t="shared" si="17"/>
        <v>0</v>
      </c>
      <c r="AI29">
        <f t="shared" si="17"/>
        <v>0</v>
      </c>
      <c r="AJ29">
        <f t="shared" si="17"/>
        <v>0</v>
      </c>
      <c r="AK29">
        <f t="shared" si="17"/>
        <v>0</v>
      </c>
      <c r="AL29">
        <f t="shared" si="17"/>
        <v>0</v>
      </c>
      <c r="AM29">
        <f t="shared" si="17"/>
        <v>0</v>
      </c>
      <c r="AN29">
        <f t="shared" si="17"/>
        <v>0</v>
      </c>
      <c r="AO29">
        <f t="shared" si="17"/>
        <v>0</v>
      </c>
      <c r="AP29">
        <f t="shared" si="17"/>
        <v>0</v>
      </c>
      <c r="AQ29">
        <f t="shared" si="17"/>
        <v>0</v>
      </c>
      <c r="AR29">
        <f t="shared" ref="AR29:BW29" si="18">COUNTIF(AR6:AR28,"ausente")</f>
        <v>0</v>
      </c>
      <c r="AS29">
        <f t="shared" si="18"/>
        <v>0</v>
      </c>
      <c r="AT29">
        <f t="shared" si="18"/>
        <v>0</v>
      </c>
      <c r="AU29">
        <f t="shared" si="18"/>
        <v>0</v>
      </c>
      <c r="AV29">
        <f t="shared" si="18"/>
        <v>0</v>
      </c>
      <c r="AW29">
        <f t="shared" si="18"/>
        <v>0</v>
      </c>
      <c r="AX29">
        <f t="shared" si="18"/>
        <v>0</v>
      </c>
      <c r="AY29">
        <f t="shared" si="18"/>
        <v>0</v>
      </c>
      <c r="AZ29">
        <f t="shared" si="18"/>
        <v>0</v>
      </c>
      <c r="BA29">
        <f t="shared" si="18"/>
        <v>0</v>
      </c>
      <c r="BB29">
        <f t="shared" si="18"/>
        <v>0</v>
      </c>
      <c r="BC29">
        <f t="shared" si="18"/>
        <v>0</v>
      </c>
      <c r="BD29">
        <f t="shared" si="18"/>
        <v>0</v>
      </c>
      <c r="BE29">
        <f t="shared" si="18"/>
        <v>0</v>
      </c>
      <c r="BF29">
        <f t="shared" si="18"/>
        <v>0</v>
      </c>
      <c r="BG29">
        <f t="shared" si="18"/>
        <v>0</v>
      </c>
      <c r="BH29">
        <f t="shared" si="18"/>
        <v>0</v>
      </c>
      <c r="BI29">
        <f t="shared" si="18"/>
        <v>0</v>
      </c>
      <c r="BJ29">
        <f t="shared" si="18"/>
        <v>0</v>
      </c>
      <c r="BK29">
        <f t="shared" si="18"/>
        <v>0</v>
      </c>
      <c r="BL29">
        <f t="shared" si="18"/>
        <v>0</v>
      </c>
      <c r="BM29">
        <f t="shared" si="18"/>
        <v>0</v>
      </c>
      <c r="BN29">
        <f t="shared" si="18"/>
        <v>0</v>
      </c>
      <c r="BO29">
        <f t="shared" si="18"/>
        <v>0</v>
      </c>
      <c r="BP29">
        <f t="shared" si="18"/>
        <v>0</v>
      </c>
      <c r="BQ29">
        <f t="shared" si="18"/>
        <v>0</v>
      </c>
      <c r="BR29">
        <f t="shared" si="18"/>
        <v>0</v>
      </c>
      <c r="BS29">
        <f t="shared" si="18"/>
        <v>0</v>
      </c>
      <c r="BT29">
        <f t="shared" si="18"/>
        <v>0</v>
      </c>
      <c r="BU29">
        <f t="shared" si="18"/>
        <v>0</v>
      </c>
      <c r="BV29">
        <f t="shared" si="18"/>
        <v>0</v>
      </c>
      <c r="BW29">
        <f t="shared" si="18"/>
        <v>0</v>
      </c>
      <c r="BX29">
        <f t="shared" ref="BX29:DC29" si="19">COUNTIF(BX6:BX28,"ausente")</f>
        <v>0</v>
      </c>
      <c r="BY29">
        <f t="shared" si="19"/>
        <v>0</v>
      </c>
      <c r="BZ29">
        <f t="shared" si="19"/>
        <v>0</v>
      </c>
      <c r="CA29">
        <f t="shared" si="19"/>
        <v>0</v>
      </c>
      <c r="CB29">
        <f t="shared" si="19"/>
        <v>0</v>
      </c>
      <c r="CC29">
        <f t="shared" si="19"/>
        <v>0</v>
      </c>
      <c r="CD29">
        <f t="shared" si="19"/>
        <v>0</v>
      </c>
      <c r="CE29">
        <f t="shared" si="19"/>
        <v>0</v>
      </c>
      <c r="CF29">
        <f t="shared" si="19"/>
        <v>0</v>
      </c>
      <c r="CG29">
        <f t="shared" si="19"/>
        <v>0</v>
      </c>
      <c r="CH29">
        <f t="shared" si="19"/>
        <v>0</v>
      </c>
      <c r="CI29">
        <f t="shared" si="19"/>
        <v>0</v>
      </c>
      <c r="CJ29">
        <f t="shared" si="19"/>
        <v>0</v>
      </c>
      <c r="CK29">
        <f t="shared" si="19"/>
        <v>0</v>
      </c>
      <c r="CL29">
        <f t="shared" si="19"/>
        <v>0</v>
      </c>
      <c r="CM29">
        <f t="shared" si="19"/>
        <v>0</v>
      </c>
      <c r="CN29">
        <f t="shared" si="19"/>
        <v>0</v>
      </c>
      <c r="CO29">
        <f t="shared" si="19"/>
        <v>0</v>
      </c>
      <c r="CP29">
        <f t="shared" si="19"/>
        <v>0</v>
      </c>
      <c r="CQ29">
        <f t="shared" si="19"/>
        <v>0</v>
      </c>
      <c r="CR29">
        <f t="shared" si="19"/>
        <v>0</v>
      </c>
      <c r="CS29">
        <f t="shared" si="19"/>
        <v>0</v>
      </c>
      <c r="CT29">
        <f t="shared" si="19"/>
        <v>0</v>
      </c>
      <c r="CU29">
        <f t="shared" si="19"/>
        <v>0</v>
      </c>
      <c r="CV29">
        <f t="shared" si="19"/>
        <v>0</v>
      </c>
      <c r="CW29">
        <f t="shared" si="19"/>
        <v>0</v>
      </c>
      <c r="CX29">
        <f t="shared" si="19"/>
        <v>0</v>
      </c>
      <c r="CY29">
        <f t="shared" si="19"/>
        <v>0</v>
      </c>
      <c r="CZ29">
        <f t="shared" si="19"/>
        <v>0</v>
      </c>
      <c r="DA29">
        <f t="shared" si="19"/>
        <v>0</v>
      </c>
      <c r="DB29">
        <f t="shared" si="19"/>
        <v>0</v>
      </c>
      <c r="DC29">
        <f t="shared" si="19"/>
        <v>0</v>
      </c>
      <c r="DD29">
        <f t="shared" ref="DD29:DU29" si="20">COUNTIF(DD6:DD28,"ausente")</f>
        <v>0</v>
      </c>
      <c r="DE29">
        <f t="shared" si="20"/>
        <v>0</v>
      </c>
      <c r="DF29">
        <f t="shared" si="20"/>
        <v>0</v>
      </c>
      <c r="DG29">
        <f t="shared" si="20"/>
        <v>0</v>
      </c>
      <c r="DH29">
        <f t="shared" si="20"/>
        <v>0</v>
      </c>
      <c r="DI29">
        <f t="shared" si="20"/>
        <v>0</v>
      </c>
      <c r="DJ29">
        <f t="shared" si="20"/>
        <v>0</v>
      </c>
      <c r="DK29">
        <f t="shared" si="20"/>
        <v>0</v>
      </c>
      <c r="DL29">
        <f t="shared" si="20"/>
        <v>0</v>
      </c>
      <c r="DM29">
        <f t="shared" si="20"/>
        <v>0</v>
      </c>
      <c r="DN29">
        <f t="shared" si="20"/>
        <v>0</v>
      </c>
      <c r="DO29">
        <f t="shared" si="20"/>
        <v>0</v>
      </c>
      <c r="DP29">
        <f t="shared" si="20"/>
        <v>0</v>
      </c>
      <c r="DQ29">
        <f t="shared" si="20"/>
        <v>0</v>
      </c>
      <c r="DR29">
        <f t="shared" si="20"/>
        <v>0</v>
      </c>
      <c r="DS29">
        <f t="shared" si="20"/>
        <v>0</v>
      </c>
      <c r="DT29">
        <f t="shared" si="20"/>
        <v>0</v>
      </c>
      <c r="DU29">
        <f t="shared" si="20"/>
        <v>0</v>
      </c>
    </row>
    <row r="30" spans="1:125" s="20" customFormat="1" ht="15.75">
      <c r="A30" s="19" t="s">
        <v>20</v>
      </c>
      <c r="B30" s="20">
        <f t="shared" ref="B30" si="21">COUNTIF(B6:B26,"abstenção")</f>
        <v>0</v>
      </c>
      <c r="C30" s="105">
        <f t="shared" ref="C30:E30" si="22">COUNTIF(C6:C26,"abstenção")</f>
        <v>0</v>
      </c>
      <c r="D30" s="105">
        <f t="shared" ref="D30" si="23">COUNTIF(D6:D26,"abstenção")</f>
        <v>0</v>
      </c>
      <c r="E30" s="105">
        <f t="shared" si="22"/>
        <v>0</v>
      </c>
      <c r="L30" s="20">
        <f t="shared" ref="L30:AQ30" si="24">COUNTIF(L10:L29,"abstenção")</f>
        <v>0</v>
      </c>
      <c r="M30" s="20">
        <f t="shared" si="24"/>
        <v>0</v>
      </c>
      <c r="N30" s="20">
        <f t="shared" si="24"/>
        <v>0</v>
      </c>
      <c r="O30" s="20">
        <f t="shared" si="24"/>
        <v>0</v>
      </c>
      <c r="P30" s="20">
        <f t="shared" si="24"/>
        <v>0</v>
      </c>
      <c r="Q30" s="20">
        <f t="shared" si="24"/>
        <v>0</v>
      </c>
      <c r="R30" s="20">
        <f t="shared" si="24"/>
        <v>0</v>
      </c>
      <c r="S30" s="20">
        <f t="shared" si="24"/>
        <v>0</v>
      </c>
      <c r="T30" s="20">
        <f t="shared" si="24"/>
        <v>0</v>
      </c>
      <c r="U30" s="20">
        <f t="shared" si="24"/>
        <v>0</v>
      </c>
      <c r="V30" s="20">
        <f t="shared" si="24"/>
        <v>0</v>
      </c>
      <c r="W30" s="20">
        <f t="shared" si="24"/>
        <v>0</v>
      </c>
      <c r="X30" s="20">
        <f t="shared" si="24"/>
        <v>0</v>
      </c>
      <c r="Y30" s="20">
        <f t="shared" si="24"/>
        <v>0</v>
      </c>
      <c r="Z30" s="20">
        <f t="shared" si="24"/>
        <v>0</v>
      </c>
      <c r="AA30" s="20">
        <f t="shared" si="24"/>
        <v>0</v>
      </c>
      <c r="AB30" s="20">
        <f t="shared" si="24"/>
        <v>0</v>
      </c>
      <c r="AC30" s="20">
        <f t="shared" si="24"/>
        <v>0</v>
      </c>
      <c r="AD30" s="20">
        <f t="shared" si="24"/>
        <v>0</v>
      </c>
      <c r="AE30" s="20">
        <f t="shared" si="24"/>
        <v>0</v>
      </c>
      <c r="AF30" s="20">
        <f t="shared" si="24"/>
        <v>0</v>
      </c>
      <c r="AG30" s="20">
        <f t="shared" si="24"/>
        <v>0</v>
      </c>
      <c r="AH30" s="20">
        <f t="shared" si="24"/>
        <v>0</v>
      </c>
      <c r="AI30" s="20">
        <f t="shared" si="24"/>
        <v>0</v>
      </c>
      <c r="AJ30" s="20">
        <f t="shared" si="24"/>
        <v>0</v>
      </c>
      <c r="AK30" s="20">
        <f t="shared" si="24"/>
        <v>0</v>
      </c>
      <c r="AL30" s="20">
        <f t="shared" si="24"/>
        <v>0</v>
      </c>
      <c r="AM30" s="20">
        <f t="shared" si="24"/>
        <v>0</v>
      </c>
      <c r="AN30" s="20">
        <f t="shared" si="24"/>
        <v>0</v>
      </c>
      <c r="AO30" s="20">
        <f t="shared" si="24"/>
        <v>0</v>
      </c>
      <c r="AP30" s="20">
        <f t="shared" si="24"/>
        <v>0</v>
      </c>
      <c r="AQ30" s="20">
        <f t="shared" si="24"/>
        <v>0</v>
      </c>
      <c r="AR30" s="20">
        <f t="shared" ref="AR30:BJ30" si="25">COUNTIF(AR10:AR29,"abstenção")</f>
        <v>0</v>
      </c>
      <c r="AS30" s="20">
        <f t="shared" si="25"/>
        <v>0</v>
      </c>
      <c r="AT30" s="20">
        <f t="shared" si="25"/>
        <v>0</v>
      </c>
      <c r="AU30" s="20">
        <f t="shared" si="25"/>
        <v>0</v>
      </c>
      <c r="AV30" s="20">
        <f t="shared" si="25"/>
        <v>0</v>
      </c>
      <c r="AW30" s="20">
        <f t="shared" si="25"/>
        <v>0</v>
      </c>
      <c r="AX30" s="20">
        <f t="shared" si="25"/>
        <v>0</v>
      </c>
      <c r="AY30" s="20">
        <f t="shared" si="25"/>
        <v>0</v>
      </c>
      <c r="AZ30" s="20">
        <f t="shared" si="25"/>
        <v>0</v>
      </c>
      <c r="BA30" s="20">
        <f t="shared" si="25"/>
        <v>0</v>
      </c>
      <c r="BB30" s="20">
        <f t="shared" si="25"/>
        <v>0</v>
      </c>
      <c r="BC30" s="20">
        <f t="shared" si="25"/>
        <v>0</v>
      </c>
      <c r="BD30" s="20">
        <f t="shared" si="25"/>
        <v>0</v>
      </c>
      <c r="BE30" s="20">
        <f t="shared" si="25"/>
        <v>0</v>
      </c>
      <c r="BF30" s="20">
        <f t="shared" si="25"/>
        <v>0</v>
      </c>
      <c r="BG30" s="20">
        <f t="shared" si="25"/>
        <v>0</v>
      </c>
      <c r="BH30" s="20">
        <f t="shared" si="25"/>
        <v>0</v>
      </c>
      <c r="BI30" s="20">
        <f t="shared" si="25"/>
        <v>0</v>
      </c>
      <c r="BJ30" s="20">
        <f t="shared" si="25"/>
        <v>0</v>
      </c>
      <c r="BK30" s="20">
        <f t="shared" ref="BK30:DU30" si="26">COUNTIF(BK10:BK29,"abstenção")</f>
        <v>0</v>
      </c>
      <c r="BL30" s="20">
        <f t="shared" si="26"/>
        <v>0</v>
      </c>
      <c r="BM30" s="20">
        <f t="shared" si="26"/>
        <v>0</v>
      </c>
      <c r="BN30" s="20">
        <f t="shared" si="26"/>
        <v>0</v>
      </c>
      <c r="BO30" s="20">
        <f t="shared" si="26"/>
        <v>0</v>
      </c>
      <c r="BP30" s="20">
        <f t="shared" si="26"/>
        <v>0</v>
      </c>
      <c r="BQ30" s="20">
        <f t="shared" si="26"/>
        <v>0</v>
      </c>
      <c r="BR30" s="20">
        <f t="shared" si="26"/>
        <v>0</v>
      </c>
      <c r="BS30" s="20">
        <f t="shared" si="26"/>
        <v>0</v>
      </c>
      <c r="BT30" s="20">
        <f t="shared" si="26"/>
        <v>0</v>
      </c>
      <c r="BU30" s="20">
        <f t="shared" si="26"/>
        <v>0</v>
      </c>
      <c r="BV30" s="20">
        <f t="shared" si="26"/>
        <v>0</v>
      </c>
      <c r="BW30" s="20">
        <f t="shared" si="26"/>
        <v>0</v>
      </c>
      <c r="BX30" s="20">
        <f t="shared" si="26"/>
        <v>0</v>
      </c>
      <c r="BY30" s="20">
        <f t="shared" si="26"/>
        <v>0</v>
      </c>
      <c r="BZ30" s="20">
        <f t="shared" si="26"/>
        <v>0</v>
      </c>
      <c r="CA30" s="20">
        <f t="shared" si="26"/>
        <v>0</v>
      </c>
      <c r="CB30" s="20">
        <f t="shared" si="26"/>
        <v>0</v>
      </c>
      <c r="CC30" s="20">
        <f t="shared" si="26"/>
        <v>0</v>
      </c>
      <c r="CD30" s="20">
        <f t="shared" si="26"/>
        <v>0</v>
      </c>
      <c r="CE30" s="20">
        <f t="shared" si="26"/>
        <v>0</v>
      </c>
      <c r="CF30" s="20">
        <f t="shared" si="26"/>
        <v>0</v>
      </c>
      <c r="CG30" s="20">
        <f t="shared" si="26"/>
        <v>0</v>
      </c>
      <c r="CH30" s="20">
        <f t="shared" si="26"/>
        <v>0</v>
      </c>
      <c r="CI30" s="20">
        <f t="shared" si="26"/>
        <v>0</v>
      </c>
      <c r="CJ30" s="20">
        <f t="shared" si="26"/>
        <v>0</v>
      </c>
      <c r="CK30" s="20">
        <f t="shared" si="26"/>
        <v>0</v>
      </c>
      <c r="CL30" s="20">
        <f t="shared" si="26"/>
        <v>0</v>
      </c>
      <c r="CM30" s="20">
        <f t="shared" si="26"/>
        <v>0</v>
      </c>
      <c r="CN30" s="20">
        <f t="shared" si="26"/>
        <v>0</v>
      </c>
      <c r="CO30" s="20">
        <f t="shared" si="26"/>
        <v>0</v>
      </c>
      <c r="CP30" s="20">
        <f t="shared" si="26"/>
        <v>0</v>
      </c>
      <c r="CQ30" s="20">
        <f t="shared" si="26"/>
        <v>0</v>
      </c>
      <c r="CR30" s="20">
        <f t="shared" si="26"/>
        <v>0</v>
      </c>
      <c r="CS30" s="20">
        <f t="shared" si="26"/>
        <v>0</v>
      </c>
      <c r="CT30" s="20">
        <f t="shared" si="26"/>
        <v>0</v>
      </c>
      <c r="CU30" s="20">
        <f t="shared" si="26"/>
        <v>0</v>
      </c>
      <c r="CV30" s="20">
        <f t="shared" si="26"/>
        <v>0</v>
      </c>
      <c r="CW30" s="20">
        <f t="shared" si="26"/>
        <v>0</v>
      </c>
      <c r="CX30" s="20">
        <f t="shared" si="26"/>
        <v>0</v>
      </c>
      <c r="CY30" s="20">
        <f t="shared" si="26"/>
        <v>0</v>
      </c>
      <c r="CZ30" s="20">
        <f t="shared" si="26"/>
        <v>0</v>
      </c>
      <c r="DA30" s="20">
        <f t="shared" si="26"/>
        <v>0</v>
      </c>
      <c r="DB30" s="20">
        <f t="shared" si="26"/>
        <v>0</v>
      </c>
      <c r="DC30" s="20">
        <f t="shared" si="26"/>
        <v>0</v>
      </c>
      <c r="DD30" s="20">
        <f t="shared" si="26"/>
        <v>0</v>
      </c>
      <c r="DE30" s="20">
        <f t="shared" si="26"/>
        <v>0</v>
      </c>
      <c r="DF30" s="20">
        <f t="shared" si="26"/>
        <v>0</v>
      </c>
      <c r="DG30" s="20">
        <f t="shared" si="26"/>
        <v>0</v>
      </c>
      <c r="DH30" s="20">
        <f t="shared" si="26"/>
        <v>0</v>
      </c>
      <c r="DI30" s="20">
        <f t="shared" si="26"/>
        <v>0</v>
      </c>
      <c r="DJ30" s="20">
        <f t="shared" si="26"/>
        <v>0</v>
      </c>
      <c r="DK30" s="20">
        <f t="shared" si="26"/>
        <v>0</v>
      </c>
      <c r="DL30" s="20">
        <f t="shared" si="26"/>
        <v>0</v>
      </c>
      <c r="DM30" s="20">
        <f t="shared" si="26"/>
        <v>0</v>
      </c>
      <c r="DN30" s="20">
        <f t="shared" si="26"/>
        <v>0</v>
      </c>
      <c r="DO30" s="20">
        <f t="shared" si="26"/>
        <v>0</v>
      </c>
      <c r="DP30" s="20">
        <f t="shared" si="26"/>
        <v>0</v>
      </c>
      <c r="DQ30" s="20">
        <f t="shared" si="26"/>
        <v>0</v>
      </c>
      <c r="DR30" s="20">
        <f t="shared" si="26"/>
        <v>0</v>
      </c>
      <c r="DS30" s="20">
        <f t="shared" si="26"/>
        <v>0</v>
      </c>
      <c r="DT30" s="20">
        <f t="shared" si="26"/>
        <v>0</v>
      </c>
      <c r="DU30" s="20">
        <f t="shared" si="26"/>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5"/>
  <dimension ref="A1:C38"/>
  <sheetViews>
    <sheetView tabSelected="1" workbookViewId="0">
      <pane xSplit="1" topLeftCell="B1" activePane="topRight" state="frozen"/>
      <selection pane="topRight" activeCell="F9" sqref="F9"/>
    </sheetView>
  </sheetViews>
  <sheetFormatPr defaultRowHeight="15"/>
  <cols>
    <col min="1" max="1" width="49.7109375" customWidth="1"/>
    <col min="2" max="2" width="22.85546875" customWidth="1"/>
    <col min="3" max="3" width="28.5703125" customWidth="1"/>
  </cols>
  <sheetData>
    <row r="1" spans="1:3">
      <c r="A1" s="76" t="s">
        <v>8</v>
      </c>
      <c r="B1" s="2"/>
    </row>
    <row r="2" spans="1:3">
      <c r="A2" s="76" t="s">
        <v>100</v>
      </c>
      <c r="B2" s="2"/>
    </row>
    <row r="3" spans="1:3" ht="15.75" thickBot="1">
      <c r="A3" s="121" t="s">
        <v>101</v>
      </c>
      <c r="B3" s="2"/>
    </row>
    <row r="4" spans="1:3" ht="78.75" customHeight="1" thickBot="1">
      <c r="A4" s="120" t="s">
        <v>5</v>
      </c>
      <c r="B4" s="111" t="s">
        <v>21</v>
      </c>
      <c r="C4" s="140" t="s">
        <v>132</v>
      </c>
    </row>
    <row r="5" spans="1:3" s="6" customFormat="1" ht="60.75" customHeight="1">
      <c r="A5" s="122"/>
      <c r="B5" s="111"/>
      <c r="C5" s="113" t="s">
        <v>97</v>
      </c>
    </row>
    <row r="6" spans="1:3" ht="15.75">
      <c r="A6" s="127" t="s">
        <v>54</v>
      </c>
      <c r="C6" s="107" t="s">
        <v>92</v>
      </c>
    </row>
    <row r="7" spans="1:3" ht="15.75">
      <c r="A7" s="127" t="s">
        <v>94</v>
      </c>
      <c r="C7" s="107" t="s">
        <v>92</v>
      </c>
    </row>
    <row r="8" spans="1:3" ht="15.75">
      <c r="A8" s="127" t="s">
        <v>57</v>
      </c>
      <c r="C8" s="107" t="s">
        <v>92</v>
      </c>
    </row>
    <row r="9" spans="1:3" ht="15.75">
      <c r="A9" s="128" t="s">
        <v>58</v>
      </c>
      <c r="C9" s="107" t="s">
        <v>92</v>
      </c>
    </row>
    <row r="10" spans="1:3" ht="15.75">
      <c r="A10" s="127" t="s">
        <v>28</v>
      </c>
      <c r="C10" s="114" t="s">
        <v>56</v>
      </c>
    </row>
    <row r="11" spans="1:3" ht="15.75">
      <c r="A11" s="127" t="s">
        <v>59</v>
      </c>
      <c r="C11" s="107" t="s">
        <v>92</v>
      </c>
    </row>
    <row r="12" spans="1:3" ht="15.75">
      <c r="A12" s="127" t="s">
        <v>22</v>
      </c>
      <c r="C12" s="107" t="s">
        <v>92</v>
      </c>
    </row>
    <row r="13" spans="1:3" ht="15.75">
      <c r="A13" s="127" t="s">
        <v>23</v>
      </c>
      <c r="B13" s="139"/>
      <c r="C13" s="114" t="s">
        <v>56</v>
      </c>
    </row>
    <row r="14" spans="1:3" ht="15.75">
      <c r="A14" s="127" t="s">
        <v>24</v>
      </c>
      <c r="C14" s="107" t="s">
        <v>92</v>
      </c>
    </row>
    <row r="15" spans="1:3" ht="15.75">
      <c r="A15" s="127" t="s">
        <v>60</v>
      </c>
      <c r="C15" s="107" t="s">
        <v>92</v>
      </c>
    </row>
    <row r="16" spans="1:3" ht="15.75">
      <c r="A16" s="127" t="s">
        <v>61</v>
      </c>
      <c r="C16" s="114" t="s">
        <v>56</v>
      </c>
    </row>
    <row r="17" spans="1:3" ht="15.75">
      <c r="A17" s="127" t="s">
        <v>62</v>
      </c>
      <c r="C17" s="107" t="s">
        <v>92</v>
      </c>
    </row>
    <row r="18" spans="1:3" ht="15.75">
      <c r="A18" s="127" t="s">
        <v>25</v>
      </c>
      <c r="C18" s="107" t="s">
        <v>92</v>
      </c>
    </row>
    <row r="19" spans="1:3" ht="15.75">
      <c r="A19" s="127" t="s">
        <v>63</v>
      </c>
      <c r="C19" s="107" t="s">
        <v>92</v>
      </c>
    </row>
    <row r="20" spans="1:3" ht="15.75">
      <c r="A20" s="127" t="s">
        <v>95</v>
      </c>
      <c r="C20" s="107" t="s">
        <v>92</v>
      </c>
    </row>
    <row r="21" spans="1:3" ht="15.75">
      <c r="A21" s="127" t="s">
        <v>26</v>
      </c>
      <c r="C21" s="107" t="s">
        <v>92</v>
      </c>
    </row>
    <row r="22" spans="1:3" ht="15.75">
      <c r="A22" s="127" t="s">
        <v>64</v>
      </c>
      <c r="C22" s="107" t="s">
        <v>92</v>
      </c>
    </row>
    <row r="23" spans="1:3" ht="15.75">
      <c r="A23" s="127" t="s">
        <v>96</v>
      </c>
      <c r="C23" s="107" t="s">
        <v>92</v>
      </c>
    </row>
    <row r="24" spans="1:3" ht="15.75">
      <c r="A24" s="127" t="s">
        <v>52</v>
      </c>
      <c r="C24" s="114" t="s">
        <v>56</v>
      </c>
    </row>
    <row r="25" spans="1:3" ht="15.75">
      <c r="A25" s="127" t="s">
        <v>102</v>
      </c>
      <c r="C25" s="107" t="s">
        <v>92</v>
      </c>
    </row>
    <row r="26" spans="1:3" ht="15.75">
      <c r="A26" s="127" t="s">
        <v>65</v>
      </c>
      <c r="C26" s="107" t="s">
        <v>92</v>
      </c>
    </row>
    <row r="27" spans="1:3">
      <c r="C27" s="107"/>
    </row>
    <row r="28" spans="1:3" ht="15.75">
      <c r="A28" s="15" t="s">
        <v>18</v>
      </c>
      <c r="B28" s="16">
        <f>COUNTIF(B6:B26,"sim")</f>
        <v>0</v>
      </c>
      <c r="C28" s="103">
        <f t="shared" ref="C28" si="0">COUNTIF(C6:C26,"sim")</f>
        <v>17</v>
      </c>
    </row>
    <row r="29" spans="1:3" ht="15.75">
      <c r="A29" s="17" t="s">
        <v>19</v>
      </c>
      <c r="B29" s="18">
        <f>COUNTIF(B6:B26,"não")</f>
        <v>0</v>
      </c>
      <c r="C29" s="104">
        <f t="shared" ref="C29" si="1">COUNTIF(C6:C26,"não")</f>
        <v>0</v>
      </c>
    </row>
    <row r="30" spans="1:3" ht="15.75">
      <c r="A30" s="14" t="s">
        <v>11</v>
      </c>
      <c r="B30">
        <f>COUNTIF(B6:B26,"ausente")</f>
        <v>0</v>
      </c>
      <c r="C30" s="40">
        <f t="shared" ref="C30" si="2">COUNTIF(C6:C26,"ausente")</f>
        <v>4</v>
      </c>
    </row>
    <row r="31" spans="1:3" ht="15.75">
      <c r="A31" s="19" t="s">
        <v>20</v>
      </c>
      <c r="B31" s="20">
        <f>COUNTIF(B6:B26,"abstenção")</f>
        <v>0</v>
      </c>
      <c r="C31" s="105">
        <f t="shared" ref="C31" si="3">COUNTIF(C6:C26,"abstenção")</f>
        <v>0</v>
      </c>
    </row>
    <row r="34" spans="1:1" ht="24.75">
      <c r="A34" s="1" t="s">
        <v>0</v>
      </c>
    </row>
    <row r="35" spans="1:1" ht="72.75">
      <c r="A35" s="1" t="s">
        <v>1</v>
      </c>
    </row>
    <row r="36" spans="1:1" ht="48.75">
      <c r="A36" s="1" t="s">
        <v>2</v>
      </c>
    </row>
    <row r="37" spans="1:1" ht="36.75">
      <c r="A37" s="1" t="s">
        <v>3</v>
      </c>
    </row>
    <row r="38" spans="1:1" ht="72.75">
      <c r="A38" s="1" t="s">
        <v>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dimension ref="A1:I38"/>
  <sheetViews>
    <sheetView topLeftCell="A5" workbookViewId="0">
      <selection activeCell="A25" sqref="A25"/>
    </sheetView>
  </sheetViews>
  <sheetFormatPr defaultRowHeight="15"/>
  <cols>
    <col min="1" max="1" width="46.85546875" customWidth="1"/>
    <col min="2" max="2" width="22" customWidth="1"/>
    <col min="3" max="3" width="21.7109375" style="23" customWidth="1"/>
    <col min="4" max="4" width="17.42578125" style="23" customWidth="1"/>
    <col min="5" max="5" width="17.85546875" style="23" customWidth="1"/>
    <col min="6" max="6" width="17.5703125" style="23" customWidth="1"/>
    <col min="7" max="7" width="16" style="23" customWidth="1"/>
    <col min="8" max="8" width="17.28515625" style="23" customWidth="1"/>
    <col min="9" max="9" width="15.5703125" customWidth="1"/>
    <col min="10" max="10" width="18.28515625" customWidth="1"/>
  </cols>
  <sheetData>
    <row r="1" spans="1:9">
      <c r="A1" s="76" t="s">
        <v>8</v>
      </c>
      <c r="B1" s="2"/>
      <c r="C1" s="54"/>
      <c r="D1" s="54"/>
      <c r="E1" s="54"/>
    </row>
    <row r="2" spans="1:9">
      <c r="A2" s="76" t="s">
        <v>100</v>
      </c>
      <c r="B2" s="2"/>
      <c r="C2" s="54"/>
      <c r="D2" s="54"/>
      <c r="E2" s="54"/>
    </row>
    <row r="3" spans="1:9" ht="15.75" thickBot="1">
      <c r="A3" s="121" t="s">
        <v>101</v>
      </c>
      <c r="B3" s="2"/>
      <c r="C3" s="54"/>
      <c r="D3" s="54"/>
      <c r="E3" s="54"/>
    </row>
    <row r="4" spans="1:9" ht="78" customHeight="1" thickBot="1">
      <c r="A4" s="120" t="s">
        <v>5</v>
      </c>
      <c r="B4" s="123" t="s">
        <v>32</v>
      </c>
      <c r="C4" s="131" t="s">
        <v>40</v>
      </c>
      <c r="D4" s="131" t="s">
        <v>39</v>
      </c>
      <c r="E4" s="131" t="s">
        <v>41</v>
      </c>
      <c r="F4" s="131" t="s">
        <v>42</v>
      </c>
      <c r="G4" s="131" t="s">
        <v>43</v>
      </c>
      <c r="H4" s="131" t="s">
        <v>44</v>
      </c>
      <c r="I4" s="131" t="s">
        <v>66</v>
      </c>
    </row>
    <row r="5" spans="1:9" ht="60.75" customHeight="1">
      <c r="A5" s="48"/>
      <c r="B5" s="10"/>
      <c r="C5" s="132"/>
      <c r="D5" s="131"/>
      <c r="E5" s="131"/>
      <c r="F5" s="133"/>
      <c r="G5" s="134"/>
      <c r="H5" s="134"/>
      <c r="I5" s="40"/>
    </row>
    <row r="6" spans="1:9" ht="18">
      <c r="A6" s="129" t="s">
        <v>54</v>
      </c>
      <c r="C6" s="134"/>
      <c r="D6" s="134"/>
      <c r="E6" s="134"/>
      <c r="F6" s="134"/>
      <c r="G6" s="134"/>
      <c r="H6" s="134"/>
      <c r="I6" s="40"/>
    </row>
    <row r="7" spans="1:9" ht="18">
      <c r="A7" s="129" t="s">
        <v>94</v>
      </c>
      <c r="C7" s="134"/>
      <c r="D7" s="134"/>
      <c r="E7" s="134"/>
      <c r="F7" s="134"/>
      <c r="G7" s="134"/>
      <c r="H7" s="134"/>
      <c r="I7" s="40"/>
    </row>
    <row r="8" spans="1:9" ht="18">
      <c r="A8" s="129" t="s">
        <v>57</v>
      </c>
      <c r="C8" s="134"/>
      <c r="D8" s="134"/>
      <c r="E8" s="134"/>
      <c r="F8" s="134"/>
      <c r="G8" s="134"/>
      <c r="H8" s="134"/>
      <c r="I8" s="40"/>
    </row>
    <row r="9" spans="1:9" ht="18">
      <c r="A9" s="130" t="s">
        <v>58</v>
      </c>
      <c r="C9" s="134"/>
      <c r="D9" s="134"/>
      <c r="E9" s="134"/>
      <c r="F9" s="134"/>
      <c r="G9" s="134"/>
      <c r="H9" s="134"/>
      <c r="I9" s="40"/>
    </row>
    <row r="10" spans="1:9" ht="18">
      <c r="A10" s="129" t="s">
        <v>28</v>
      </c>
      <c r="C10" s="134"/>
      <c r="D10" s="134"/>
      <c r="E10" s="134"/>
      <c r="F10" s="134"/>
      <c r="G10" s="134"/>
      <c r="H10" s="134"/>
      <c r="I10" s="40"/>
    </row>
    <row r="11" spans="1:9" ht="18">
      <c r="A11" s="129" t="s">
        <v>59</v>
      </c>
      <c r="C11" s="134"/>
      <c r="D11" s="134"/>
      <c r="E11" s="134"/>
      <c r="F11" s="134"/>
      <c r="G11" s="134"/>
      <c r="H11" s="134"/>
      <c r="I11" s="40"/>
    </row>
    <row r="12" spans="1:9" ht="18">
      <c r="A12" s="129" t="s">
        <v>22</v>
      </c>
      <c r="C12" s="134"/>
      <c r="D12" s="134"/>
      <c r="E12" s="134"/>
      <c r="F12" s="134"/>
      <c r="G12" s="134"/>
      <c r="H12" s="134"/>
      <c r="I12" s="40"/>
    </row>
    <row r="13" spans="1:9" ht="18">
      <c r="A13" s="129" t="s">
        <v>23</v>
      </c>
      <c r="C13" s="134"/>
      <c r="D13" s="134"/>
      <c r="E13" s="134"/>
      <c r="F13" s="134"/>
      <c r="G13" s="134"/>
      <c r="H13" s="134"/>
      <c r="I13" s="40"/>
    </row>
    <row r="14" spans="1:9" ht="18">
      <c r="A14" s="129" t="s">
        <v>24</v>
      </c>
      <c r="C14" s="134"/>
      <c r="D14" s="134"/>
      <c r="E14" s="134"/>
      <c r="F14" s="134"/>
      <c r="G14" s="134"/>
      <c r="H14" s="134"/>
      <c r="I14" s="40"/>
    </row>
    <row r="15" spans="1:9" ht="18">
      <c r="A15" s="129" t="s">
        <v>60</v>
      </c>
      <c r="C15" s="134"/>
      <c r="D15" s="134"/>
      <c r="E15" s="134"/>
      <c r="F15" s="134"/>
      <c r="G15" s="134"/>
      <c r="H15" s="134"/>
      <c r="I15" s="40"/>
    </row>
    <row r="16" spans="1:9" ht="18">
      <c r="A16" s="129" t="s">
        <v>61</v>
      </c>
      <c r="C16" s="134"/>
      <c r="D16" s="134"/>
      <c r="E16" s="134"/>
      <c r="F16" s="134"/>
      <c r="G16" s="134"/>
      <c r="H16" s="134"/>
      <c r="I16" s="40"/>
    </row>
    <row r="17" spans="1:9" ht="18">
      <c r="A17" s="129" t="s">
        <v>62</v>
      </c>
      <c r="C17" s="134"/>
      <c r="D17" s="134"/>
      <c r="E17" s="134"/>
      <c r="F17" s="134"/>
      <c r="G17" s="134"/>
      <c r="H17" s="134"/>
      <c r="I17" s="40"/>
    </row>
    <row r="18" spans="1:9" ht="18">
      <c r="A18" s="129" t="s">
        <v>25</v>
      </c>
      <c r="C18" s="134"/>
      <c r="D18" s="134"/>
      <c r="E18" s="134"/>
      <c r="F18" s="134"/>
      <c r="G18" s="134"/>
      <c r="H18" s="134"/>
      <c r="I18" s="40"/>
    </row>
    <row r="19" spans="1:9" ht="18">
      <c r="A19" s="129" t="s">
        <v>63</v>
      </c>
      <c r="C19" s="134"/>
      <c r="D19" s="134"/>
      <c r="E19" s="134"/>
      <c r="F19" s="134"/>
      <c r="G19" s="134"/>
      <c r="H19" s="134"/>
      <c r="I19" s="40"/>
    </row>
    <row r="20" spans="1:9" ht="18">
      <c r="A20" s="129" t="s">
        <v>95</v>
      </c>
      <c r="C20" s="134"/>
      <c r="D20" s="134"/>
      <c r="E20" s="134"/>
      <c r="F20" s="134"/>
      <c r="G20" s="134"/>
      <c r="H20" s="134"/>
      <c r="I20" s="40"/>
    </row>
    <row r="21" spans="1:9" ht="18">
      <c r="A21" s="129" t="s">
        <v>26</v>
      </c>
      <c r="C21" s="134"/>
      <c r="D21" s="134"/>
      <c r="E21" s="134"/>
      <c r="F21" s="134"/>
      <c r="G21" s="134"/>
      <c r="H21" s="134"/>
      <c r="I21" s="40"/>
    </row>
    <row r="22" spans="1:9" ht="18">
      <c r="A22" s="129" t="s">
        <v>64</v>
      </c>
      <c r="C22" s="134"/>
      <c r="D22" s="134"/>
      <c r="E22" s="134"/>
      <c r="F22" s="134"/>
      <c r="G22" s="134"/>
      <c r="H22" s="134"/>
      <c r="I22" s="40"/>
    </row>
    <row r="23" spans="1:9" ht="18">
      <c r="A23" s="129" t="s">
        <v>96</v>
      </c>
      <c r="C23" s="134"/>
      <c r="D23" s="134"/>
      <c r="E23" s="134"/>
      <c r="F23" s="134"/>
      <c r="G23" s="134"/>
      <c r="H23" s="134"/>
      <c r="I23" s="40"/>
    </row>
    <row r="24" spans="1:9" ht="18">
      <c r="A24" s="129" t="s">
        <v>52</v>
      </c>
      <c r="C24" s="134"/>
      <c r="D24" s="134"/>
      <c r="E24" s="134"/>
      <c r="F24" s="134"/>
      <c r="G24" s="134"/>
      <c r="H24" s="134"/>
      <c r="I24" s="40"/>
    </row>
    <row r="25" spans="1:9" ht="18">
      <c r="A25" s="129" t="s">
        <v>102</v>
      </c>
      <c r="C25" s="134"/>
      <c r="D25" s="134"/>
      <c r="E25" s="134"/>
      <c r="F25" s="134"/>
      <c r="G25" s="134"/>
      <c r="H25" s="134"/>
      <c r="I25" s="40"/>
    </row>
    <row r="26" spans="1:9" ht="18">
      <c r="A26" s="129" t="s">
        <v>65</v>
      </c>
      <c r="C26" s="134"/>
      <c r="D26" s="134"/>
      <c r="E26" s="134"/>
      <c r="F26" s="134"/>
      <c r="G26" s="134"/>
      <c r="H26" s="134"/>
      <c r="I26" s="40"/>
    </row>
    <row r="27" spans="1:9">
      <c r="C27" s="134"/>
      <c r="D27" s="134"/>
      <c r="E27" s="134"/>
      <c r="F27" s="134"/>
      <c r="G27" s="134"/>
      <c r="H27" s="134"/>
      <c r="I27" s="40"/>
    </row>
    <row r="28" spans="1:9" ht="15.75">
      <c r="A28" s="15" t="s">
        <v>18</v>
      </c>
      <c r="B28" s="16"/>
      <c r="C28" s="135">
        <f t="shared" ref="C28:I28" si="0">COUNTIF(C6:C26,"sim")</f>
        <v>0</v>
      </c>
      <c r="D28" s="135">
        <f t="shared" si="0"/>
        <v>0</v>
      </c>
      <c r="E28" s="135">
        <f t="shared" si="0"/>
        <v>0</v>
      </c>
      <c r="F28" s="135">
        <f t="shared" si="0"/>
        <v>0</v>
      </c>
      <c r="G28" s="135">
        <f t="shared" si="0"/>
        <v>0</v>
      </c>
      <c r="H28" s="135">
        <f t="shared" si="0"/>
        <v>0</v>
      </c>
      <c r="I28" s="135">
        <f t="shared" si="0"/>
        <v>0</v>
      </c>
    </row>
    <row r="29" spans="1:9" ht="15.75">
      <c r="A29" s="17" t="s">
        <v>19</v>
      </c>
      <c r="B29" s="18"/>
      <c r="C29" s="136">
        <f t="shared" ref="C29:I29" si="1">COUNTIF(C6:C26,"não")</f>
        <v>0</v>
      </c>
      <c r="D29" s="136">
        <f t="shared" si="1"/>
        <v>0</v>
      </c>
      <c r="E29" s="136">
        <f t="shared" si="1"/>
        <v>0</v>
      </c>
      <c r="F29" s="136">
        <f t="shared" si="1"/>
        <v>0</v>
      </c>
      <c r="G29" s="136">
        <f t="shared" si="1"/>
        <v>0</v>
      </c>
      <c r="H29" s="136">
        <f t="shared" si="1"/>
        <v>0</v>
      </c>
      <c r="I29" s="136">
        <f t="shared" si="1"/>
        <v>0</v>
      </c>
    </row>
    <row r="30" spans="1:9" ht="15.75">
      <c r="A30" s="14" t="s">
        <v>11</v>
      </c>
      <c r="C30" s="134">
        <f t="shared" ref="C30:I30" si="2">COUNTIF(C6:C26,"ausente")</f>
        <v>0</v>
      </c>
      <c r="D30" s="134">
        <f t="shared" si="2"/>
        <v>0</v>
      </c>
      <c r="E30" s="134">
        <f t="shared" si="2"/>
        <v>0</v>
      </c>
      <c r="F30" s="134">
        <f t="shared" si="2"/>
        <v>0</v>
      </c>
      <c r="G30" s="134">
        <f t="shared" si="2"/>
        <v>0</v>
      </c>
      <c r="H30" s="134">
        <f t="shared" si="2"/>
        <v>0</v>
      </c>
      <c r="I30" s="134">
        <f t="shared" si="2"/>
        <v>0</v>
      </c>
    </row>
    <row r="31" spans="1:9" ht="15.75">
      <c r="A31" s="19" t="s">
        <v>20</v>
      </c>
      <c r="B31" s="20"/>
      <c r="C31" s="137">
        <f t="shared" ref="C31:I31" si="3">COUNTIF(C6:C26,"abstenção")</f>
        <v>0</v>
      </c>
      <c r="D31" s="137">
        <f t="shared" si="3"/>
        <v>0</v>
      </c>
      <c r="E31" s="137">
        <f t="shared" si="3"/>
        <v>0</v>
      </c>
      <c r="F31" s="137">
        <f t="shared" si="3"/>
        <v>0</v>
      </c>
      <c r="G31" s="137">
        <f t="shared" si="3"/>
        <v>0</v>
      </c>
      <c r="H31" s="137">
        <f t="shared" si="3"/>
        <v>0</v>
      </c>
      <c r="I31" s="137">
        <f t="shared" si="3"/>
        <v>0</v>
      </c>
    </row>
    <row r="34" spans="1:1" ht="24.75">
      <c r="A34" s="1" t="s">
        <v>0</v>
      </c>
    </row>
    <row r="35" spans="1:1" ht="72.75">
      <c r="A35" s="1" t="s">
        <v>1</v>
      </c>
    </row>
    <row r="36" spans="1:1" ht="48.75">
      <c r="A36" s="1" t="s">
        <v>2</v>
      </c>
    </row>
    <row r="37" spans="1:1" ht="36.75">
      <c r="A37" s="1" t="s">
        <v>3</v>
      </c>
    </row>
    <row r="38" spans="1:1" ht="84.75">
      <c r="A38" s="1" t="s">
        <v>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7"/>
  <dimension ref="A1:Y37"/>
  <sheetViews>
    <sheetView zoomScale="90" zoomScaleNormal="90" workbookViewId="0">
      <selection activeCell="A25" sqref="A25"/>
    </sheetView>
  </sheetViews>
  <sheetFormatPr defaultRowHeight="15"/>
  <cols>
    <col min="1" max="1" width="46.85546875" customWidth="1"/>
    <col min="2" max="2" width="25.28515625" customWidth="1"/>
    <col min="3" max="3" width="21.140625" customWidth="1"/>
    <col min="4" max="4" width="23.5703125" customWidth="1"/>
    <col min="5" max="5" width="22" customWidth="1"/>
    <col min="6" max="6" width="22.140625" customWidth="1"/>
    <col min="7" max="7" width="22.7109375" customWidth="1"/>
    <col min="8" max="8" width="21" customWidth="1"/>
    <col min="9" max="25" width="24.5703125" customWidth="1"/>
  </cols>
  <sheetData>
    <row r="1" spans="1:25">
      <c r="A1" s="76" t="s">
        <v>8</v>
      </c>
      <c r="B1" s="2"/>
    </row>
    <row r="2" spans="1:25">
      <c r="A2" s="76" t="s">
        <v>100</v>
      </c>
      <c r="B2" s="2"/>
    </row>
    <row r="3" spans="1:25">
      <c r="A3" s="76" t="s">
        <v>101</v>
      </c>
      <c r="B3" s="2"/>
    </row>
    <row r="4" spans="1:25" ht="60.75" customHeight="1" thickBot="1">
      <c r="A4" s="52" t="s">
        <v>5</v>
      </c>
      <c r="B4" s="110" t="s">
        <v>33</v>
      </c>
      <c r="C4" s="106" t="s">
        <v>38</v>
      </c>
      <c r="D4" s="106" t="s">
        <v>67</v>
      </c>
      <c r="E4" s="106" t="s">
        <v>68</v>
      </c>
      <c r="F4" s="106" t="s">
        <v>69</v>
      </c>
      <c r="G4" s="106" t="s">
        <v>70</v>
      </c>
      <c r="H4" s="106" t="s">
        <v>71</v>
      </c>
      <c r="I4" s="106" t="s">
        <v>72</v>
      </c>
      <c r="J4" s="106" t="s">
        <v>73</v>
      </c>
      <c r="K4" s="106" t="s">
        <v>74</v>
      </c>
      <c r="L4" s="106" t="s">
        <v>75</v>
      </c>
      <c r="M4" s="106" t="s">
        <v>76</v>
      </c>
      <c r="N4" s="106" t="s">
        <v>77</v>
      </c>
      <c r="O4" s="106" t="s">
        <v>78</v>
      </c>
      <c r="P4" s="106" t="s">
        <v>79</v>
      </c>
      <c r="Q4" s="106" t="s">
        <v>80</v>
      </c>
      <c r="R4" s="106" t="s">
        <v>81</v>
      </c>
      <c r="S4" s="106" t="s">
        <v>82</v>
      </c>
      <c r="T4" s="106" t="s">
        <v>83</v>
      </c>
      <c r="U4" s="106" t="s">
        <v>84</v>
      </c>
      <c r="V4" s="106" t="s">
        <v>85</v>
      </c>
      <c r="W4" s="106" t="s">
        <v>86</v>
      </c>
      <c r="X4" s="106" t="s">
        <v>87</v>
      </c>
      <c r="Y4" s="106" t="s">
        <v>88</v>
      </c>
    </row>
    <row r="5" spans="1:25" ht="60.75" customHeight="1">
      <c r="A5" s="48"/>
      <c r="B5" s="11"/>
      <c r="C5" s="138"/>
      <c r="D5" s="40"/>
      <c r="E5" s="40"/>
      <c r="F5" s="40"/>
      <c r="G5" s="40"/>
      <c r="H5" s="40"/>
      <c r="I5" s="40"/>
      <c r="J5" s="40"/>
      <c r="K5" s="40"/>
      <c r="L5" s="40"/>
      <c r="M5" s="40"/>
      <c r="N5" s="40"/>
      <c r="O5" s="40"/>
      <c r="P5" s="40"/>
      <c r="Q5" s="40"/>
      <c r="R5" s="40"/>
      <c r="S5" s="40"/>
      <c r="T5" s="40"/>
      <c r="U5" s="40"/>
      <c r="V5" s="40"/>
      <c r="W5" s="40"/>
      <c r="X5" s="40"/>
      <c r="Y5" s="40"/>
    </row>
    <row r="6" spans="1:25" ht="15.75">
      <c r="A6" s="127" t="s">
        <v>54</v>
      </c>
    </row>
    <row r="7" spans="1:25" ht="15.75">
      <c r="A7" s="127" t="s">
        <v>94</v>
      </c>
    </row>
    <row r="8" spans="1:25" ht="15.75">
      <c r="A8" s="127" t="s">
        <v>57</v>
      </c>
    </row>
    <row r="9" spans="1:25" ht="15.75">
      <c r="A9" s="128" t="s">
        <v>58</v>
      </c>
    </row>
    <row r="10" spans="1:25" ht="15.75">
      <c r="A10" s="127" t="s">
        <v>28</v>
      </c>
    </row>
    <row r="11" spans="1:25" ht="15.75">
      <c r="A11" s="127" t="s">
        <v>59</v>
      </c>
    </row>
    <row r="12" spans="1:25" ht="15.75">
      <c r="A12" s="127" t="s">
        <v>22</v>
      </c>
    </row>
    <row r="13" spans="1:25" ht="15.75">
      <c r="A13" s="127" t="s">
        <v>23</v>
      </c>
    </row>
    <row r="14" spans="1:25" ht="15.75">
      <c r="A14" s="127" t="s">
        <v>24</v>
      </c>
    </row>
    <row r="15" spans="1:25" ht="15.75">
      <c r="A15" s="127" t="s">
        <v>60</v>
      </c>
    </row>
    <row r="16" spans="1:25" ht="15.75">
      <c r="A16" s="127" t="s">
        <v>61</v>
      </c>
    </row>
    <row r="17" spans="1:25" ht="15.75">
      <c r="A17" s="127" t="s">
        <v>62</v>
      </c>
    </row>
    <row r="18" spans="1:25" ht="15.75">
      <c r="A18" s="127" t="s">
        <v>25</v>
      </c>
    </row>
    <row r="19" spans="1:25" ht="15.75">
      <c r="A19" s="127" t="s">
        <v>63</v>
      </c>
    </row>
    <row r="20" spans="1:25" ht="15.75">
      <c r="A20" s="127" t="s">
        <v>95</v>
      </c>
    </row>
    <row r="21" spans="1:25" ht="15.75">
      <c r="A21" s="127" t="s">
        <v>26</v>
      </c>
    </row>
    <row r="22" spans="1:25" ht="15.75">
      <c r="A22" s="127" t="s">
        <v>64</v>
      </c>
    </row>
    <row r="23" spans="1:25" ht="15.75">
      <c r="A23" s="127" t="s">
        <v>96</v>
      </c>
    </row>
    <row r="24" spans="1:25" ht="15.75">
      <c r="A24" s="127" t="s">
        <v>52</v>
      </c>
    </row>
    <row r="25" spans="1:25" ht="15.75">
      <c r="A25" s="127" t="s">
        <v>102</v>
      </c>
    </row>
    <row r="26" spans="1:25" ht="15.75">
      <c r="A26" s="127" t="s">
        <v>65</v>
      </c>
    </row>
    <row r="27" spans="1:25" ht="15.75">
      <c r="A27" s="15" t="s">
        <v>18</v>
      </c>
      <c r="B27" s="16">
        <f t="shared" ref="B27:I27" si="0">COUNTIF(B6:B25,"sim")</f>
        <v>0</v>
      </c>
      <c r="C27" s="16">
        <f t="shared" si="0"/>
        <v>0</v>
      </c>
      <c r="D27" s="16">
        <f t="shared" si="0"/>
        <v>0</v>
      </c>
      <c r="E27" s="16">
        <f t="shared" si="0"/>
        <v>0</v>
      </c>
      <c r="F27" s="16">
        <f t="shared" si="0"/>
        <v>0</v>
      </c>
      <c r="G27" s="16">
        <f t="shared" si="0"/>
        <v>0</v>
      </c>
      <c r="H27" s="16">
        <f t="shared" si="0"/>
        <v>0</v>
      </c>
      <c r="I27" s="16">
        <f t="shared" si="0"/>
        <v>0</v>
      </c>
      <c r="J27" s="16">
        <f t="shared" ref="J27:Y27" si="1">COUNTIF(J6:J25,"sim")</f>
        <v>0</v>
      </c>
      <c r="K27" s="16">
        <f t="shared" si="1"/>
        <v>0</v>
      </c>
      <c r="L27" s="16">
        <f t="shared" si="1"/>
        <v>0</v>
      </c>
      <c r="M27" s="16">
        <f t="shared" si="1"/>
        <v>0</v>
      </c>
      <c r="N27" s="16">
        <f t="shared" si="1"/>
        <v>0</v>
      </c>
      <c r="O27" s="16">
        <f t="shared" si="1"/>
        <v>0</v>
      </c>
      <c r="P27" s="16">
        <f t="shared" si="1"/>
        <v>0</v>
      </c>
      <c r="Q27" s="16">
        <f t="shared" si="1"/>
        <v>0</v>
      </c>
      <c r="R27" s="16">
        <f t="shared" si="1"/>
        <v>0</v>
      </c>
      <c r="S27" s="16">
        <f t="shared" si="1"/>
        <v>0</v>
      </c>
      <c r="T27" s="16">
        <f t="shared" si="1"/>
        <v>0</v>
      </c>
      <c r="U27" s="16">
        <f t="shared" si="1"/>
        <v>0</v>
      </c>
      <c r="V27" s="16">
        <f t="shared" si="1"/>
        <v>0</v>
      </c>
      <c r="W27" s="16">
        <f t="shared" si="1"/>
        <v>0</v>
      </c>
      <c r="X27" s="16">
        <f t="shared" si="1"/>
        <v>0</v>
      </c>
      <c r="Y27" s="16">
        <f t="shared" si="1"/>
        <v>0</v>
      </c>
    </row>
    <row r="28" spans="1:25" ht="15.75">
      <c r="A28" s="17" t="s">
        <v>19</v>
      </c>
      <c r="B28" s="18">
        <f t="shared" ref="B28:I28" si="2">COUNTIF(B6:B25,"não")</f>
        <v>0</v>
      </c>
      <c r="C28" s="18">
        <f t="shared" si="2"/>
        <v>0</v>
      </c>
      <c r="D28" s="18">
        <f t="shared" si="2"/>
        <v>0</v>
      </c>
      <c r="E28" s="18">
        <f t="shared" si="2"/>
        <v>0</v>
      </c>
      <c r="F28" s="18">
        <f t="shared" si="2"/>
        <v>0</v>
      </c>
      <c r="G28" s="18">
        <f t="shared" si="2"/>
        <v>0</v>
      </c>
      <c r="H28" s="18">
        <f t="shared" si="2"/>
        <v>0</v>
      </c>
      <c r="I28" s="18">
        <f t="shared" si="2"/>
        <v>0</v>
      </c>
      <c r="J28" s="18">
        <f t="shared" ref="J28:Y28" si="3">COUNTIF(J6:J25,"não")</f>
        <v>0</v>
      </c>
      <c r="K28" s="18">
        <f t="shared" si="3"/>
        <v>0</v>
      </c>
      <c r="L28" s="18">
        <f t="shared" si="3"/>
        <v>0</v>
      </c>
      <c r="M28" s="18">
        <f t="shared" si="3"/>
        <v>0</v>
      </c>
      <c r="N28" s="18">
        <f t="shared" si="3"/>
        <v>0</v>
      </c>
      <c r="O28" s="18">
        <f t="shared" si="3"/>
        <v>0</v>
      </c>
      <c r="P28" s="18">
        <f t="shared" si="3"/>
        <v>0</v>
      </c>
      <c r="Q28" s="18">
        <f t="shared" si="3"/>
        <v>0</v>
      </c>
      <c r="R28" s="18">
        <f t="shared" si="3"/>
        <v>0</v>
      </c>
      <c r="S28" s="18">
        <f t="shared" si="3"/>
        <v>0</v>
      </c>
      <c r="T28" s="18">
        <f t="shared" si="3"/>
        <v>0</v>
      </c>
      <c r="U28" s="18">
        <f t="shared" si="3"/>
        <v>0</v>
      </c>
      <c r="V28" s="18">
        <f t="shared" si="3"/>
        <v>0</v>
      </c>
      <c r="W28" s="18">
        <f t="shared" si="3"/>
        <v>0</v>
      </c>
      <c r="X28" s="18">
        <f t="shared" si="3"/>
        <v>0</v>
      </c>
      <c r="Y28" s="18">
        <f t="shared" si="3"/>
        <v>0</v>
      </c>
    </row>
    <row r="29" spans="1:25" ht="15.75">
      <c r="A29" s="14" t="s">
        <v>11</v>
      </c>
      <c r="B29">
        <f t="shared" ref="B29:I29" si="4">COUNTIF(B6:B25,"ausente")</f>
        <v>0</v>
      </c>
      <c r="C29">
        <f t="shared" si="4"/>
        <v>0</v>
      </c>
      <c r="D29">
        <f t="shared" si="4"/>
        <v>0</v>
      </c>
      <c r="E29">
        <f t="shared" si="4"/>
        <v>0</v>
      </c>
      <c r="F29">
        <f t="shared" si="4"/>
        <v>0</v>
      </c>
      <c r="G29">
        <f t="shared" si="4"/>
        <v>0</v>
      </c>
      <c r="H29">
        <f t="shared" si="4"/>
        <v>0</v>
      </c>
      <c r="I29">
        <f t="shared" si="4"/>
        <v>0</v>
      </c>
      <c r="J29">
        <f t="shared" ref="J29:Y29" si="5">COUNTIF(J6:J25,"ausente")</f>
        <v>0</v>
      </c>
      <c r="K29">
        <f t="shared" si="5"/>
        <v>0</v>
      </c>
      <c r="L29">
        <f t="shared" si="5"/>
        <v>0</v>
      </c>
      <c r="M29">
        <f t="shared" si="5"/>
        <v>0</v>
      </c>
      <c r="N29">
        <f t="shared" si="5"/>
        <v>0</v>
      </c>
      <c r="O29">
        <f t="shared" si="5"/>
        <v>0</v>
      </c>
      <c r="P29">
        <f t="shared" si="5"/>
        <v>0</v>
      </c>
      <c r="Q29">
        <f t="shared" si="5"/>
        <v>0</v>
      </c>
      <c r="R29">
        <f t="shared" si="5"/>
        <v>0</v>
      </c>
      <c r="S29">
        <f t="shared" si="5"/>
        <v>0</v>
      </c>
      <c r="T29">
        <f t="shared" si="5"/>
        <v>0</v>
      </c>
      <c r="U29">
        <f t="shared" si="5"/>
        <v>0</v>
      </c>
      <c r="V29">
        <f t="shared" si="5"/>
        <v>0</v>
      </c>
      <c r="W29">
        <f t="shared" si="5"/>
        <v>0</v>
      </c>
      <c r="X29">
        <f t="shared" si="5"/>
        <v>0</v>
      </c>
      <c r="Y29">
        <f t="shared" si="5"/>
        <v>0</v>
      </c>
    </row>
    <row r="30" spans="1:25" ht="15.75">
      <c r="A30" s="19" t="s">
        <v>20</v>
      </c>
      <c r="B30" s="20">
        <f t="shared" ref="B30:I30" si="6">COUNTIF(B6:B25,"abstenção")</f>
        <v>0</v>
      </c>
      <c r="C30" s="20">
        <f t="shared" si="6"/>
        <v>0</v>
      </c>
      <c r="D30" s="20">
        <f t="shared" si="6"/>
        <v>0</v>
      </c>
      <c r="E30" s="20">
        <f t="shared" si="6"/>
        <v>0</v>
      </c>
      <c r="F30" s="20">
        <f t="shared" si="6"/>
        <v>0</v>
      </c>
      <c r="G30" s="20">
        <f t="shared" si="6"/>
        <v>0</v>
      </c>
      <c r="H30" s="20">
        <f t="shared" si="6"/>
        <v>0</v>
      </c>
      <c r="I30" s="20">
        <f t="shared" si="6"/>
        <v>0</v>
      </c>
      <c r="J30" s="20">
        <f t="shared" ref="J30:Y30" si="7">COUNTIF(J6:J25,"abstenção")</f>
        <v>0</v>
      </c>
      <c r="K30" s="20">
        <f t="shared" si="7"/>
        <v>0</v>
      </c>
      <c r="L30" s="20">
        <f t="shared" si="7"/>
        <v>0</v>
      </c>
      <c r="M30" s="20">
        <f t="shared" si="7"/>
        <v>0</v>
      </c>
      <c r="N30" s="20">
        <f t="shared" si="7"/>
        <v>0</v>
      </c>
      <c r="O30" s="20">
        <f t="shared" si="7"/>
        <v>0</v>
      </c>
      <c r="P30" s="20">
        <f t="shared" si="7"/>
        <v>0</v>
      </c>
      <c r="Q30" s="20">
        <f t="shared" si="7"/>
        <v>0</v>
      </c>
      <c r="R30" s="20">
        <f t="shared" si="7"/>
        <v>0</v>
      </c>
      <c r="S30" s="20">
        <f t="shared" si="7"/>
        <v>0</v>
      </c>
      <c r="T30" s="20">
        <f t="shared" si="7"/>
        <v>0</v>
      </c>
      <c r="U30" s="20">
        <f t="shared" si="7"/>
        <v>0</v>
      </c>
      <c r="V30" s="20">
        <f t="shared" si="7"/>
        <v>0</v>
      </c>
      <c r="W30" s="20">
        <f t="shared" si="7"/>
        <v>0</v>
      </c>
      <c r="X30" s="20">
        <f t="shared" si="7"/>
        <v>0</v>
      </c>
      <c r="Y30" s="20">
        <f t="shared" si="7"/>
        <v>0</v>
      </c>
    </row>
    <row r="33" spans="1:1" ht="24.75">
      <c r="A33" s="1" t="s">
        <v>0</v>
      </c>
    </row>
    <row r="34" spans="1:1" ht="72.75">
      <c r="A34" s="1" t="s">
        <v>1</v>
      </c>
    </row>
    <row r="35" spans="1:1" ht="48.75">
      <c r="A35" s="1" t="s">
        <v>2</v>
      </c>
    </row>
    <row r="36" spans="1:1" ht="36.75">
      <c r="A36" s="1" t="s">
        <v>3</v>
      </c>
    </row>
    <row r="37" spans="1:1" ht="84.75">
      <c r="A37" s="1" t="s">
        <v>4</v>
      </c>
    </row>
  </sheetData>
  <phoneticPr fontId="27"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PRESENÇA</vt:lpstr>
      <vt:lpstr>MOÇÃO E REQUERIMENTO</vt:lpstr>
      <vt:lpstr>VETO E SEGUNDA DISCUSSÃO</vt:lpstr>
      <vt:lpstr>PRIMEIRA DISCUSSÃO</vt:lpstr>
      <vt:lpstr>DISCUSSÃO ÚNICA</vt:lpstr>
      <vt:lpstr>RECURSOS- DISCUSSÃO ÚNICA</vt:lpstr>
      <vt:lpstr>DISCUSSÃO ÚNICA – REQUERIMENTOS</vt:lpstr>
      <vt:lpstr>VEREADORES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cmo-andre</dc:creator>
  <cp:lastModifiedBy>Rafael Cardoso</cp:lastModifiedBy>
  <cp:lastPrinted>2025-06-06T19:35:45Z</cp:lastPrinted>
  <dcterms:created xsi:type="dcterms:W3CDTF">2017-05-08T13:43:49Z</dcterms:created>
  <dcterms:modified xsi:type="dcterms:W3CDTF">2025-09-05T17:29:00Z</dcterms:modified>
</cp:coreProperties>
</file>