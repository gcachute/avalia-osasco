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FC77BF9D-A630-46C9-BB28-ABAB3C7CED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10" l="1"/>
  <c r="D29" i="10"/>
  <c r="D30" i="10"/>
  <c r="D31" i="10"/>
  <c r="C27" i="3"/>
  <c r="C28" i="3"/>
  <c r="C29" i="3"/>
  <c r="C30" i="3"/>
  <c r="E27" i="2"/>
  <c r="E28" i="2"/>
  <c r="E29" i="2"/>
  <c r="E30" i="2"/>
  <c r="D27" i="3"/>
  <c r="D28" i="3"/>
  <c r="D29" i="3"/>
  <c r="D30" i="3"/>
  <c r="A4" i="14" l="1"/>
  <c r="C28" i="10"/>
  <c r="C29" i="10"/>
  <c r="C30" i="10"/>
  <c r="C31" i="10"/>
  <c r="C27" i="2"/>
  <c r="C28" i="2"/>
  <c r="C29" i="2"/>
  <c r="C30" i="2"/>
  <c r="E28" i="10"/>
  <c r="E29" i="10"/>
  <c r="E30" i="10"/>
  <c r="E31" i="10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F28" i="11" l="1"/>
  <c r="F29" i="11"/>
  <c r="F30" i="11"/>
  <c r="F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<sst xmlns="http://schemas.openxmlformats.org/spreadsheetml/2006/main" count="500" uniqueCount="113">
  <si>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</si>
  <si>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</si>
  <si>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</si>
  <si>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</si>
  <si>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</si>
  <si>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</si>
  <si>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</si>
  <si>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</si>
  <si>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</si>
  <si>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</si>
  <si>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</si>
  <si>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</si>
  <si>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</si>
  <si>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</si>
  <si>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</si>
  <si>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</si>
  <si>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</si>
  <si>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</si>
  <si>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</si>
  <si>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</si>
  <si>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</si>
  <si>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</si>
  <si>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</si>
  <si>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</si>
  <si>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</si>
  <si>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</si>
  <si>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</si>
  <si>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</si>
  <si>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</si>
  <si>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</si>
  <si>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</si>
  <si>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</si>
  <si>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</si>
  <si>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</si>
  <si>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</si>
  <si>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</si>
  <si>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</si>
  <si>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</si>
  <si>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</si>
  <si>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</si>
  <si>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</si>
  <si>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</si>
  <si>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</si>
  <si>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</si>
  <si>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</si>
  <si>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</si>
  <si>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</si>
  <si>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</si>
  <si>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</si>
  <si>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</si>
  <si>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</si>
  <si>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</si>
  <si>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</si>
  <si>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</si>
  <si>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</si>
  <si>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</si>
  <si>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</si>
  <si>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</si>
  <si>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</si>
  <si>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</si>
  <si>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</si>
  <si>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</si>
  <si>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</si>
  <si>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</si>
  <si>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</si>
  <si>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</si>
  <si>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</si>
  <si>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</si>
  <si>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</si>
  <si>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Lúcia da Saúde</t>
  </si>
  <si>
    <t>Ralfi Silva</t>
  </si>
  <si>
    <t>APROVADO</t>
  </si>
  <si>
    <t>pela ausência do autor, será pautada na próxima sessão.</t>
  </si>
  <si>
    <r>
      <rPr>
        <b/>
        <sz val="10"/>
        <color theme="1"/>
        <rFont val="Arial"/>
        <family val="2"/>
      </rPr>
      <t>4.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</si>
  <si>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</si>
  <si>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</si>
  <si>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</si>
  <si>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</si>
  <si>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</si>
  <si>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</si>
  <si>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</si>
  <si>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</si>
  <si>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</si>
  <si>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</si>
  <si>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</si>
  <si>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</si>
  <si>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</si>
  <si>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</si>
  <si>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</si>
  <si>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</si>
  <si>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</si>
  <si>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</si>
  <si>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</si>
  <si>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</si>
  <si>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</si>
  <si>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r>
      <t xml:space="preserve">MOÇÃO DE APLAUSOS Nº 503/2025 – GABRIEL SAÚDE – </t>
    </r>
    <r>
      <rPr>
        <sz val="11"/>
        <color theme="1"/>
        <rFont val="Arial"/>
        <family val="2"/>
      </rPr>
      <t>Ao jovem empreendedor Henrique Alves Veloso, fundador da DKMOTORS, em reconhecimento à sua inspiradora trajetória de dedicação, visão e amor pelo universo automotivo.</t>
    </r>
  </si>
  <si>
    <r>
      <t xml:space="preserve">MOÇÃO DE APLAUSOS Nº 504/2025 – GABRIEL SAÚDE – </t>
    </r>
    <r>
      <rPr>
        <sz val="11"/>
        <color theme="1"/>
        <rFont val="Arial"/>
        <family val="2"/>
      </rPr>
      <t>Ao atleta Marcelo Macedo, integrante da Equipe de Atletismo Master Brasil, em reconhecimento à sua brilhante trajetória esportiva.</t>
    </r>
  </si>
  <si>
    <r>
      <t xml:space="preserve">MOÇÃO DE RECONHECIMENTO Nº 507/2025 – STEPHANE ROSSI – </t>
    </r>
    <r>
      <rPr>
        <sz val="11"/>
        <color theme="1"/>
        <rFont val="Arial"/>
        <family val="2"/>
      </rPr>
      <t>Ao ator osasquense Bruno Vinícius, pelo destaque nacional e internacional conquistado em sua trajetória artística, especialmente pela sua atuação no filme "Caramelo".</t>
    </r>
  </si>
  <si>
    <r>
      <t xml:space="preserve">MOÇÃO DE APLAUSOS Nº 508/2025 – GABRIEL SAÚDE – </t>
    </r>
    <r>
      <rPr>
        <sz val="11"/>
        <color theme="1"/>
        <rFont val="Arial"/>
        <family val="2"/>
      </rPr>
      <t>À equipe União da Nostalgia, pela realização da primeira edição do “Samba da Comunidade”.</t>
    </r>
  </si>
  <si>
    <t>na presidência</t>
  </si>
  <si>
    <r>
      <t xml:space="preserve">PROJETO DE DECRETO LEGISLATIVO Nº 67/2024 – JOSIAS DA JUCO - </t>
    </r>
    <r>
      <rPr>
        <sz val="11"/>
        <color theme="1"/>
        <rFont val="Arial"/>
        <family val="2"/>
      </rPr>
      <t>Dispõe sobre a concessão de Título de Cidadão Osasquense ao Senhor Carlos Fernando Zuppo Franco.</t>
    </r>
  </si>
  <si>
    <t>61ª SESSÃO ORDINÁRIA</t>
  </si>
  <si>
    <t>DIA 23 DE OUTUBRO DE 2025 - QUINTA-FEIRA</t>
  </si>
  <si>
    <t>Projeto de Lei Complementar nº 16/2025 – Prefeito do Município de Osasco - Dispõe sobre a alteração da Lei Complementar nº 428, de 22 de dezembro de 2023, que consolida as atribuições e os requisitos dos cargos de provimento efetivo da Prefeitura do Município de Osasco.</t>
  </si>
  <si>
    <r>
      <t xml:space="preserve">MOÇÃO DE CONGRATULAÇÕES Nº 509/2025 – HEBER DO JUNTOZ – </t>
    </r>
    <r>
      <rPr>
        <sz val="11"/>
        <color theme="1"/>
        <rFont val="Arial"/>
        <family val="2"/>
      </rPr>
      <t>à organização da Parada Oz, representada por Higor Andrade, Drag Tiffany, Alessandra Dumdum e Otávio Henrique, pela realização da 8ª edição da Parada do Orgulho LGBTQIA+ de Osasco, que ocorreu no dia 21 de setembro.</t>
    </r>
  </si>
  <si>
    <r>
      <t xml:space="preserve">MOÇÃO DE CONGRATULAÇÕES Nº 512/2025 – DÉLBIO TERUEL – </t>
    </r>
    <r>
      <rPr>
        <sz val="11"/>
        <color theme="1"/>
        <rFont val="Arial"/>
        <family val="2"/>
      </rPr>
      <t>À equipe de Futsal Sub 7 - Grêmio Osasco Audax, pela conquista do vice-campeonato da Série Prata do Campeonato Paulista de Futsal, realizado pela Federação Paulista de Futsal (FPFS) em seu Ginásio Ciro II.</t>
    </r>
  </si>
  <si>
    <r>
      <t xml:space="preserve">MOÇÃO DE RECONHECIMENTO Nº 514/2025 – ELSA OLIVEIRA – </t>
    </r>
    <r>
      <rPr>
        <sz val="11"/>
        <color theme="1"/>
        <rFont val="Arial"/>
        <family val="2"/>
      </rPr>
      <t>Aos idealizadores do projeto “Conecta
Analice”, os irmãos Maria Ivone e Henrique Neto Cordeiro, pela criação e condução de uma iniciativa que
valoriza o comércio local, incentiva o empreendedorismo e fortalece os laços comunitários na cidade de Osasco.</t>
    </r>
  </si>
  <si>
    <r>
      <t xml:space="preserve">PROJETO DE RESOLUÇÃO Nº 10/2025 - LAÉRCIO MENDONÇA – </t>
    </r>
    <r>
      <rPr>
        <sz val="14"/>
        <color theme="1"/>
        <rFont val="Arial"/>
        <family val="2"/>
      </rPr>
      <t xml:space="preserve">Institui a honraria “Centenário Osasquense”. </t>
    </r>
  </si>
  <si>
    <r>
      <t xml:space="preserve">PROJETO DE RESOLUÇÃO 12/2025 – MESA DIRETORA - </t>
    </r>
    <r>
      <rPr>
        <sz val="11"/>
        <color theme="1"/>
        <rFont val="Arial"/>
        <family val="2"/>
      </rPr>
      <t>Dispõe sobre a alteração da estrutura da Câmara Municipal de Osasco, altera dispositivos das Resoluções 10/2017, 05/2021, 08/2024, 01/2025, extingue e cria cargos e dá outras providências.</t>
    </r>
  </si>
  <si>
    <r>
      <t xml:space="preserve">PROJETO DE LEI Nº 55/2025 - STEPHANE ROSSI – </t>
    </r>
    <r>
      <rPr>
        <sz val="11"/>
        <color theme="1"/>
        <rFont val="Arial"/>
        <family val="2"/>
      </rPr>
      <t xml:space="preserve">Institui o mês Maio Laranja. </t>
    </r>
  </si>
  <si>
    <t>pela ausência da autora, será pautado na próxima sessão.</t>
  </si>
  <si>
    <r>
      <t xml:space="preserve"> PROJETO DE DECRETO LEGISLATIVO Nº 43/2025 – GABRIEL SAÚDE -</t>
    </r>
    <r>
      <rPr>
        <sz val="11"/>
        <color theme="1"/>
        <rFont val="Arial"/>
        <family val="2"/>
      </rPr>
      <t xml:space="preserve"> Dispõe sobre a concessão de Cartão de Prata à entidade Alegra Odontologia.</t>
    </r>
  </si>
  <si>
    <r>
      <t xml:space="preserve"> PROJETO DE DECRETO LEGISLATIVO Nº 57/2025 – EMERSON OSASCO - </t>
    </r>
    <r>
      <rPr>
        <sz val="11"/>
        <color theme="1"/>
        <rFont val="Arial"/>
        <family val="2"/>
      </rPr>
      <t>Dispõe sobre a concessão de honraria de Cartão de Prata à Associação Amigos do Jardim Bonança, em reconhecimento ao relevante trabalho que vem realizando em prol da saúde da comunidade local.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</si>
</sst>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6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tabSelected="1"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2" t="s">
        <v>29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0"/>
      <c r="O1" s="70"/>
      <c r="P1" s="70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3" t="s">
        <v>101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0"/>
      <c r="O2" s="70"/>
      <c r="P2" s="70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3" t="s">
        <v>102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0"/>
      <c r="O3" s="70"/>
      <c r="P3" s="70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6"/>
      <c r="U4" s="146"/>
      <c r="V4" s="146"/>
      <c r="W4" s="146"/>
      <c r="X4" s="146"/>
      <c r="Y4" s="146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6"/>
      <c r="U5" s="146"/>
      <c r="V5" s="146"/>
      <c r="W5" s="146"/>
      <c r="X5" s="146"/>
      <c r="Y5" s="146"/>
    </row>
    <row r="6" spans="1:28" ht="18" customHeight="1">
      <c r="A6" s="46" t="s">
        <v>68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6"/>
      <c r="U6" s="146"/>
      <c r="V6" s="146"/>
      <c r="W6" s="146"/>
      <c r="X6" s="146"/>
      <c r="Y6" s="146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6"/>
      <c r="U7" s="146"/>
      <c r="V7" s="146"/>
      <c r="W7" s="146"/>
      <c r="X7" s="146"/>
      <c r="Y7" s="146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6"/>
      <c r="U8" s="146"/>
      <c r="V8" s="146"/>
      <c r="W8" s="146"/>
      <c r="X8" s="146"/>
      <c r="Y8" s="146"/>
    </row>
    <row r="9" spans="1:28" ht="18" customHeight="1">
      <c r="A9" s="46" t="s">
        <v>28</v>
      </c>
      <c r="B9" s="88">
        <v>2</v>
      </c>
      <c r="C9" s="102" t="s">
        <v>53</v>
      </c>
      <c r="D9" s="63"/>
      <c r="E9" s="102"/>
      <c r="F9" s="88">
        <v>2</v>
      </c>
      <c r="G9" s="102" t="s">
        <v>53</v>
      </c>
      <c r="H9" s="63"/>
      <c r="I9" s="62"/>
      <c r="J9" s="63">
        <v>2</v>
      </c>
      <c r="K9" s="102" t="s">
        <v>53</v>
      </c>
      <c r="L9" s="67"/>
      <c r="M9" s="65"/>
      <c r="N9" s="63"/>
      <c r="O9" s="62"/>
      <c r="P9" s="63"/>
      <c r="Q9" s="63"/>
      <c r="R9" s="102"/>
      <c r="S9" s="89"/>
      <c r="T9" s="146"/>
      <c r="U9" s="146"/>
      <c r="V9" s="146"/>
      <c r="W9" s="146"/>
      <c r="X9" s="146"/>
      <c r="Y9" s="146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2</v>
      </c>
      <c r="K10" s="102" t="s">
        <v>53</v>
      </c>
      <c r="L10" s="67"/>
      <c r="M10" s="65"/>
      <c r="N10" s="63"/>
      <c r="O10" s="102"/>
      <c r="P10" s="63"/>
      <c r="Q10" s="63"/>
      <c r="R10" s="62"/>
      <c r="S10" s="89"/>
      <c r="T10" s="146"/>
      <c r="U10" s="146"/>
      <c r="V10" s="146"/>
      <c r="W10" s="146"/>
      <c r="X10" s="146"/>
      <c r="Y10" s="146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6"/>
      <c r="U11" s="146"/>
      <c r="V11" s="146"/>
      <c r="W11" s="146"/>
      <c r="X11" s="146"/>
      <c r="Y11" s="146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1</v>
      </c>
      <c r="K12" s="62" t="s">
        <v>52</v>
      </c>
      <c r="L12" s="67"/>
      <c r="M12" s="65"/>
      <c r="N12" s="63"/>
      <c r="O12" s="62"/>
      <c r="P12" s="63"/>
      <c r="Q12" s="63"/>
      <c r="R12" s="102"/>
      <c r="S12" s="91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6"/>
      <c r="U13" s="146"/>
      <c r="V13" s="146"/>
      <c r="W13" s="146"/>
      <c r="X13" s="146"/>
      <c r="Y13" s="146"/>
    </row>
    <row r="14" spans="1:28" ht="18" customHeight="1">
      <c r="A14" s="46" t="s">
        <v>57</v>
      </c>
      <c r="B14" s="88">
        <v>2</v>
      </c>
      <c r="C14" s="102" t="s">
        <v>53</v>
      </c>
      <c r="D14" s="63"/>
      <c r="E14" s="102"/>
      <c r="F14" s="88">
        <v>2</v>
      </c>
      <c r="G14" s="102" t="s">
        <v>53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6"/>
      <c r="U14" s="146"/>
      <c r="V14" s="146"/>
      <c r="W14" s="146"/>
      <c r="X14" s="146"/>
      <c r="Y14" s="146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6"/>
      <c r="U15" s="146"/>
      <c r="V15" s="146"/>
      <c r="W15" s="146"/>
      <c r="X15" s="146"/>
      <c r="Y15" s="146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6"/>
      <c r="U16" s="146"/>
      <c r="V16" s="146"/>
      <c r="W16" s="146"/>
      <c r="X16" s="146"/>
      <c r="Y16" s="146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10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46"/>
      <c r="U17" s="146"/>
      <c r="V17" s="146"/>
      <c r="W17" s="146"/>
      <c r="X17" s="146"/>
      <c r="Y17" s="146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2</v>
      </c>
      <c r="G18" s="102" t="s">
        <v>53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6"/>
      <c r="U18" s="146"/>
      <c r="V18" s="146"/>
      <c r="W18" s="146"/>
      <c r="X18" s="146"/>
      <c r="Y18" s="146"/>
    </row>
    <row r="19" spans="1:28" ht="18" customHeight="1">
      <c r="A19" s="46" t="s">
        <v>69</v>
      </c>
      <c r="B19" s="88">
        <v>2</v>
      </c>
      <c r="C19" s="102" t="s">
        <v>53</v>
      </c>
      <c r="D19" s="63"/>
      <c r="E19" s="62"/>
      <c r="F19" s="88">
        <v>2</v>
      </c>
      <c r="G19" s="102" t="s">
        <v>53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102"/>
      <c r="P19" s="63"/>
      <c r="Q19" s="63"/>
      <c r="R19" s="102"/>
      <c r="S19" s="91"/>
      <c r="T19" s="146"/>
      <c r="U19" s="146"/>
      <c r="V19" s="146"/>
      <c r="W19" s="146"/>
      <c r="X19" s="146"/>
      <c r="Y19" s="146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6"/>
      <c r="U20" s="146"/>
      <c r="V20" s="146"/>
      <c r="W20" s="146"/>
      <c r="X20" s="146"/>
      <c r="Y20" s="146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6"/>
      <c r="U21" s="146"/>
      <c r="V21" s="146"/>
      <c r="W21" s="146"/>
      <c r="X21" s="146"/>
      <c r="Y21" s="146"/>
    </row>
    <row r="22" spans="1:28" ht="18" customHeight="1">
      <c r="A22" s="46" t="s">
        <v>70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46"/>
      <c r="U22" s="146"/>
      <c r="V22" s="146"/>
      <c r="W22" s="146"/>
      <c r="X22" s="146"/>
      <c r="Y22" s="146"/>
    </row>
    <row r="23" spans="1:28" ht="18" customHeight="1">
      <c r="A23" s="46" t="s">
        <v>49</v>
      </c>
      <c r="B23" s="88">
        <v>1</v>
      </c>
      <c r="C23" s="62" t="s">
        <v>52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6"/>
      <c r="U23" s="146"/>
      <c r="V23" s="146"/>
      <c r="W23" s="146"/>
      <c r="X23" s="146"/>
      <c r="Y23" s="146"/>
    </row>
    <row r="24" spans="1:28" ht="20.25">
      <c r="A24" s="46" t="s">
        <v>94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6"/>
      <c r="U24" s="146"/>
      <c r="V24" s="146"/>
      <c r="W24" s="146"/>
      <c r="X24" s="146"/>
      <c r="Y24" s="146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2</v>
      </c>
      <c r="K25" s="102" t="s">
        <v>53</v>
      </c>
      <c r="L25" s="67"/>
      <c r="M25" s="65"/>
      <c r="N25" s="63"/>
      <c r="O25" s="62"/>
      <c r="P25" s="63"/>
      <c r="Q25" s="66"/>
      <c r="R25" s="102"/>
      <c r="S25" s="91"/>
      <c r="T25" s="146"/>
      <c r="U25" s="146"/>
      <c r="V25" s="146"/>
      <c r="W25" s="146"/>
      <c r="X25" s="146"/>
      <c r="Y25" s="146"/>
    </row>
    <row r="26" spans="1:28" ht="16.5" thickBot="1">
      <c r="A26" s="38" t="s">
        <v>13</v>
      </c>
      <c r="B26" s="98">
        <v>11</v>
      </c>
      <c r="C26" s="96" t="s">
        <v>46</v>
      </c>
      <c r="D26" s="98"/>
      <c r="E26" s="96" t="s">
        <v>46</v>
      </c>
      <c r="F26" s="98">
        <v>12</v>
      </c>
      <c r="G26" s="96" t="s">
        <v>46</v>
      </c>
      <c r="H26" s="100"/>
      <c r="I26" s="101"/>
      <c r="J26" s="98">
        <v>17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47</v>
      </c>
      <c r="D27" s="98"/>
      <c r="E27" s="96" t="s">
        <v>47</v>
      </c>
      <c r="F27" s="98">
        <v>9</v>
      </c>
      <c r="G27" s="96" t="s">
        <v>47</v>
      </c>
      <c r="H27" s="100"/>
      <c r="I27" s="96"/>
      <c r="J27" s="98">
        <v>4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56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58</v>
      </c>
      <c r="V42" s="12"/>
      <c r="W42" s="12"/>
    </row>
    <row r="43" spans="1:23" ht="18">
      <c r="A43" s="34" t="s">
        <v>60</v>
      </c>
      <c r="V43" s="12"/>
      <c r="W43" s="12"/>
    </row>
    <row r="44" spans="1:23" ht="18">
      <c r="A44" s="34" t="s">
        <v>94</v>
      </c>
      <c r="V44" s="12"/>
      <c r="W44" s="12"/>
    </row>
    <row r="45" spans="1:23" ht="18">
      <c r="A45" s="34" t="s">
        <v>57</v>
      </c>
      <c r="V45" s="12"/>
      <c r="W45" s="12"/>
    </row>
    <row r="46" spans="1:23" ht="18">
      <c r="A46" s="34" t="s">
        <v>28</v>
      </c>
      <c r="B46" s="7"/>
      <c r="V46" s="12"/>
      <c r="W46" s="32"/>
    </row>
    <row r="47" spans="1:23" ht="18">
      <c r="A47" s="34" t="s">
        <v>69</v>
      </c>
      <c r="W47" s="12"/>
    </row>
    <row r="48" spans="1:23" ht="18">
      <c r="A48" s="34" t="s">
        <v>23</v>
      </c>
      <c r="W48" s="12"/>
    </row>
    <row r="49" spans="1:23" ht="18">
      <c r="A49" s="34" t="s">
        <v>70</v>
      </c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M39"/>
  <sheetViews>
    <sheetView workbookViewId="0">
      <pane xSplit="1" topLeftCell="B1" activePane="topRight" state="frozen"/>
      <selection pane="topRight" activeCell="H5" sqref="H5"/>
    </sheetView>
  </sheetViews>
  <sheetFormatPr defaultColWidth="9.140625" defaultRowHeight="12.75"/>
  <cols>
    <col min="1" max="1" width="47.7109375" style="22" customWidth="1"/>
    <col min="2" max="3" width="23.7109375" style="22" customWidth="1"/>
    <col min="4" max="4" width="19" style="22" customWidth="1"/>
    <col min="5" max="5" width="26.28515625" style="22" customWidth="1"/>
    <col min="6" max="6" width="22.140625" style="22" customWidth="1"/>
    <col min="7" max="13" width="22.7109375" style="22" customWidth="1"/>
    <col min="14" max="16384" width="9.140625" style="22"/>
  </cols>
  <sheetData>
    <row r="1" spans="1:13" ht="15">
      <c r="A1" s="76" t="s">
        <v>8</v>
      </c>
      <c r="B1" s="21"/>
      <c r="C1" s="21"/>
      <c r="D1" s="21"/>
      <c r="E1" s="21"/>
    </row>
    <row r="2" spans="1:13" ht="15">
      <c r="A2" s="76" t="s">
        <v>101</v>
      </c>
      <c r="B2" s="21"/>
      <c r="C2" s="21"/>
      <c r="D2" s="21"/>
      <c r="E2" s="21"/>
    </row>
    <row r="3" spans="1:13" ht="17.25" customHeight="1">
      <c r="A3" s="76" t="s">
        <v>102</v>
      </c>
      <c r="B3" s="21"/>
      <c r="C3" s="21"/>
      <c r="D3" s="21"/>
      <c r="E3" s="21"/>
    </row>
    <row r="4" spans="1:13" ht="63" customHeight="1">
      <c r="A4" s="51" t="str">
        <f>'[1]MOÇÃO E REQUERIMENTO'!B7</f>
        <v>EXPEDIENTE</v>
      </c>
      <c r="B4" s="50" t="s">
        <v>45</v>
      </c>
      <c r="C4" s="117" t="s">
        <v>103</v>
      </c>
      <c r="D4" s="112" t="s">
        <v>34</v>
      </c>
      <c r="E4" s="124"/>
      <c r="F4" s="50" t="s">
        <v>27</v>
      </c>
      <c r="G4" s="84" t="s">
        <v>95</v>
      </c>
      <c r="H4" s="84" t="s">
        <v>96</v>
      </c>
      <c r="I4" s="84" t="s">
        <v>97</v>
      </c>
      <c r="J4" s="84" t="s">
        <v>98</v>
      </c>
      <c r="K4" s="84" t="s">
        <v>104</v>
      </c>
      <c r="L4" s="84" t="s">
        <v>105</v>
      </c>
      <c r="M4" s="84" t="s">
        <v>106</v>
      </c>
    </row>
    <row r="5" spans="1:13" s="59" customFormat="1" ht="48" customHeight="1">
      <c r="A5" s="57" t="s">
        <v>42</v>
      </c>
      <c r="B5" s="55"/>
      <c r="C5" s="55"/>
      <c r="D5" s="55"/>
      <c r="E5" s="113"/>
      <c r="G5" s="113" t="s">
        <v>65</v>
      </c>
      <c r="H5" s="118" t="s">
        <v>72</v>
      </c>
      <c r="I5" s="113" t="s">
        <v>65</v>
      </c>
      <c r="J5" s="113" t="s">
        <v>65</v>
      </c>
      <c r="K5" s="113" t="s">
        <v>65</v>
      </c>
      <c r="L5" s="113" t="s">
        <v>65</v>
      </c>
      <c r="M5" s="113" t="s">
        <v>65</v>
      </c>
    </row>
    <row r="6" spans="1:13" ht="15.75">
      <c r="A6" s="127" t="s">
        <v>51</v>
      </c>
      <c r="F6" s="23"/>
    </row>
    <row r="7" spans="1:13" ht="15.75">
      <c r="A7" s="127" t="s">
        <v>68</v>
      </c>
      <c r="F7" s="23"/>
    </row>
    <row r="8" spans="1:13" ht="15.75">
      <c r="A8" s="127" t="s">
        <v>54</v>
      </c>
      <c r="F8" s="23"/>
    </row>
    <row r="9" spans="1:13" ht="15.75">
      <c r="A9" s="128" t="s">
        <v>55</v>
      </c>
      <c r="F9" s="23"/>
    </row>
    <row r="10" spans="1:13" ht="15.75">
      <c r="A10" s="127" t="s">
        <v>28</v>
      </c>
      <c r="F10" s="23"/>
    </row>
    <row r="11" spans="1:13" ht="15.75">
      <c r="A11" s="127" t="s">
        <v>56</v>
      </c>
      <c r="F11" s="23"/>
    </row>
    <row r="12" spans="1:13" ht="15.75">
      <c r="A12" s="127" t="s">
        <v>22</v>
      </c>
      <c r="F12" s="23"/>
    </row>
    <row r="13" spans="1:13" ht="15.75">
      <c r="A13" s="127" t="s">
        <v>23</v>
      </c>
      <c r="F13" s="23"/>
    </row>
    <row r="14" spans="1:13" ht="15.75">
      <c r="A14" s="127" t="s">
        <v>24</v>
      </c>
      <c r="F14" s="23"/>
    </row>
    <row r="15" spans="1:13" ht="15.75">
      <c r="A15" s="127" t="s">
        <v>57</v>
      </c>
      <c r="F15" s="23"/>
    </row>
    <row r="16" spans="1:13" ht="15.75">
      <c r="A16" s="127" t="s">
        <v>58</v>
      </c>
      <c r="F16" s="23"/>
    </row>
    <row r="17" spans="1:6" ht="15.75">
      <c r="A17" s="127" t="s">
        <v>59</v>
      </c>
      <c r="F17" s="23"/>
    </row>
    <row r="18" spans="1:6" ht="15.75">
      <c r="A18" s="127" t="s">
        <v>25</v>
      </c>
      <c r="F18" s="23"/>
    </row>
    <row r="19" spans="1:6" ht="15.75">
      <c r="A19" s="127" t="s">
        <v>60</v>
      </c>
      <c r="F19" s="23"/>
    </row>
    <row r="20" spans="1:6" ht="15.75">
      <c r="A20" s="127" t="s">
        <v>69</v>
      </c>
      <c r="F20" s="23"/>
    </row>
    <row r="21" spans="1:6" ht="15.75">
      <c r="A21" s="127" t="s">
        <v>26</v>
      </c>
      <c r="F21" s="23"/>
    </row>
    <row r="22" spans="1:6" ht="15.75">
      <c r="A22" s="127" t="s">
        <v>61</v>
      </c>
      <c r="F22" s="23"/>
    </row>
    <row r="23" spans="1:6" ht="15.75">
      <c r="A23" s="127" t="s">
        <v>70</v>
      </c>
      <c r="F23" s="23"/>
    </row>
    <row r="24" spans="1:6" ht="15.75">
      <c r="A24" s="127" t="s">
        <v>49</v>
      </c>
      <c r="F24" s="23"/>
    </row>
    <row r="25" spans="1:6" ht="15.75">
      <c r="A25" s="127" t="s">
        <v>94</v>
      </c>
      <c r="F25" s="23"/>
    </row>
    <row r="26" spans="1:6" ht="15.75">
      <c r="A26" s="127" t="s">
        <v>62</v>
      </c>
      <c r="F26" s="23"/>
    </row>
    <row r="27" spans="1:6" s="25" customFormat="1">
      <c r="A27" s="24" t="s">
        <v>18</v>
      </c>
    </row>
    <row r="28" spans="1:6" s="27" customFormat="1">
      <c r="A28" s="26" t="s">
        <v>19</v>
      </c>
    </row>
    <row r="29" spans="1:6">
      <c r="A29" s="28" t="s">
        <v>11</v>
      </c>
    </row>
    <row r="30" spans="1:6" s="30" customFormat="1">
      <c r="A30" s="29" t="s">
        <v>20</v>
      </c>
    </row>
    <row r="32" spans="1:6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F4" sqref="F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101</v>
      </c>
      <c r="B2" s="49"/>
      <c r="C2" s="74"/>
    </row>
    <row r="3" spans="1:45" ht="17.25" customHeight="1">
      <c r="A3" s="76" t="s">
        <v>102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107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13"/>
      <c r="D5" s="79"/>
      <c r="E5" s="147" t="s">
        <v>71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 t="s">
        <v>66</v>
      </c>
    </row>
    <row r="7" spans="1:45" ht="20.25">
      <c r="A7" s="46" t="s">
        <v>68</v>
      </c>
      <c r="C7" s="107"/>
      <c r="E7" s="107" t="s">
        <v>66</v>
      </c>
    </row>
    <row r="8" spans="1:45" ht="20.25">
      <c r="A8" s="46" t="s">
        <v>54</v>
      </c>
      <c r="C8" s="107"/>
      <c r="E8" s="107" t="s">
        <v>66</v>
      </c>
    </row>
    <row r="9" spans="1:45" ht="20.25">
      <c r="A9" s="82" t="s">
        <v>55</v>
      </c>
      <c r="C9" s="114"/>
      <c r="E9" s="114" t="s">
        <v>99</v>
      </c>
    </row>
    <row r="10" spans="1:45" ht="20.25">
      <c r="A10" s="46" t="s">
        <v>28</v>
      </c>
      <c r="C10" s="107"/>
      <c r="E10" s="114" t="s">
        <v>53</v>
      </c>
    </row>
    <row r="11" spans="1:45" ht="20.25">
      <c r="A11" s="46" t="s">
        <v>56</v>
      </c>
      <c r="C11" s="107"/>
      <c r="E11" s="114" t="s">
        <v>53</v>
      </c>
    </row>
    <row r="12" spans="1:45" ht="20.25">
      <c r="A12" s="46" t="s">
        <v>22</v>
      </c>
      <c r="C12" s="107"/>
      <c r="E12" s="114" t="s">
        <v>53</v>
      </c>
    </row>
    <row r="13" spans="1:45" ht="20.25">
      <c r="A13" s="46" t="s">
        <v>23</v>
      </c>
      <c r="C13" s="107"/>
      <c r="E13" s="107" t="s">
        <v>66</v>
      </c>
    </row>
    <row r="14" spans="1:45" ht="20.25">
      <c r="A14" s="46" t="s">
        <v>24</v>
      </c>
      <c r="C14" s="107"/>
      <c r="E14" s="107" t="s">
        <v>66</v>
      </c>
    </row>
    <row r="15" spans="1:45" ht="20.25">
      <c r="A15" s="46" t="s">
        <v>57</v>
      </c>
      <c r="C15" s="114"/>
      <c r="E15" s="107" t="s">
        <v>66</v>
      </c>
    </row>
    <row r="16" spans="1:45" ht="20.25">
      <c r="A16" s="46" t="s">
        <v>58</v>
      </c>
      <c r="C16" s="107"/>
      <c r="E16" s="107" t="s">
        <v>66</v>
      </c>
    </row>
    <row r="17" spans="1:130" ht="20.25">
      <c r="A17" s="46" t="s">
        <v>59</v>
      </c>
      <c r="C17" s="114"/>
      <c r="E17" s="107" t="s">
        <v>66</v>
      </c>
    </row>
    <row r="18" spans="1:130" ht="20.25">
      <c r="A18" s="46" t="s">
        <v>25</v>
      </c>
      <c r="C18" s="107"/>
      <c r="E18" s="107" t="s">
        <v>66</v>
      </c>
    </row>
    <row r="19" spans="1:130" ht="20.25">
      <c r="A19" s="46" t="s">
        <v>60</v>
      </c>
      <c r="C19" s="107"/>
      <c r="E19" s="107" t="s">
        <v>66</v>
      </c>
    </row>
    <row r="20" spans="1:130" ht="20.25">
      <c r="A20" s="46" t="s">
        <v>69</v>
      </c>
      <c r="C20" s="114"/>
      <c r="E20" s="114" t="s">
        <v>53</v>
      </c>
    </row>
    <row r="21" spans="1:130" ht="20.25">
      <c r="A21" s="46" t="s">
        <v>26</v>
      </c>
      <c r="C21" s="114"/>
      <c r="E21" s="107" t="s">
        <v>66</v>
      </c>
    </row>
    <row r="22" spans="1:130" ht="20.25">
      <c r="A22" s="46" t="s">
        <v>61</v>
      </c>
      <c r="C22" s="107"/>
      <c r="E22" s="107" t="s">
        <v>66</v>
      </c>
    </row>
    <row r="23" spans="1:130" ht="20.25">
      <c r="A23" s="46" t="s">
        <v>70</v>
      </c>
      <c r="C23" s="107"/>
      <c r="E23" s="107" t="s">
        <v>66</v>
      </c>
    </row>
    <row r="24" spans="1:130" ht="20.25">
      <c r="A24" s="46" t="s">
        <v>49</v>
      </c>
      <c r="C24" s="107"/>
      <c r="E24" s="107" t="s">
        <v>66</v>
      </c>
    </row>
    <row r="25" spans="1:130" ht="20.25">
      <c r="A25" s="46" t="s">
        <v>94</v>
      </c>
      <c r="C25" s="107"/>
      <c r="E25" s="107" t="s">
        <v>66</v>
      </c>
    </row>
    <row r="26" spans="1:130" ht="20.25">
      <c r="A26" s="46" t="s">
        <v>62</v>
      </c>
      <c r="C26" s="107"/>
      <c r="E26" s="114" t="s">
        <v>53</v>
      </c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15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5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G5" sqref="G5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108</v>
      </c>
      <c r="D4" s="139" t="s">
        <v>109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13" t="s">
        <v>71</v>
      </c>
      <c r="D5" s="148" t="s">
        <v>110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51</v>
      </c>
      <c r="C6" s="107" t="s">
        <v>66</v>
      </c>
      <c r="D6" s="107"/>
      <c r="V6" s="7"/>
      <c r="W6" s="7"/>
    </row>
    <row r="7" spans="1:30" ht="18">
      <c r="A7" s="129" t="s">
        <v>68</v>
      </c>
      <c r="C7" s="107" t="s">
        <v>66</v>
      </c>
      <c r="D7" s="107"/>
      <c r="V7" s="7"/>
      <c r="W7" s="7"/>
    </row>
    <row r="8" spans="1:30" ht="18">
      <c r="A8" s="129" t="s">
        <v>54</v>
      </c>
      <c r="C8" s="107" t="s">
        <v>66</v>
      </c>
      <c r="D8" s="107"/>
      <c r="V8" s="7"/>
      <c r="W8" s="7"/>
    </row>
    <row r="9" spans="1:30" ht="18">
      <c r="A9" s="130" t="s">
        <v>55</v>
      </c>
      <c r="C9" s="114" t="s">
        <v>99</v>
      </c>
      <c r="D9" s="114"/>
      <c r="V9" s="7"/>
      <c r="W9" s="7"/>
    </row>
    <row r="10" spans="1:30" ht="18">
      <c r="A10" s="129" t="s">
        <v>28</v>
      </c>
      <c r="C10" s="114" t="s">
        <v>53</v>
      </c>
      <c r="D10" s="107"/>
      <c r="V10" s="7"/>
      <c r="W10" s="7"/>
    </row>
    <row r="11" spans="1:30" ht="18">
      <c r="A11" s="129" t="s">
        <v>56</v>
      </c>
      <c r="C11" s="114" t="s">
        <v>53</v>
      </c>
      <c r="D11" s="107"/>
      <c r="V11" s="7"/>
      <c r="W11" s="7"/>
    </row>
    <row r="12" spans="1:30" ht="18">
      <c r="A12" s="129" t="s">
        <v>22</v>
      </c>
      <c r="C12" s="114" t="s">
        <v>53</v>
      </c>
      <c r="D12" s="107"/>
      <c r="V12" s="7"/>
      <c r="W12" s="7"/>
    </row>
    <row r="13" spans="1:30" ht="18">
      <c r="A13" s="129" t="s">
        <v>23</v>
      </c>
      <c r="C13" s="107" t="s">
        <v>66</v>
      </c>
      <c r="D13" s="107"/>
      <c r="V13" s="7"/>
      <c r="W13" s="7"/>
    </row>
    <row r="14" spans="1:30" ht="18">
      <c r="A14" s="129" t="s">
        <v>24</v>
      </c>
      <c r="C14" s="107" t="s">
        <v>66</v>
      </c>
      <c r="D14" s="107"/>
      <c r="V14" s="7"/>
      <c r="W14" s="7"/>
    </row>
    <row r="15" spans="1:30" ht="18">
      <c r="A15" s="129" t="s">
        <v>57</v>
      </c>
      <c r="C15" s="107" t="s">
        <v>66</v>
      </c>
      <c r="D15" s="107"/>
      <c r="V15" s="7"/>
      <c r="W15" s="7"/>
    </row>
    <row r="16" spans="1:30" ht="18">
      <c r="A16" s="129" t="s">
        <v>58</v>
      </c>
      <c r="C16" s="107" t="s">
        <v>66</v>
      </c>
      <c r="D16" s="107"/>
      <c r="V16" s="7"/>
      <c r="W16" s="7"/>
    </row>
    <row r="17" spans="1:124" ht="15" customHeight="1">
      <c r="A17" s="129" t="s">
        <v>59</v>
      </c>
      <c r="C17" s="107" t="s">
        <v>66</v>
      </c>
      <c r="D17" s="107"/>
      <c r="U17" s="8"/>
      <c r="V17" s="7"/>
      <c r="W17" s="7"/>
    </row>
    <row r="18" spans="1:124" ht="18">
      <c r="A18" s="129" t="s">
        <v>25</v>
      </c>
      <c r="C18" s="107" t="s">
        <v>66</v>
      </c>
      <c r="D18" s="107"/>
      <c r="V18" s="7"/>
      <c r="W18" s="7"/>
    </row>
    <row r="19" spans="1:124" ht="18">
      <c r="A19" s="129" t="s">
        <v>60</v>
      </c>
      <c r="C19" s="107" t="s">
        <v>66</v>
      </c>
      <c r="D19" s="107"/>
      <c r="V19" s="7"/>
      <c r="W19" s="7"/>
    </row>
    <row r="20" spans="1:124" ht="18">
      <c r="A20" s="129" t="s">
        <v>69</v>
      </c>
      <c r="C20" s="114" t="s">
        <v>53</v>
      </c>
      <c r="D20" s="107"/>
      <c r="V20" s="7"/>
      <c r="W20" s="7"/>
    </row>
    <row r="21" spans="1:124" ht="18">
      <c r="A21" s="129" t="s">
        <v>26</v>
      </c>
      <c r="C21" s="107" t="s">
        <v>66</v>
      </c>
      <c r="D21" s="114"/>
      <c r="V21" s="7"/>
      <c r="W21" s="7"/>
    </row>
    <row r="22" spans="1:124" ht="18">
      <c r="A22" s="129" t="s">
        <v>61</v>
      </c>
      <c r="C22" s="107" t="s">
        <v>66</v>
      </c>
      <c r="D22" s="107"/>
      <c r="V22" s="7"/>
      <c r="W22" s="7"/>
    </row>
    <row r="23" spans="1:124" ht="18">
      <c r="A23" s="129" t="s">
        <v>70</v>
      </c>
      <c r="C23" s="107" t="s">
        <v>66</v>
      </c>
      <c r="D23" s="107"/>
      <c r="V23" s="7"/>
      <c r="W23" s="7"/>
    </row>
    <row r="24" spans="1:124" ht="18">
      <c r="A24" s="129" t="s">
        <v>49</v>
      </c>
      <c r="C24" s="107" t="s">
        <v>66</v>
      </c>
      <c r="D24" s="114"/>
      <c r="V24" s="7"/>
      <c r="W24" s="7"/>
    </row>
    <row r="25" spans="1:124" ht="18">
      <c r="A25" s="129" t="s">
        <v>94</v>
      </c>
      <c r="C25" s="107" t="s">
        <v>66</v>
      </c>
      <c r="D25" s="107"/>
      <c r="V25" s="7"/>
      <c r="W25" s="7"/>
    </row>
    <row r="26" spans="1:124" ht="18">
      <c r="A26" s="129" t="s">
        <v>62</v>
      </c>
      <c r="C26" s="114" t="s">
        <v>53</v>
      </c>
      <c r="D26" s="114"/>
      <c r="V26" s="7"/>
      <c r="W26" s="7"/>
    </row>
    <row r="27" spans="1:124" s="16" customFormat="1" ht="15.75">
      <c r="A27" s="15" t="s">
        <v>18</v>
      </c>
      <c r="B27" s="16">
        <f t="shared" ref="B27:D27" si="0">COUNTIF(B6:B26,"sim")</f>
        <v>0</v>
      </c>
      <c r="C27" s="103">
        <f t="shared" ref="C27" si="1">COUNTIF(C6:C26,"sim")</f>
        <v>15</v>
      </c>
      <c r="D27" s="103">
        <f t="shared" si="0"/>
        <v>0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:D28" si="6">COUNTIF(B6:B26,"não")</f>
        <v>0</v>
      </c>
      <c r="C28" s="104">
        <f t="shared" ref="C28" si="7">COUNTIF(C6:C26,"não")</f>
        <v>0</v>
      </c>
      <c r="D28" s="104">
        <f t="shared" si="6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:D29" si="12">COUNTIF(B6:B26,"ausente")</f>
        <v>0</v>
      </c>
      <c r="C29" s="40">
        <f t="shared" ref="C29" si="13">COUNTIF(C6:C26,"ausente")</f>
        <v>5</v>
      </c>
      <c r="D29" s="40">
        <f t="shared" si="12"/>
        <v>0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:D30" si="18">COUNTIF(B6:B26,"abstenção")</f>
        <v>0</v>
      </c>
      <c r="C30" s="105">
        <f t="shared" ref="C30" si="19">COUNTIF(C6:C26,"abstenção")</f>
        <v>0</v>
      </c>
      <c r="D30" s="105">
        <f t="shared" si="18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workbookViewId="0">
      <pane xSplit="1" topLeftCell="B1" activePane="topRight" state="frozen"/>
      <selection pane="topRight" activeCell="E26" sqref="E26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101</v>
      </c>
      <c r="B2" s="2"/>
    </row>
    <row r="3" spans="1:5" ht="15.75" thickBot="1">
      <c r="A3" s="121" t="s">
        <v>102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100</v>
      </c>
      <c r="D4" s="139" t="s">
        <v>111</v>
      </c>
      <c r="E4" s="139" t="s">
        <v>112</v>
      </c>
    </row>
    <row r="5" spans="1:5" s="6" customFormat="1" ht="60.75" customHeight="1">
      <c r="A5" s="122"/>
      <c r="B5" s="111"/>
      <c r="C5" s="113" t="s">
        <v>71</v>
      </c>
      <c r="D5" s="113" t="s">
        <v>71</v>
      </c>
      <c r="E5" s="113" t="s">
        <v>71</v>
      </c>
    </row>
    <row r="6" spans="1:5" ht="15.75">
      <c r="A6" s="127" t="s">
        <v>51</v>
      </c>
      <c r="C6" s="107" t="s">
        <v>66</v>
      </c>
      <c r="D6" s="107" t="s">
        <v>66</v>
      </c>
      <c r="E6" s="107" t="s">
        <v>66</v>
      </c>
    </row>
    <row r="7" spans="1:5" ht="15.75">
      <c r="A7" s="127" t="s">
        <v>68</v>
      </c>
      <c r="C7" s="107" t="s">
        <v>66</v>
      </c>
      <c r="D7" s="107" t="s">
        <v>66</v>
      </c>
      <c r="E7" s="107" t="s">
        <v>66</v>
      </c>
    </row>
    <row r="8" spans="1:5" ht="15.75">
      <c r="A8" s="127" t="s">
        <v>54</v>
      </c>
      <c r="C8" s="107" t="s">
        <v>66</v>
      </c>
      <c r="D8" s="107" t="s">
        <v>66</v>
      </c>
      <c r="E8" s="107" t="s">
        <v>66</v>
      </c>
    </row>
    <row r="9" spans="1:5" ht="15.75">
      <c r="A9" s="128" t="s">
        <v>55</v>
      </c>
      <c r="C9" s="107" t="s">
        <v>66</v>
      </c>
      <c r="D9" s="107" t="s">
        <v>66</v>
      </c>
      <c r="E9" s="107" t="s">
        <v>66</v>
      </c>
    </row>
    <row r="10" spans="1:5" ht="15.75">
      <c r="A10" s="127" t="s">
        <v>28</v>
      </c>
      <c r="C10" s="114" t="s">
        <v>53</v>
      </c>
      <c r="D10" s="114" t="s">
        <v>53</v>
      </c>
      <c r="E10" s="114" t="s">
        <v>53</v>
      </c>
    </row>
    <row r="11" spans="1:5" ht="15.75">
      <c r="A11" s="127" t="s">
        <v>56</v>
      </c>
      <c r="C11" s="114" t="s">
        <v>53</v>
      </c>
      <c r="D11" s="114" t="s">
        <v>53</v>
      </c>
      <c r="E11" s="114" t="s">
        <v>53</v>
      </c>
    </row>
    <row r="12" spans="1:5" ht="15.75">
      <c r="A12" s="127" t="s">
        <v>22</v>
      </c>
      <c r="C12" s="114" t="s">
        <v>53</v>
      </c>
      <c r="D12" s="114" t="s">
        <v>53</v>
      </c>
      <c r="E12" s="114" t="s">
        <v>53</v>
      </c>
    </row>
    <row r="13" spans="1:5" ht="15.75">
      <c r="A13" s="127" t="s">
        <v>23</v>
      </c>
      <c r="B13" s="138"/>
      <c r="C13" s="107" t="s">
        <v>66</v>
      </c>
      <c r="D13" s="107" t="s">
        <v>66</v>
      </c>
      <c r="E13" s="107" t="s">
        <v>66</v>
      </c>
    </row>
    <row r="14" spans="1:5" ht="15.75">
      <c r="A14" s="127" t="s">
        <v>24</v>
      </c>
      <c r="C14" s="107" t="s">
        <v>66</v>
      </c>
      <c r="D14" s="107" t="s">
        <v>66</v>
      </c>
      <c r="E14" s="107" t="s">
        <v>66</v>
      </c>
    </row>
    <row r="15" spans="1:5" ht="15.75">
      <c r="A15" s="127" t="s">
        <v>57</v>
      </c>
      <c r="C15" s="107" t="s">
        <v>66</v>
      </c>
      <c r="D15" s="107" t="s">
        <v>66</v>
      </c>
      <c r="E15" s="107" t="s">
        <v>66</v>
      </c>
    </row>
    <row r="16" spans="1:5" ht="15.75">
      <c r="A16" s="127" t="s">
        <v>58</v>
      </c>
      <c r="C16" s="107" t="s">
        <v>66</v>
      </c>
      <c r="D16" s="107" t="s">
        <v>66</v>
      </c>
      <c r="E16" s="107" t="s">
        <v>66</v>
      </c>
    </row>
    <row r="17" spans="1:5" ht="15.75">
      <c r="A17" s="127" t="s">
        <v>59</v>
      </c>
      <c r="C17" s="107" t="s">
        <v>66</v>
      </c>
      <c r="D17" s="107" t="s">
        <v>66</v>
      </c>
      <c r="E17" s="107" t="s">
        <v>66</v>
      </c>
    </row>
    <row r="18" spans="1:5" ht="15.75">
      <c r="A18" s="127" t="s">
        <v>25</v>
      </c>
      <c r="C18" s="107" t="s">
        <v>66</v>
      </c>
      <c r="D18" s="107" t="s">
        <v>66</v>
      </c>
      <c r="E18" s="107" t="s">
        <v>66</v>
      </c>
    </row>
    <row r="19" spans="1:5" ht="15.75">
      <c r="A19" s="127" t="s">
        <v>60</v>
      </c>
      <c r="C19" s="107" t="s">
        <v>66</v>
      </c>
      <c r="D19" s="107" t="s">
        <v>66</v>
      </c>
      <c r="E19" s="107" t="s">
        <v>66</v>
      </c>
    </row>
    <row r="20" spans="1:5" ht="15.75">
      <c r="A20" s="127" t="s">
        <v>69</v>
      </c>
      <c r="C20" s="114" t="s">
        <v>53</v>
      </c>
      <c r="D20" s="114" t="s">
        <v>53</v>
      </c>
      <c r="E20" s="114" t="s">
        <v>53</v>
      </c>
    </row>
    <row r="21" spans="1:5" ht="15.75">
      <c r="A21" s="127" t="s">
        <v>26</v>
      </c>
      <c r="C21" s="107" t="s">
        <v>66</v>
      </c>
      <c r="D21" s="107" t="s">
        <v>66</v>
      </c>
      <c r="E21" s="107" t="s">
        <v>66</v>
      </c>
    </row>
    <row r="22" spans="1:5" ht="15.75">
      <c r="A22" s="127" t="s">
        <v>61</v>
      </c>
      <c r="C22" s="107" t="s">
        <v>66</v>
      </c>
      <c r="D22" s="107" t="s">
        <v>66</v>
      </c>
      <c r="E22" s="107" t="s">
        <v>66</v>
      </c>
    </row>
    <row r="23" spans="1:5" ht="15.75">
      <c r="A23" s="127" t="s">
        <v>70</v>
      </c>
      <c r="C23" s="107" t="s">
        <v>66</v>
      </c>
      <c r="D23" s="107" t="s">
        <v>66</v>
      </c>
      <c r="E23" s="107" t="s">
        <v>66</v>
      </c>
    </row>
    <row r="24" spans="1:5" ht="15.75">
      <c r="A24" s="127" t="s">
        <v>49</v>
      </c>
      <c r="C24" s="107" t="s">
        <v>66</v>
      </c>
      <c r="D24" s="107" t="s">
        <v>66</v>
      </c>
      <c r="E24" s="107" t="s">
        <v>66</v>
      </c>
    </row>
    <row r="25" spans="1:5" ht="15.75">
      <c r="A25" s="127" t="s">
        <v>94</v>
      </c>
      <c r="C25" s="107" t="s">
        <v>66</v>
      </c>
      <c r="D25" s="107" t="s">
        <v>66</v>
      </c>
      <c r="E25" s="107" t="s">
        <v>66</v>
      </c>
    </row>
    <row r="26" spans="1:5" ht="15.75">
      <c r="A26" s="127" t="s">
        <v>62</v>
      </c>
      <c r="C26" s="114" t="s">
        <v>53</v>
      </c>
      <c r="D26" s="114" t="s">
        <v>53</v>
      </c>
      <c r="E26" s="114" t="s">
        <v>53</v>
      </c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" si="0">COUNTIF(C6:C26,"sim")</f>
        <v>16</v>
      </c>
      <c r="D28" s="103">
        <f t="shared" ref="D28:E28" si="1">COUNTIF(D6:D26,"sim")</f>
        <v>16</v>
      </c>
      <c r="E28" s="103">
        <f t="shared" si="1"/>
        <v>16</v>
      </c>
    </row>
    <row r="29" spans="1:5" ht="15.75">
      <c r="A29" s="17" t="s">
        <v>19</v>
      </c>
      <c r="B29" s="18">
        <f>COUNTIF(B6:B26,"não")</f>
        <v>0</v>
      </c>
      <c r="C29" s="104">
        <f t="shared" ref="C29" si="2">COUNTIF(C6:C26,"não")</f>
        <v>0</v>
      </c>
      <c r="D29" s="104">
        <f t="shared" ref="D29:E29" si="3">COUNTIF(D6:D26,"não")</f>
        <v>0</v>
      </c>
      <c r="E29" s="104">
        <f t="shared" si="3"/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" si="4">COUNTIF(C6:C26,"ausente")</f>
        <v>5</v>
      </c>
      <c r="D30" s="40">
        <f t="shared" ref="D30:E30" si="5">COUNTIF(D6:D26,"ausente")</f>
        <v>5</v>
      </c>
      <c r="E30" s="40">
        <f t="shared" si="5"/>
        <v>5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" si="6">COUNTIF(C6:C26,"abstenção")</f>
        <v>0</v>
      </c>
      <c r="D31" s="105">
        <f t="shared" ref="D31:E31" si="7">COUNTIF(D6:D26,"abstenção")</f>
        <v>0</v>
      </c>
      <c r="E31" s="105">
        <f t="shared" si="7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F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5.5703125" customWidth="1"/>
    <col min="7" max="7" width="18.28515625" customWidth="1"/>
  </cols>
  <sheetData>
    <row r="1" spans="1:6">
      <c r="A1" s="76" t="s">
        <v>8</v>
      </c>
      <c r="B1" s="2"/>
      <c r="C1" s="54"/>
      <c r="D1" s="54"/>
      <c r="E1" s="54"/>
    </row>
    <row r="2" spans="1:6">
      <c r="A2" s="76" t="s">
        <v>101</v>
      </c>
      <c r="B2" s="2"/>
      <c r="C2" s="54"/>
      <c r="D2" s="54"/>
      <c r="E2" s="54"/>
    </row>
    <row r="3" spans="1:6" ht="15.75" thickBot="1">
      <c r="A3" s="121" t="s">
        <v>102</v>
      </c>
      <c r="B3" s="2"/>
      <c r="C3" s="54"/>
      <c r="D3" s="54"/>
      <c r="E3" s="54"/>
    </row>
    <row r="4" spans="1:6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31" t="s">
        <v>73</v>
      </c>
    </row>
    <row r="5" spans="1:6" ht="60.75" customHeight="1">
      <c r="A5" s="48"/>
      <c r="B5" s="10"/>
      <c r="C5" s="132"/>
      <c r="D5" s="131"/>
      <c r="E5" s="131"/>
      <c r="F5" s="40"/>
    </row>
    <row r="6" spans="1:6" ht="18">
      <c r="A6" s="129" t="s">
        <v>51</v>
      </c>
      <c r="C6" s="133"/>
      <c r="D6" s="133"/>
      <c r="E6" s="133"/>
      <c r="F6" s="40"/>
    </row>
    <row r="7" spans="1:6" ht="18">
      <c r="A7" s="129" t="s">
        <v>68</v>
      </c>
      <c r="C7" s="133"/>
      <c r="D7" s="133"/>
      <c r="E7" s="133"/>
      <c r="F7" s="40"/>
    </row>
    <row r="8" spans="1:6" ht="18">
      <c r="A8" s="129" t="s">
        <v>54</v>
      </c>
      <c r="C8" s="133"/>
      <c r="D8" s="133"/>
      <c r="E8" s="133"/>
      <c r="F8" s="40"/>
    </row>
    <row r="9" spans="1:6" ht="18">
      <c r="A9" s="130" t="s">
        <v>55</v>
      </c>
      <c r="C9" s="133"/>
      <c r="D9" s="133"/>
      <c r="E9" s="133"/>
      <c r="F9" s="40"/>
    </row>
    <row r="10" spans="1:6" ht="18">
      <c r="A10" s="129" t="s">
        <v>28</v>
      </c>
      <c r="C10" s="133"/>
      <c r="D10" s="133"/>
      <c r="E10" s="133"/>
      <c r="F10" s="40"/>
    </row>
    <row r="11" spans="1:6" ht="18">
      <c r="A11" s="129" t="s">
        <v>56</v>
      </c>
      <c r="C11" s="133"/>
      <c r="D11" s="133"/>
      <c r="E11" s="133"/>
      <c r="F11" s="40"/>
    </row>
    <row r="12" spans="1:6" ht="18">
      <c r="A12" s="129" t="s">
        <v>22</v>
      </c>
      <c r="C12" s="133"/>
      <c r="D12" s="133"/>
      <c r="E12" s="133"/>
      <c r="F12" s="40"/>
    </row>
    <row r="13" spans="1:6" ht="18">
      <c r="A13" s="129" t="s">
        <v>23</v>
      </c>
      <c r="C13" s="133"/>
      <c r="D13" s="133"/>
      <c r="E13" s="133"/>
      <c r="F13" s="40"/>
    </row>
    <row r="14" spans="1:6" ht="18">
      <c r="A14" s="129" t="s">
        <v>24</v>
      </c>
      <c r="C14" s="133"/>
      <c r="D14" s="133"/>
      <c r="E14" s="133"/>
      <c r="F14" s="40"/>
    </row>
    <row r="15" spans="1:6" ht="18">
      <c r="A15" s="129" t="s">
        <v>57</v>
      </c>
      <c r="C15" s="133"/>
      <c r="D15" s="133"/>
      <c r="E15" s="133"/>
      <c r="F15" s="40"/>
    </row>
    <row r="16" spans="1:6" ht="18">
      <c r="A16" s="129" t="s">
        <v>58</v>
      </c>
      <c r="C16" s="133"/>
      <c r="D16" s="133"/>
      <c r="E16" s="133"/>
      <c r="F16" s="40"/>
    </row>
    <row r="17" spans="1:6" ht="18">
      <c r="A17" s="129" t="s">
        <v>59</v>
      </c>
      <c r="C17" s="133"/>
      <c r="D17" s="133"/>
      <c r="E17" s="133"/>
      <c r="F17" s="40"/>
    </row>
    <row r="18" spans="1:6" ht="18">
      <c r="A18" s="129" t="s">
        <v>25</v>
      </c>
      <c r="C18" s="133"/>
      <c r="D18" s="133"/>
      <c r="E18" s="133"/>
      <c r="F18" s="40"/>
    </row>
    <row r="19" spans="1:6" ht="18">
      <c r="A19" s="129" t="s">
        <v>60</v>
      </c>
      <c r="C19" s="133"/>
      <c r="D19" s="133"/>
      <c r="E19" s="133"/>
      <c r="F19" s="40"/>
    </row>
    <row r="20" spans="1:6" ht="18">
      <c r="A20" s="129" t="s">
        <v>69</v>
      </c>
      <c r="C20" s="133"/>
      <c r="D20" s="133"/>
      <c r="E20" s="133"/>
      <c r="F20" s="40"/>
    </row>
    <row r="21" spans="1:6" ht="18">
      <c r="A21" s="129" t="s">
        <v>26</v>
      </c>
      <c r="C21" s="133"/>
      <c r="D21" s="133"/>
      <c r="E21" s="133"/>
      <c r="F21" s="40"/>
    </row>
    <row r="22" spans="1:6" ht="18">
      <c r="A22" s="129" t="s">
        <v>61</v>
      </c>
      <c r="C22" s="133"/>
      <c r="D22" s="133"/>
      <c r="E22" s="133"/>
      <c r="F22" s="40"/>
    </row>
    <row r="23" spans="1:6" ht="18">
      <c r="A23" s="129" t="s">
        <v>70</v>
      </c>
      <c r="C23" s="133"/>
      <c r="D23" s="133"/>
      <c r="E23" s="133"/>
      <c r="F23" s="40"/>
    </row>
    <row r="24" spans="1:6" ht="18">
      <c r="A24" s="129" t="s">
        <v>49</v>
      </c>
      <c r="C24" s="133"/>
      <c r="D24" s="133"/>
      <c r="E24" s="133"/>
      <c r="F24" s="40"/>
    </row>
    <row r="25" spans="1:6" ht="18">
      <c r="A25" s="129" t="s">
        <v>94</v>
      </c>
      <c r="C25" s="133"/>
      <c r="D25" s="133"/>
      <c r="E25" s="133"/>
      <c r="F25" s="40"/>
    </row>
    <row r="26" spans="1:6" ht="18">
      <c r="A26" s="129" t="s">
        <v>62</v>
      </c>
      <c r="C26" s="133"/>
      <c r="D26" s="133"/>
      <c r="E26" s="133"/>
      <c r="F26" s="40"/>
    </row>
    <row r="27" spans="1:6">
      <c r="C27" s="133"/>
      <c r="D27" s="133"/>
      <c r="E27" s="133"/>
      <c r="F27" s="40"/>
    </row>
    <row r="28" spans="1:6" ht="15.75">
      <c r="A28" s="15" t="s">
        <v>18</v>
      </c>
      <c r="B28" s="16"/>
      <c r="C28" s="134">
        <f t="shared" ref="C28:F28" si="0">COUNTIF(C6:C26,"sim")</f>
        <v>0</v>
      </c>
      <c r="D28" s="134">
        <f t="shared" si="0"/>
        <v>0</v>
      </c>
      <c r="E28" s="134">
        <f t="shared" si="0"/>
        <v>0</v>
      </c>
      <c r="F28" s="134">
        <f t="shared" si="0"/>
        <v>0</v>
      </c>
    </row>
    <row r="29" spans="1:6" ht="15.75">
      <c r="A29" s="17" t="s">
        <v>19</v>
      </c>
      <c r="B29" s="18"/>
      <c r="C29" s="135">
        <f t="shared" ref="C29:F29" si="1">COUNTIF(C6:C26,"não")</f>
        <v>0</v>
      </c>
      <c r="D29" s="135">
        <f t="shared" si="1"/>
        <v>0</v>
      </c>
      <c r="E29" s="135">
        <f t="shared" si="1"/>
        <v>0</v>
      </c>
      <c r="F29" s="135">
        <f t="shared" si="1"/>
        <v>0</v>
      </c>
    </row>
    <row r="30" spans="1:6" ht="15.75">
      <c r="A30" s="14" t="s">
        <v>11</v>
      </c>
      <c r="C30" s="133">
        <f t="shared" ref="C30:F30" si="2">COUNTIF(C6:C26,"ausente")</f>
        <v>0</v>
      </c>
      <c r="D30" s="133">
        <f t="shared" si="2"/>
        <v>0</v>
      </c>
      <c r="E30" s="133">
        <f t="shared" si="2"/>
        <v>0</v>
      </c>
      <c r="F30" s="133">
        <f t="shared" si="2"/>
        <v>0</v>
      </c>
    </row>
    <row r="31" spans="1:6" ht="15.75">
      <c r="A31" s="19" t="s">
        <v>20</v>
      </c>
      <c r="B31" s="20"/>
      <c r="C31" s="136">
        <f t="shared" ref="C31:F31" si="3">COUNTIF(C6:C26,"abstenção")</f>
        <v>0</v>
      </c>
      <c r="D31" s="136">
        <f t="shared" si="3"/>
        <v>0</v>
      </c>
      <c r="E31" s="136">
        <f t="shared" si="3"/>
        <v>0</v>
      </c>
      <c r="F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101</v>
      </c>
      <c r="B2" s="2"/>
    </row>
    <row r="3" spans="1:23">
      <c r="A3" s="76" t="s">
        <v>102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74</v>
      </c>
      <c r="E4" s="106" t="s">
        <v>75</v>
      </c>
      <c r="F4" s="106" t="s">
        <v>76</v>
      </c>
      <c r="G4" s="106" t="s">
        <v>77</v>
      </c>
      <c r="H4" s="106" t="s">
        <v>78</v>
      </c>
      <c r="I4" s="106" t="s">
        <v>79</v>
      </c>
      <c r="J4" s="106" t="s">
        <v>80</v>
      </c>
      <c r="K4" s="106" t="s">
        <v>81</v>
      </c>
      <c r="L4" s="106" t="s">
        <v>82</v>
      </c>
      <c r="M4" s="106" t="s">
        <v>83</v>
      </c>
      <c r="N4" s="106" t="s">
        <v>84</v>
      </c>
      <c r="O4" s="106" t="s">
        <v>85</v>
      </c>
      <c r="P4" s="106" t="s">
        <v>86</v>
      </c>
      <c r="Q4" s="106" t="s">
        <v>87</v>
      </c>
      <c r="R4" s="106" t="s">
        <v>88</v>
      </c>
      <c r="S4" s="106" t="s">
        <v>89</v>
      </c>
      <c r="T4" s="106" t="s">
        <v>90</v>
      </c>
      <c r="U4" s="106" t="s">
        <v>91</v>
      </c>
      <c r="V4" s="106" t="s">
        <v>92</v>
      </c>
      <c r="W4" s="106" t="s">
        <v>93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69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70</v>
      </c>
    </row>
    <row r="24" spans="1:23" ht="15.75">
      <c r="A24" s="127" t="s">
        <v>49</v>
      </c>
    </row>
    <row r="25" spans="1:23" ht="15.75">
      <c r="A25" s="127" t="s">
        <v>94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2025-10-29T21:44:28Z</dcterms:modified>
</cp:coreProperties>
</file>