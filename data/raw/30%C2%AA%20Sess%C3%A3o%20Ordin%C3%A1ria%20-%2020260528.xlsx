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42088AE-C614-40CC-B254-FD4334E798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C27" i="3"/>
  <c r="C28" i="3"/>
  <c r="C29" i="3"/>
  <c r="C30" i="3"/>
  <c r="K27" i="2"/>
  <c r="K28" i="2"/>
  <c r="K29" i="2"/>
  <c r="K30" i="2"/>
  <c r="C27" i="2"/>
  <c r="C28" i="2"/>
  <c r="C29" i="2"/>
  <c r="C30" i="2"/>
  <c r="C28" i="10"/>
  <c r="C29" i="10"/>
  <c r="C30" i="10"/>
  <c r="C31" i="10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<sst xmlns="http://schemas.openxmlformats.org/spreadsheetml/2006/main" count="548" uniqueCount="133">
  <si>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</si>
  <si>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</si>
  <si>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</si>
  <si>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</si>
  <si>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</si>
  <si>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</si>
  <si>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</si>
  <si>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</si>
  <si>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</si>
  <si>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</si>
  <si>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</si>
  <si>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</si>
  <si>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</si>
  <si>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</si>
  <si>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</si>
  <si>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</si>
  <si>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</si>
  <si>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</si>
  <si>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</si>
  <si>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</si>
  <si>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</si>
  <si>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</si>
  <si>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</si>
  <si>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</si>
  <si>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</si>
  <si>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</si>
  <si>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</si>
  <si>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</si>
  <si>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</si>
  <si>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</si>
  <si>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</si>
  <si>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</si>
  <si>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</si>
  <si>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</si>
  <si>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</si>
  <si>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</si>
  <si>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</si>
  <si>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</si>
  <si>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</si>
  <si>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</si>
  <si>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</si>
  <si>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</si>
  <si>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</si>
  <si>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</si>
  <si>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</si>
  <si>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</si>
  <si>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</si>
  <si>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</si>
  <si>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</si>
  <si>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</si>
  <si>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</si>
  <si>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</si>
  <si>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</si>
  <si>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</si>
  <si>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</si>
  <si>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</si>
  <si>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</si>
  <si>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</si>
  <si>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</si>
  <si>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</si>
  <si>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</si>
  <si>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</si>
  <si>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</si>
  <si>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</si>
  <si>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</si>
  <si>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</si>
  <si>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</si>
  <si>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</si>
  <si>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</si>
  <si>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</si>
  <si>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</si>
  <si>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</si>
  <si>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</si>
  <si>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</si>
  <si>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</si>
  <si>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</si>
  <si>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</si>
  <si>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</si>
  <si>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</si>
  <si>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</si>
  <si>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</si>
  <si>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</si>
  <si>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</si>
  <si>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</si>
  <si>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</si>
  <si>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</si>
  <si>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</si>
  <si>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</si>
  <si>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</si>
  <si>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</si>
  <si>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</si>
  <si>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</si>
  <si>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</si>
  <si>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</si>
  <si>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</si>
  <si>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na presidência</t>
  </si>
  <si>
    <t>Justificativa de ausência da Vereadora Lúcia da Saúde.</t>
  </si>
  <si>
    <r>
      <t xml:space="preserve">PROJETO DE LEI Nº 71/2026 – LÚCIA DA SAÚDE – </t>
    </r>
    <r>
      <rPr>
        <sz val="14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</si>
  <si>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t>pela ausência da autora, será pautado na próxima sessão.</t>
  </si>
  <si>
    <t>Justificativa de ausência do Vereador Gabriel Saúde.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</si>
  <si>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</si>
  <si>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</si>
  <si>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</si>
  <si>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</si>
  <si>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Justificativa de ausência do Vereador Carmônio Bastos.</t>
  </si>
  <si>
    <r>
      <t>MOÇÃO DE APLAUSO Nº 139/2026 – ALEXANDRE CAPRIOTTI –</t>
    </r>
    <r>
      <rPr>
        <sz val="11"/>
        <color theme="1"/>
        <rFont val="Arial"/>
        <family val="2"/>
      </rPr>
      <t xml:space="preserve"> À EMEIEF Professor João Campestrini por sua relevante contribuição para a educação pública do município de Osasco, destacando-se pelo compromisso com a inovação, inclusão, qualidade do ensino e fortalecimento da comunidade escolar.</t>
    </r>
  </si>
  <si>
    <t>30ª SESSÃO ORDINÁRIA</t>
  </si>
  <si>
    <t>DIA 28 DE MAIO DE 2026 - QUINTA-FEIRA</t>
  </si>
  <si>
    <t>OFÍCIO PROLEGIS Nº 202603140432 – PREFEITO DO MUNICÍPIO DE OSASCO – Informa a sanção da Lei nº 5.479, de 26 de maio de 2026, referente ao Projeto de Lei nº 222/2025, de autoria do vereador Guilherme Prado que institui o dia da pessoa desaparecida no âmbito do Município de Osasco.</t>
  </si>
  <si>
    <t>OFÍCIO PROLEGIS Nº 202603140451 – PREFEITO DO MUNICÍPIO DE OSASCO – Informa a sanção da Lei nº 5.480, de 26 de maio de 2026, referente ao Projeto de Lei nº 30/2026, de autoria da vereadora Elsa Oliveira que institui o Dia Municipal da Equidade de Gênero.</t>
  </si>
  <si>
    <t>OFÍCIO PROLEGIS Nº 202603140479 – PREFEITO DO MUNICÍPIO DE OSASCO – Informa a sanção da Lei nº 5.481, de 26 de maio de 2026, referente ao Projeto de Lei nº 38/2026, de autoria do Prefeito do Município de Osasco que dispõe sobre abertura de crédito adicional especial ao orçamento vigente e dá outras providências.</t>
  </si>
  <si>
    <t>OFÍCIO PROLEGIS Nº 202603140495 – PREFEITO DO MUNICÍPIO DE OSASCO – Informa a sanção da Lei nº 5.482, de 26 de maio de 2026, referente ao Projeto de nº 68/2026, de autoria do Prefeito do Município de Osasco que dispõe sobre abertura de crédito adicional especial ao orçamento vigente e dá outras providências.</t>
  </si>
  <si>
    <t>OFÍCIO PROLEGIS Nº 202603140522 – PREFEITO DO MUNICÍPIO DE OSASCO – Informa a sanção da Lei nº 5.483, de 26 de maio de 2026, referente ao Projeto de nº 103/2026, de autoria do Prefeito do Município de Osasco que dispõe sobre abertura de crédito adicional especial ao orçamento vigente e dá outras providências.</t>
  </si>
  <si>
    <t>PROJETO DE LEI Nº 122/2026 – STEPHANE ROSSI - Altera a Lei nº 5.422, de 29 de setembro de 2025, que Institui a Semana Municipal de Incentivo à Adoção de Crianças e Adolescentes.</t>
  </si>
  <si>
    <r>
      <t xml:space="preserve">MOÇÃO DE APLAUSO Nº 143/2026 – PEDRINHO CANTAGESSI – </t>
    </r>
    <r>
      <rPr>
        <sz val="11"/>
        <color theme="1"/>
        <rFont val="Arial"/>
        <family val="2"/>
      </rPr>
      <t xml:space="preserve">Ao sr. Pablo Mendonça de Souza, natural de Ilhéus, Bahia, profissional que vem se destacando por sua trajetória de superação, excelência técnica, espírito empreendedor e amor e relevantes serviços prestados à saúde e à população de Osasco. </t>
    </r>
  </si>
  <si>
    <r>
      <t>MOÇÃO DE RECONHECIMENTO Nº 144/2026 – PEDRINHO CANTAGESSI –</t>
    </r>
    <r>
      <rPr>
        <sz val="11"/>
        <color theme="1"/>
        <rFont val="Arial"/>
        <family val="2"/>
      </rPr>
      <t xml:space="preserve"> À Premium Clínica Odontológica, referência em excelência odontológica no município de Osasco, destacando-se pelo atendimento humanizado, investimento constante em tecnologia e compromisso com a qualidade dos serviços prestados à população.</t>
    </r>
  </si>
  <si>
    <r>
      <t>MOÇÃO DE RECONHECIMENTO Nº 140/2026 – GUILHERME PRADO –</t>
    </r>
    <r>
      <rPr>
        <sz val="11"/>
        <color theme="1"/>
        <rFont val="Arial"/>
        <family val="2"/>
      </rPr>
      <t xml:space="preserve"> À Sra. Claudia Aparecida dos Santos Souza, pelos relevantes serviços prestados à população osasquense junto ao Hospital Municipal Antônio Giglio e ao Pronto-Socorro Santo Antônio, com destaque para o acolhimento, dedicação e atendimento humanizado prestado diariamente aos munícipes.</t>
    </r>
  </si>
  <si>
    <r>
      <t xml:space="preserve">MOÇÃO DE RECONHECIMENTO Nº 141/2026 – GUILHERME PRADO – </t>
    </r>
    <r>
      <rPr>
        <sz val="11"/>
        <color theme="1"/>
        <rFont val="Arial"/>
        <family val="2"/>
      </rPr>
      <t>À Sra. Bianca Azevedo Pinto, pelos relevantes serviços prestados à população osasquense junto ao Hospital Municipal Antônio Giglio, com destaque para o acolhimento, dedicação e atendimento humanizado prestado diariamente aos munícipes.</t>
    </r>
  </si>
  <si>
    <r>
      <t xml:space="preserve">MOÇÃO DE RECONHECIMENTO Nº 146/2026 – GUILHERME PRADO – </t>
    </r>
    <r>
      <rPr>
        <sz val="11"/>
        <color theme="1"/>
        <rFont val="Arial"/>
        <family val="2"/>
      </rPr>
      <t>À Sra. Maria José da Silva, pelos relevantes serviços prestados à população osasquense junto ao Hospital Municipal Antônio Giglio, com destaque para sua dedicação, humanidade e comprometimento no exercício da enfermagem.</t>
    </r>
  </si>
  <si>
    <r>
      <t xml:space="preserve">MOÇÃO DE RECONHECIMENTO Nº 147/2026 – GUILHERME PRADO – </t>
    </r>
    <r>
      <rPr>
        <sz val="11"/>
        <color theme="1"/>
        <rFont val="Arial"/>
        <family val="2"/>
      </rPr>
      <t>Ao Dr. Everton da Costa Amaral, pelos relevantes serviços prestados à população osasquense junto ao Hospital Municipal Antônio Giglio, com destaque para sua dedicação, comprometimento e atuação humanizada no atendimento aos pacientes.</t>
    </r>
  </si>
  <si>
    <r>
      <t xml:space="preserve">MOÇÃO DE APLAUSO Nº 148/2026 – LAÉRCIO MENDONÇA – </t>
    </r>
    <r>
      <rPr>
        <sz val="11"/>
        <color theme="1"/>
        <rFont val="Arial"/>
        <family val="2"/>
      </rPr>
      <t>Ao Instituto Kuàilè, pelo 2º Festival de Dança do Leão, ocorrido em 24 de maio, no Centro de Eventos Pedro Bortolosso.</t>
    </r>
  </si>
  <si>
    <r>
      <t xml:space="preserve">MOÇÃO DE RECONHECIMENTO Nº 10/2026 – RALFI SILVA – </t>
    </r>
    <r>
      <rPr>
        <sz val="11"/>
        <color theme="1"/>
        <rFont val="Arial"/>
        <family val="2"/>
      </rPr>
      <t>Ao General Peternelli pelos relevantes serviços prestados à sociedade e pelo exemplo
de liderança, disciplina e compromisso com os valores cívicos.</t>
    </r>
  </si>
  <si>
    <r>
      <t xml:space="preserve">MOÇÃO DE APLAUSOS Nº 149/2026 – BATISTA COMUNIDADE – </t>
    </r>
    <r>
      <rPr>
        <sz val="11"/>
        <color theme="1"/>
        <rFont val="Arial"/>
        <family val="2"/>
      </rPr>
      <t xml:space="preserve">A ser encaminhada desta Câmara Municipal ao artista, músico, compositor e agente cultural
Wesley Fernandes de Oliveira, o Moita Treta Mc, pelos mais de dez anos de dedicação ao Hip
Hop e à cultura das periferias, pela preservação e difusão das batalhas de rima como expressão
artística e ferramenta de transformação social, e pela contribuição inestimável à cultura popular
de nossa comunidade. </t>
    </r>
  </si>
  <si>
    <r>
      <t>VETO TOTAL AO PROJETO DE LEI Nº 117/2025 – LÚCIA DA SAÚDE -</t>
    </r>
    <r>
      <rPr>
        <sz val="12"/>
        <color theme="1"/>
        <rFont val="Arial"/>
        <family val="2"/>
      </rPr>
      <t xml:space="preserve"> Dispõe sobre a obrigatoriedade de profissional habilitado com curso de primeiros socorros suporte básico à vida nas academias de ginástica do Município de Osasco.</t>
    </r>
  </si>
  <si>
    <t>VETO ACEITO</t>
  </si>
  <si>
    <t>não</t>
  </si>
  <si>
    <r>
      <t xml:space="preserve">PROJETO DE LEI Nº 111/2026 –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</si>
  <si>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113/2026 – PREFEITO DO MUNICÍPIO DE OSASCO – </t>
    </r>
    <r>
      <rPr>
        <sz val="14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</si>
  <si>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114/2026 –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</si>
  <si>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220/2025 – PAULO JÚNIOR - </t>
    </r>
    <r>
      <rPr>
        <sz val="14"/>
        <color theme="1"/>
        <rFont val="Arial"/>
        <family val="2"/>
      </rPr>
      <t>Dispõe sobre a obrigatoriedade de exposição, em hospitais públicos e privados do Município de Osasco, da legislação que garante o direito à visita religiosa, regulamenta os horários dessas visitas e dá outras providências.</t>
    </r>
  </si>
  <si>
    <r>
      <t xml:space="preserve">PROJETO DE LEI Nº 71/2021 – PAULO JÚNIOR - </t>
    </r>
    <r>
      <rPr>
        <sz val="14"/>
        <color theme="1"/>
        <rFont val="Arial"/>
        <family val="2"/>
      </rPr>
      <t>Dispõe sobre a proibição de exposição de crianças e adolescentes em atividades escolares, danças, manifestações culturais e exposições de arte que contribuam para a sexualização precoce; dispõe também sobre a inclusão de medidas de conscientização, prevenção e combate a erotização infantil no âmbito supracitado.</t>
    </r>
  </si>
  <si>
    <r>
      <t xml:space="preserve">PROJETO DE LEI Nº 202/2025 – ALEXANDRE CAPRIOTTI - </t>
    </r>
    <r>
      <rPr>
        <sz val="14"/>
        <color theme="1"/>
        <rFont val="Arial"/>
        <family val="2"/>
      </rPr>
      <t>Institui, no âmbito do Município de Osasco, a “Campanha de Combate à Esporotricose”, e dá outras providencias.</t>
    </r>
  </si>
  <si>
    <t>APROVADO
VOTAÇÃO SIMBÓLICA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</si>
</sst>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9" sqref="A59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28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107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61</v>
      </c>
      <c r="D4" s="92"/>
      <c r="E4" s="92" t="s">
        <v>89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90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6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63</v>
      </c>
      <c r="B6" s="88">
        <v>2</v>
      </c>
      <c r="C6" s="102" t="s">
        <v>50</v>
      </c>
      <c r="D6" s="63"/>
      <c r="E6" s="62"/>
      <c r="F6" s="88">
        <v>1</v>
      </c>
      <c r="G6" s="62" t="s">
        <v>49</v>
      </c>
      <c r="H6" s="63"/>
      <c r="I6" s="62"/>
      <c r="J6" s="63">
        <v>2</v>
      </c>
      <c r="K6" s="102" t="s">
        <v>50</v>
      </c>
      <c r="L6" s="67"/>
      <c r="M6" s="65"/>
      <c r="N6" s="63"/>
      <c r="O6" s="10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52</v>
      </c>
      <c r="B8" s="88">
        <v>2</v>
      </c>
      <c r="C8" s="102" t="s">
        <v>50</v>
      </c>
      <c r="D8" s="63"/>
      <c r="E8" s="62"/>
      <c r="F8" s="88">
        <v>2</v>
      </c>
      <c r="G8" s="102" t="s">
        <v>50</v>
      </c>
      <c r="H8" s="63"/>
      <c r="I8" s="62"/>
      <c r="J8" s="63">
        <v>2</v>
      </c>
      <c r="K8" s="102" t="s">
        <v>50</v>
      </c>
      <c r="L8" s="67"/>
      <c r="M8" s="65"/>
      <c r="N8" s="63"/>
      <c r="O8" s="10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27</v>
      </c>
      <c r="B9" s="88">
        <v>2</v>
      </c>
      <c r="C9" s="102" t="s">
        <v>50</v>
      </c>
      <c r="D9" s="63"/>
      <c r="E9" s="62"/>
      <c r="F9" s="88">
        <v>2</v>
      </c>
      <c r="G9" s="102" t="s">
        <v>50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53</v>
      </c>
      <c r="B10" s="88">
        <v>1</v>
      </c>
      <c r="C10" s="62" t="s">
        <v>49</v>
      </c>
      <c r="D10" s="63"/>
      <c r="E10" s="102"/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62"/>
      <c r="F12" s="88">
        <v>2</v>
      </c>
      <c r="G12" s="102" t="s">
        <v>50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2</v>
      </c>
      <c r="G13" s="102" t="s">
        <v>50</v>
      </c>
      <c r="H13" s="63"/>
      <c r="I13" s="62"/>
      <c r="J13" s="63">
        <v>2</v>
      </c>
      <c r="K13" s="102" t="s">
        <v>50</v>
      </c>
      <c r="L13" s="67"/>
      <c r="M13" s="65"/>
      <c r="N13" s="63"/>
      <c r="O13" s="10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102"/>
      <c r="F14" s="88">
        <v>1</v>
      </c>
      <c r="G14" s="62" t="s">
        <v>49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6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.75" customHeight="1">
      <c r="A16" s="46" t="s">
        <v>93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24</v>
      </c>
      <c r="B17" s="88">
        <v>2</v>
      </c>
      <c r="C17" s="102" t="s">
        <v>50</v>
      </c>
      <c r="D17" s="63"/>
      <c r="E17" s="102"/>
      <c r="F17" s="88">
        <v>2</v>
      </c>
      <c r="G17" s="102" t="s">
        <v>50</v>
      </c>
      <c r="H17" s="63"/>
      <c r="I17" s="68"/>
      <c r="J17" s="63">
        <v>2</v>
      </c>
      <c r="K17" s="102" t="s">
        <v>50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62"/>
      <c r="F18" s="88">
        <v>1</v>
      </c>
      <c r="G18" s="62" t="s">
        <v>49</v>
      </c>
      <c r="H18" s="63"/>
      <c r="I18" s="62"/>
      <c r="J18" s="63">
        <v>2</v>
      </c>
      <c r="K18" s="102" t="s">
        <v>50</v>
      </c>
      <c r="L18" s="67"/>
      <c r="M18" s="65"/>
      <c r="N18" s="63"/>
      <c r="O18" s="10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50</v>
      </c>
      <c r="D19" s="63"/>
      <c r="E19" s="6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86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2</v>
      </c>
      <c r="K20" s="102" t="s">
        <v>50</v>
      </c>
      <c r="L20" s="67"/>
      <c r="M20" s="65"/>
      <c r="N20" s="63"/>
      <c r="O20" s="10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62"/>
      <c r="F21" s="88">
        <v>2</v>
      </c>
      <c r="G21" s="102" t="s">
        <v>50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51"/>
      <c r="U21" s="151"/>
      <c r="V21" s="151"/>
      <c r="W21" s="151"/>
      <c r="X21" s="151"/>
      <c r="Y21" s="151"/>
    </row>
    <row r="22" spans="1:28" ht="18.75" customHeight="1">
      <c r="A22" s="46" t="s">
        <v>58</v>
      </c>
      <c r="B22" s="88">
        <v>1</v>
      </c>
      <c r="C22" s="62" t="s">
        <v>49</v>
      </c>
      <c r="D22" s="63"/>
      <c r="E22" s="62"/>
      <c r="F22" s="88">
        <v>1</v>
      </c>
      <c r="G22" s="62" t="s">
        <v>49</v>
      </c>
      <c r="H22" s="63"/>
      <c r="I22" s="62"/>
      <c r="J22" s="63">
        <v>1</v>
      </c>
      <c r="K22" s="62" t="s">
        <v>49</v>
      </c>
      <c r="L22" s="64"/>
      <c r="M22" s="64"/>
      <c r="N22" s="63"/>
      <c r="O22" s="102"/>
      <c r="P22" s="63"/>
      <c r="Q22" s="63"/>
      <c r="R22" s="6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64</v>
      </c>
      <c r="B23" s="88">
        <v>2</v>
      </c>
      <c r="C23" s="102" t="s">
        <v>50</v>
      </c>
      <c r="D23" s="63"/>
      <c r="E23" s="102"/>
      <c r="F23" s="88">
        <v>2</v>
      </c>
      <c r="G23" s="102" t="s">
        <v>50</v>
      </c>
      <c r="H23" s="63"/>
      <c r="I23" s="68"/>
      <c r="J23" s="63">
        <v>1</v>
      </c>
      <c r="K23" s="62" t="s">
        <v>49</v>
      </c>
      <c r="L23" s="67"/>
      <c r="M23" s="65"/>
      <c r="N23" s="63"/>
      <c r="O23" s="102"/>
      <c r="P23" s="63"/>
      <c r="Q23" s="63"/>
      <c r="R23" s="10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85</v>
      </c>
      <c r="B24" s="88">
        <v>2</v>
      </c>
      <c r="C24" s="102" t="s">
        <v>50</v>
      </c>
      <c r="D24" s="63"/>
      <c r="E24" s="102"/>
      <c r="F24" s="88">
        <v>2</v>
      </c>
      <c r="G24" s="102" t="s">
        <v>50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8</v>
      </c>
      <c r="C26" s="96" t="s">
        <v>44</v>
      </c>
      <c r="D26" s="98"/>
      <c r="E26" s="96" t="s">
        <v>44</v>
      </c>
      <c r="F26" s="98">
        <v>12</v>
      </c>
      <c r="G26" s="96" t="s">
        <v>44</v>
      </c>
      <c r="H26" s="100"/>
      <c r="I26" s="101"/>
      <c r="J26" s="98">
        <v>13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45</v>
      </c>
      <c r="D27" s="98"/>
      <c r="E27" s="96" t="s">
        <v>45</v>
      </c>
      <c r="F27" s="98">
        <v>9</v>
      </c>
      <c r="G27" s="96" t="s">
        <v>45</v>
      </c>
      <c r="H27" s="100"/>
      <c r="I27" s="96"/>
      <c r="J27" s="98">
        <v>8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94</v>
      </c>
      <c r="V33" s="12"/>
      <c r="W33" s="12"/>
    </row>
    <row r="34" spans="1:23" ht="18">
      <c r="A34" s="34" t="s">
        <v>63</v>
      </c>
      <c r="V34" s="12"/>
      <c r="W34" s="12"/>
    </row>
    <row r="35" spans="1:23" ht="18">
      <c r="A35" s="34" t="s">
        <v>57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64</v>
      </c>
      <c r="V44" s="12"/>
      <c r="W44" s="12"/>
    </row>
    <row r="45" spans="1:23" ht="18">
      <c r="A45" s="34" t="s">
        <v>27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24</v>
      </c>
      <c r="V47" s="12"/>
      <c r="W47" s="12"/>
    </row>
    <row r="48" spans="1:23" ht="18">
      <c r="A48" s="34" t="s">
        <v>25</v>
      </c>
      <c r="B48" s="7"/>
      <c r="V48" s="12"/>
      <c r="W48" s="32"/>
    </row>
    <row r="49" spans="1:23" ht="18">
      <c r="A49" s="34" t="s">
        <v>85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63</v>
      </c>
    </row>
    <row r="56" spans="1:23" ht="18">
      <c r="A56" s="34" t="s">
        <v>24</v>
      </c>
    </row>
    <row r="57" spans="1:23" ht="18">
      <c r="A57" s="34" t="s">
        <v>57</v>
      </c>
    </row>
    <row r="58" spans="1:23" ht="18">
      <c r="A58" s="34" t="s">
        <v>25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AA7" sqref="AA7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4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4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4" ht="63" customHeight="1">
      <c r="A4" s="51" t="str">
        <f>'[1]MOÇÃO E REQUERIMENTO'!B7</f>
        <v>EXPEDIENTE</v>
      </c>
      <c r="B4" s="50" t="s">
        <v>43</v>
      </c>
      <c r="C4" s="117" t="s">
        <v>96</v>
      </c>
      <c r="D4" s="117" t="s">
        <v>99</v>
      </c>
      <c r="E4" s="117" t="s">
        <v>104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2" t="s">
        <v>33</v>
      </c>
      <c r="M4" s="124"/>
      <c r="N4" s="50" t="s">
        <v>26</v>
      </c>
      <c r="O4" s="84" t="s">
        <v>105</v>
      </c>
      <c r="P4" s="84" t="s">
        <v>114</v>
      </c>
      <c r="Q4" s="84" t="s">
        <v>115</v>
      </c>
      <c r="R4" s="84" t="s">
        <v>116</v>
      </c>
      <c r="S4" s="84" t="s">
        <v>117</v>
      </c>
      <c r="T4" s="84" t="s">
        <v>118</v>
      </c>
      <c r="U4" s="84" t="s">
        <v>119</v>
      </c>
      <c r="V4" s="84" t="s">
        <v>120</v>
      </c>
      <c r="W4" s="84" t="s">
        <v>121</v>
      </c>
      <c r="X4" s="84" t="s">
        <v>122</v>
      </c>
    </row>
    <row r="5" spans="1:24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18" t="s">
        <v>88</v>
      </c>
      <c r="P5" s="113" t="s">
        <v>87</v>
      </c>
      <c r="Q5" s="113" t="s">
        <v>87</v>
      </c>
      <c r="R5" s="113" t="s">
        <v>87</v>
      </c>
      <c r="S5" s="113" t="s">
        <v>87</v>
      </c>
      <c r="T5" s="113" t="s">
        <v>87</v>
      </c>
      <c r="U5" s="113" t="s">
        <v>87</v>
      </c>
      <c r="V5" s="113" t="s">
        <v>87</v>
      </c>
      <c r="W5" s="113" t="s">
        <v>87</v>
      </c>
      <c r="X5" s="113" t="s">
        <v>87</v>
      </c>
    </row>
    <row r="6" spans="1:24" ht="15.75">
      <c r="A6" s="127" t="s">
        <v>48</v>
      </c>
      <c r="N6" s="23"/>
    </row>
    <row r="7" spans="1:24" ht="15.75">
      <c r="A7" s="127" t="s">
        <v>63</v>
      </c>
      <c r="N7" s="23"/>
    </row>
    <row r="8" spans="1:24" ht="15.75">
      <c r="A8" s="127" t="s">
        <v>51</v>
      </c>
      <c r="N8" s="23"/>
    </row>
    <row r="9" spans="1:24" ht="15.75">
      <c r="A9" s="128" t="s">
        <v>52</v>
      </c>
      <c r="N9" s="23"/>
    </row>
    <row r="10" spans="1:24" ht="15.75">
      <c r="A10" s="127" t="s">
        <v>27</v>
      </c>
      <c r="N10" s="23"/>
    </row>
    <row r="11" spans="1:24" ht="15.75">
      <c r="A11" s="127" t="s">
        <v>53</v>
      </c>
      <c r="N11" s="23"/>
    </row>
    <row r="12" spans="1:24" ht="15.75">
      <c r="A12" s="127" t="s">
        <v>22</v>
      </c>
      <c r="N12" s="23"/>
    </row>
    <row r="13" spans="1:24" ht="15.75">
      <c r="A13" s="127" t="s">
        <v>23</v>
      </c>
      <c r="N13" s="23"/>
    </row>
    <row r="14" spans="1:24" ht="15.75">
      <c r="A14" s="127" t="s">
        <v>54</v>
      </c>
      <c r="N14" s="23"/>
    </row>
    <row r="15" spans="1:24" ht="15.75">
      <c r="A15" s="127" t="s">
        <v>55</v>
      </c>
      <c r="N15" s="23"/>
    </row>
    <row r="16" spans="1:24" ht="15.75">
      <c r="A16" s="127" t="s">
        <v>56</v>
      </c>
      <c r="N16" s="23"/>
    </row>
    <row r="17" spans="1:14" ht="15.75">
      <c r="A17" s="127" t="s">
        <v>93</v>
      </c>
      <c r="N17" s="23"/>
    </row>
    <row r="18" spans="1:14" ht="15.75">
      <c r="A18" s="127" t="s">
        <v>24</v>
      </c>
      <c r="N18" s="23"/>
    </row>
    <row r="19" spans="1:14" ht="15.75">
      <c r="A19" s="127" t="s">
        <v>57</v>
      </c>
      <c r="N19" s="23"/>
    </row>
    <row r="20" spans="1:14" ht="15.75">
      <c r="A20" s="127" t="s">
        <v>94</v>
      </c>
      <c r="N20" s="23"/>
    </row>
    <row r="21" spans="1:14" ht="15.75">
      <c r="A21" s="127" t="s">
        <v>86</v>
      </c>
      <c r="N21" s="23"/>
    </row>
    <row r="22" spans="1:14" ht="15.75">
      <c r="A22" s="127" t="s">
        <v>25</v>
      </c>
      <c r="N22" s="23"/>
    </row>
    <row r="23" spans="1:14" ht="15.75">
      <c r="A23" s="127" t="s">
        <v>58</v>
      </c>
      <c r="N23" s="23"/>
    </row>
    <row r="24" spans="1:14" ht="15.75">
      <c r="A24" s="127" t="s">
        <v>64</v>
      </c>
      <c r="N24" s="23"/>
    </row>
    <row r="25" spans="1:14" ht="15.75">
      <c r="A25" s="127" t="s">
        <v>85</v>
      </c>
      <c r="N25" s="23"/>
    </row>
    <row r="26" spans="1:14" ht="15.75">
      <c r="A26" s="127" t="s">
        <v>59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F37"/>
  <sheetViews>
    <sheetView tabSelected="1" zoomScale="80" zoomScaleNormal="80" workbookViewId="0">
      <pane xSplit="1" topLeftCell="B1" activePane="topRight" state="frozen"/>
      <selection activeCell="A4" sqref="A4"/>
      <selection pane="topRight" activeCell="J26" sqref="J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51" width="36.7109375" customWidth="1"/>
  </cols>
  <sheetData>
    <row r="1" spans="1:51" ht="18" customHeight="1">
      <c r="A1" s="76" t="s">
        <v>8</v>
      </c>
      <c r="B1" s="49"/>
      <c r="C1" s="74"/>
    </row>
    <row r="2" spans="1:51" ht="18" customHeight="1">
      <c r="A2" s="76" t="s">
        <v>106</v>
      </c>
      <c r="B2" s="49"/>
      <c r="C2" s="74"/>
    </row>
    <row r="3" spans="1:51" ht="17.25" customHeight="1">
      <c r="A3" s="76" t="s">
        <v>107</v>
      </c>
      <c r="B3" s="49"/>
      <c r="C3" s="74"/>
      <c r="E3" s="116"/>
      <c r="F3" s="116"/>
      <c r="G3" s="116"/>
      <c r="H3" s="116"/>
      <c r="I3" s="116"/>
      <c r="J3" s="116"/>
      <c r="K3" s="116"/>
    </row>
    <row r="4" spans="1:51" ht="90.75" customHeight="1" thickBot="1">
      <c r="A4" s="52" t="s">
        <v>5</v>
      </c>
      <c r="B4" s="108" t="s">
        <v>30</v>
      </c>
      <c r="C4" s="141" t="s">
        <v>123</v>
      </c>
      <c r="D4" s="109" t="s">
        <v>6</v>
      </c>
      <c r="E4" s="140" t="s">
        <v>126</v>
      </c>
      <c r="F4" s="140" t="s">
        <v>127</v>
      </c>
      <c r="G4" s="140" t="s">
        <v>128</v>
      </c>
      <c r="H4" s="140" t="s">
        <v>97</v>
      </c>
      <c r="I4" s="140" t="s">
        <v>129</v>
      </c>
      <c r="J4" s="140" t="s">
        <v>130</v>
      </c>
      <c r="K4" s="140" t="s">
        <v>131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3"/>
      <c r="AY4" s="3"/>
    </row>
    <row r="5" spans="1:51" s="81" customFormat="1" ht="48" customHeight="1">
      <c r="A5" s="99" t="s">
        <v>36</v>
      </c>
      <c r="B5" s="78"/>
      <c r="C5" s="113" t="s">
        <v>124</v>
      </c>
      <c r="D5" s="79"/>
      <c r="E5" s="146" t="s">
        <v>91</v>
      </c>
      <c r="F5" s="146" t="s">
        <v>91</v>
      </c>
      <c r="G5" s="146" t="s">
        <v>91</v>
      </c>
      <c r="H5" s="118" t="s">
        <v>98</v>
      </c>
      <c r="I5" s="146" t="s">
        <v>91</v>
      </c>
      <c r="J5" s="146" t="s">
        <v>91</v>
      </c>
      <c r="K5" s="145" t="s">
        <v>132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</row>
    <row r="6" spans="1:51" ht="20.25">
      <c r="A6" s="46" t="s">
        <v>48</v>
      </c>
      <c r="C6" s="107" t="s">
        <v>92</v>
      </c>
      <c r="E6" s="107" t="s">
        <v>92</v>
      </c>
      <c r="F6" s="107" t="s">
        <v>92</v>
      </c>
      <c r="G6" s="107" t="s">
        <v>92</v>
      </c>
      <c r="H6" s="107"/>
      <c r="I6" s="107" t="s">
        <v>92</v>
      </c>
      <c r="J6" s="107" t="s">
        <v>92</v>
      </c>
      <c r="K6" s="107"/>
      <c r="L6" s="143"/>
    </row>
    <row r="7" spans="1:51" ht="20.25">
      <c r="A7" s="46" t="s">
        <v>63</v>
      </c>
      <c r="C7" s="107" t="s">
        <v>92</v>
      </c>
      <c r="E7" s="107" t="s">
        <v>92</v>
      </c>
      <c r="F7" s="107" t="s">
        <v>92</v>
      </c>
      <c r="G7" s="107" t="s">
        <v>92</v>
      </c>
      <c r="H7" s="107"/>
      <c r="I7" s="107" t="s">
        <v>92</v>
      </c>
      <c r="J7" s="107" t="s">
        <v>92</v>
      </c>
      <c r="K7" s="107"/>
    </row>
    <row r="8" spans="1:51" ht="20.25">
      <c r="A8" s="46" t="s">
        <v>51</v>
      </c>
      <c r="C8" s="107" t="s">
        <v>92</v>
      </c>
      <c r="E8" s="107" t="s">
        <v>92</v>
      </c>
      <c r="F8" s="107" t="s">
        <v>92</v>
      </c>
      <c r="G8" s="107" t="s">
        <v>92</v>
      </c>
      <c r="H8" s="107"/>
      <c r="I8" s="107" t="s">
        <v>92</v>
      </c>
      <c r="J8" s="107" t="s">
        <v>92</v>
      </c>
      <c r="K8" s="107"/>
    </row>
    <row r="9" spans="1:51" ht="20.25">
      <c r="A9" s="82" t="s">
        <v>52</v>
      </c>
      <c r="C9" s="114" t="s">
        <v>50</v>
      </c>
      <c r="E9" s="114" t="s">
        <v>50</v>
      </c>
      <c r="F9" s="114" t="s">
        <v>50</v>
      </c>
      <c r="G9" s="114" t="s">
        <v>50</v>
      </c>
      <c r="H9" s="114"/>
      <c r="I9" s="114" t="s">
        <v>50</v>
      </c>
      <c r="J9" s="114" t="s">
        <v>50</v>
      </c>
      <c r="K9" s="114"/>
    </row>
    <row r="10" spans="1:51" ht="20.25">
      <c r="A10" s="46" t="s">
        <v>27</v>
      </c>
      <c r="C10" s="107" t="s">
        <v>92</v>
      </c>
      <c r="E10" s="107" t="s">
        <v>92</v>
      </c>
      <c r="F10" s="107" t="s">
        <v>92</v>
      </c>
      <c r="G10" s="107" t="s">
        <v>92</v>
      </c>
      <c r="H10" s="107"/>
      <c r="I10" s="107" t="s">
        <v>92</v>
      </c>
      <c r="J10" s="107" t="s">
        <v>92</v>
      </c>
      <c r="K10" s="107"/>
    </row>
    <row r="11" spans="1:51" ht="20.25">
      <c r="A11" s="46" t="s">
        <v>53</v>
      </c>
      <c r="C11" s="114" t="s">
        <v>95</v>
      </c>
      <c r="E11" s="114" t="s">
        <v>95</v>
      </c>
      <c r="F11" s="114" t="s">
        <v>95</v>
      </c>
      <c r="G11" s="114" t="s">
        <v>95</v>
      </c>
      <c r="H11" s="107"/>
      <c r="I11" s="114" t="s">
        <v>95</v>
      </c>
      <c r="J11" s="114" t="s">
        <v>95</v>
      </c>
      <c r="K11" s="107"/>
    </row>
    <row r="12" spans="1:51" ht="20.25">
      <c r="A12" s="46" t="s">
        <v>22</v>
      </c>
      <c r="C12" s="107" t="s">
        <v>92</v>
      </c>
      <c r="E12" s="107" t="s">
        <v>92</v>
      </c>
      <c r="F12" s="107" t="s">
        <v>92</v>
      </c>
      <c r="G12" s="107" t="s">
        <v>92</v>
      </c>
      <c r="H12" s="107"/>
      <c r="I12" s="107" t="s">
        <v>92</v>
      </c>
      <c r="J12" s="107" t="s">
        <v>92</v>
      </c>
      <c r="K12" s="107"/>
    </row>
    <row r="13" spans="1:51" ht="20.25">
      <c r="A13" s="46" t="s">
        <v>23</v>
      </c>
      <c r="C13" s="114" t="s">
        <v>50</v>
      </c>
      <c r="E13" s="114" t="s">
        <v>50</v>
      </c>
      <c r="F13" s="114" t="s">
        <v>50</v>
      </c>
      <c r="G13" s="114" t="s">
        <v>50</v>
      </c>
      <c r="H13" s="114"/>
      <c r="I13" s="114" t="s">
        <v>50</v>
      </c>
      <c r="J13" s="114" t="s">
        <v>50</v>
      </c>
      <c r="K13" s="114"/>
    </row>
    <row r="14" spans="1:51" ht="20.25">
      <c r="A14" s="46" t="s">
        <v>54</v>
      </c>
      <c r="C14" s="114" t="s">
        <v>50</v>
      </c>
      <c r="E14" s="114" t="s">
        <v>50</v>
      </c>
      <c r="F14" s="114" t="s">
        <v>50</v>
      </c>
      <c r="G14" s="114" t="s">
        <v>50</v>
      </c>
      <c r="H14" s="107"/>
      <c r="I14" s="114" t="s">
        <v>50</v>
      </c>
      <c r="J14" s="114" t="s">
        <v>50</v>
      </c>
      <c r="K14" s="107"/>
    </row>
    <row r="15" spans="1:51" ht="20.25">
      <c r="A15" s="46" t="s">
        <v>55</v>
      </c>
      <c r="C15" s="107" t="s">
        <v>92</v>
      </c>
      <c r="E15" s="107" t="s">
        <v>92</v>
      </c>
      <c r="F15" s="107" t="s">
        <v>92</v>
      </c>
      <c r="G15" s="107" t="s">
        <v>92</v>
      </c>
      <c r="H15" s="107"/>
      <c r="I15" s="107" t="s">
        <v>92</v>
      </c>
      <c r="J15" s="107" t="s">
        <v>92</v>
      </c>
      <c r="K15" s="107"/>
    </row>
    <row r="16" spans="1:51" ht="20.25">
      <c r="A16" s="46" t="s">
        <v>56</v>
      </c>
      <c r="C16" s="144" t="s">
        <v>125</v>
      </c>
      <c r="E16" s="107" t="s">
        <v>92</v>
      </c>
      <c r="F16" s="107" t="s">
        <v>92</v>
      </c>
      <c r="G16" s="107" t="s">
        <v>92</v>
      </c>
      <c r="H16" s="107"/>
      <c r="I16" s="107" t="s">
        <v>92</v>
      </c>
      <c r="J16" s="107" t="s">
        <v>92</v>
      </c>
      <c r="K16" s="107"/>
    </row>
    <row r="17" spans="1:136" ht="20.25">
      <c r="A17" s="46" t="s">
        <v>93</v>
      </c>
      <c r="C17" s="107" t="s">
        <v>92</v>
      </c>
      <c r="E17" s="107" t="s">
        <v>92</v>
      </c>
      <c r="F17" s="107" t="s">
        <v>92</v>
      </c>
      <c r="G17" s="107" t="s">
        <v>92</v>
      </c>
      <c r="H17" s="107"/>
      <c r="I17" s="107" t="s">
        <v>92</v>
      </c>
      <c r="J17" s="107" t="s">
        <v>92</v>
      </c>
      <c r="K17" s="107"/>
    </row>
    <row r="18" spans="1:136" ht="20.25">
      <c r="A18" s="46" t="s">
        <v>24</v>
      </c>
      <c r="C18" s="107" t="s">
        <v>92</v>
      </c>
      <c r="E18" s="107" t="s">
        <v>92</v>
      </c>
      <c r="F18" s="107" t="s">
        <v>92</v>
      </c>
      <c r="G18" s="107" t="s">
        <v>92</v>
      </c>
      <c r="H18" s="114"/>
      <c r="I18" s="107" t="s">
        <v>92</v>
      </c>
      <c r="J18" s="107" t="s">
        <v>92</v>
      </c>
      <c r="K18" s="114"/>
    </row>
    <row r="19" spans="1:136" ht="20.25">
      <c r="A19" s="46" t="s">
        <v>57</v>
      </c>
      <c r="C19" s="114" t="s">
        <v>50</v>
      </c>
      <c r="E19" s="107" t="s">
        <v>92</v>
      </c>
      <c r="F19" s="107" t="s">
        <v>92</v>
      </c>
      <c r="G19" s="107" t="s">
        <v>92</v>
      </c>
      <c r="H19" s="114"/>
      <c r="I19" s="107" t="s">
        <v>92</v>
      </c>
      <c r="J19" s="107" t="s">
        <v>92</v>
      </c>
      <c r="K19" s="114"/>
    </row>
    <row r="20" spans="1:136" ht="20.25">
      <c r="A20" s="46" t="s">
        <v>94</v>
      </c>
      <c r="C20" s="107" t="s">
        <v>92</v>
      </c>
      <c r="E20" s="107" t="s">
        <v>92</v>
      </c>
      <c r="F20" s="107" t="s">
        <v>92</v>
      </c>
      <c r="G20" s="107" t="s">
        <v>92</v>
      </c>
      <c r="H20" s="107"/>
      <c r="I20" s="107" t="s">
        <v>92</v>
      </c>
      <c r="J20" s="107" t="s">
        <v>92</v>
      </c>
      <c r="K20" s="107"/>
    </row>
    <row r="21" spans="1:136" ht="20.25">
      <c r="A21" s="46" t="s">
        <v>86</v>
      </c>
      <c r="C21" s="114" t="s">
        <v>50</v>
      </c>
      <c r="E21" s="114" t="s">
        <v>50</v>
      </c>
      <c r="F21" s="114" t="s">
        <v>50</v>
      </c>
      <c r="G21" s="114" t="s">
        <v>50</v>
      </c>
      <c r="H21" s="107"/>
      <c r="I21" s="114" t="s">
        <v>50</v>
      </c>
      <c r="J21" s="114" t="s">
        <v>50</v>
      </c>
      <c r="K21" s="107"/>
    </row>
    <row r="22" spans="1:136" ht="20.25">
      <c r="A22" s="46" t="s">
        <v>25</v>
      </c>
      <c r="C22" s="107" t="s">
        <v>92</v>
      </c>
      <c r="E22" s="107" t="s">
        <v>92</v>
      </c>
      <c r="F22" s="107" t="s">
        <v>92</v>
      </c>
      <c r="G22" s="107" t="s">
        <v>92</v>
      </c>
      <c r="H22" s="107"/>
      <c r="I22" s="107" t="s">
        <v>92</v>
      </c>
      <c r="J22" s="107" t="s">
        <v>92</v>
      </c>
      <c r="K22" s="107"/>
    </row>
    <row r="23" spans="1:136" ht="20.25">
      <c r="A23" s="46" t="s">
        <v>58</v>
      </c>
      <c r="C23" s="107" t="s">
        <v>92</v>
      </c>
      <c r="E23" s="107" t="s">
        <v>92</v>
      </c>
      <c r="F23" s="107" t="s">
        <v>92</v>
      </c>
      <c r="G23" s="107" t="s">
        <v>92</v>
      </c>
      <c r="H23" s="114"/>
      <c r="I23" s="107" t="s">
        <v>92</v>
      </c>
      <c r="J23" s="107" t="s">
        <v>92</v>
      </c>
      <c r="K23" s="114"/>
    </row>
    <row r="24" spans="1:136" ht="20.25">
      <c r="A24" s="46" t="s">
        <v>64</v>
      </c>
      <c r="C24" s="107" t="s">
        <v>92</v>
      </c>
      <c r="E24" s="107" t="s">
        <v>92</v>
      </c>
      <c r="F24" s="107" t="s">
        <v>92</v>
      </c>
      <c r="G24" s="107" t="s">
        <v>92</v>
      </c>
      <c r="H24" s="107"/>
      <c r="I24" s="107" t="s">
        <v>92</v>
      </c>
      <c r="J24" s="107" t="s">
        <v>92</v>
      </c>
      <c r="K24" s="107"/>
    </row>
    <row r="25" spans="1:136" ht="20.25">
      <c r="A25" s="46" t="s">
        <v>85</v>
      </c>
      <c r="C25" s="107" t="s">
        <v>92</v>
      </c>
      <c r="E25" s="107" t="s">
        <v>92</v>
      </c>
      <c r="F25" s="107" t="s">
        <v>92</v>
      </c>
      <c r="G25" s="107" t="s">
        <v>92</v>
      </c>
      <c r="H25" s="107"/>
      <c r="I25" s="107" t="s">
        <v>92</v>
      </c>
      <c r="J25" s="107" t="s">
        <v>92</v>
      </c>
      <c r="K25" s="107"/>
    </row>
    <row r="26" spans="1:136" ht="20.25">
      <c r="A26" s="46" t="s">
        <v>59</v>
      </c>
      <c r="C26" s="144" t="s">
        <v>125</v>
      </c>
      <c r="E26" s="107" t="s">
        <v>92</v>
      </c>
      <c r="F26" s="107" t="s">
        <v>92</v>
      </c>
      <c r="G26" s="107" t="s">
        <v>92</v>
      </c>
      <c r="H26" s="107"/>
      <c r="I26" s="107" t="s">
        <v>92</v>
      </c>
      <c r="J26" s="107" t="s">
        <v>92</v>
      </c>
      <c r="K26" s="107"/>
    </row>
    <row r="27" spans="1:136" s="16" customFormat="1" ht="15.75">
      <c r="A27" s="15" t="s">
        <v>18</v>
      </c>
      <c r="B27"/>
      <c r="C27" s="103">
        <f>COUNTIF(C6:C26,"sim")</f>
        <v>13</v>
      </c>
      <c r="D27"/>
      <c r="E27" s="103">
        <f t="shared" ref="E27:J27" si="0">COUNTIF(E6:E26,"sim")</f>
        <v>16</v>
      </c>
      <c r="F27" s="103">
        <f t="shared" si="0"/>
        <v>16</v>
      </c>
      <c r="G27" s="103">
        <f t="shared" si="0"/>
        <v>16</v>
      </c>
      <c r="H27" s="103">
        <f t="shared" si="0"/>
        <v>0</v>
      </c>
      <c r="I27" s="103">
        <f t="shared" si="0"/>
        <v>16</v>
      </c>
      <c r="J27" s="103">
        <f t="shared" si="0"/>
        <v>16</v>
      </c>
      <c r="K27" s="103">
        <f t="shared" ref="K27" si="1">COUNTIF(K6:K26,"sim")</f>
        <v>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</row>
    <row r="28" spans="1:136" s="18" customFormat="1" ht="15.75">
      <c r="A28" s="17" t="s">
        <v>19</v>
      </c>
      <c r="B28"/>
      <c r="C28" s="104">
        <f>COUNTIF(C6:C26,"não")</f>
        <v>2</v>
      </c>
      <c r="D28"/>
      <c r="E28" s="104">
        <f t="shared" ref="E28:J28" si="2">COUNTIF(E6:E26,"não")</f>
        <v>0</v>
      </c>
      <c r="F28" s="104">
        <f t="shared" si="2"/>
        <v>0</v>
      </c>
      <c r="G28" s="104">
        <f t="shared" si="2"/>
        <v>0</v>
      </c>
      <c r="H28" s="104">
        <f t="shared" si="2"/>
        <v>0</v>
      </c>
      <c r="I28" s="104">
        <f t="shared" si="2"/>
        <v>0</v>
      </c>
      <c r="J28" s="104">
        <f t="shared" si="2"/>
        <v>0</v>
      </c>
      <c r="K28" s="104">
        <f t="shared" ref="K28" si="3">COUNTIF(K6:K26,"não")</f>
        <v>0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</row>
    <row r="29" spans="1:136" ht="15.75">
      <c r="A29" s="14" t="s">
        <v>11</v>
      </c>
      <c r="C29" s="40">
        <f>COUNTIF(C6:C26,"ausente")</f>
        <v>5</v>
      </c>
      <c r="E29" s="40">
        <f t="shared" ref="E29:J29" si="4">COUNTIF(E6:E26,"ausente")</f>
        <v>4</v>
      </c>
      <c r="F29" s="40">
        <f t="shared" si="4"/>
        <v>4</v>
      </c>
      <c r="G29" s="40">
        <f t="shared" si="4"/>
        <v>4</v>
      </c>
      <c r="H29" s="40">
        <f t="shared" si="4"/>
        <v>0</v>
      </c>
      <c r="I29" s="40">
        <f t="shared" si="4"/>
        <v>4</v>
      </c>
      <c r="J29" s="40">
        <f t="shared" si="4"/>
        <v>4</v>
      </c>
      <c r="K29" s="40">
        <f t="shared" ref="K29" si="5">COUNTIF(K6:K26,"ausente")</f>
        <v>0</v>
      </c>
    </row>
    <row r="30" spans="1:136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J30" si="6">COUNTIF(E6:E26,"abstenção")</f>
        <v>0</v>
      </c>
      <c r="F30" s="105">
        <f t="shared" si="6"/>
        <v>0</v>
      </c>
      <c r="G30" s="105">
        <f t="shared" si="6"/>
        <v>0</v>
      </c>
      <c r="H30" s="105">
        <f t="shared" si="6"/>
        <v>0</v>
      </c>
      <c r="I30" s="105">
        <f t="shared" si="6"/>
        <v>0</v>
      </c>
      <c r="J30" s="105">
        <f t="shared" si="6"/>
        <v>0</v>
      </c>
      <c r="K30" s="105">
        <f t="shared" ref="K30" si="7">COUNTIF(K6:K26,"abstenção")</f>
        <v>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</row>
    <row r="31" spans="1:136" s="20" customFormat="1" ht="15.75">
      <c r="A31" s="19"/>
      <c r="B31"/>
      <c r="C31" s="105"/>
      <c r="D31"/>
      <c r="E31" s="105"/>
      <c r="F31" s="105"/>
      <c r="G31" s="105"/>
      <c r="H31" s="105"/>
      <c r="I31" s="105"/>
      <c r="J31" s="105"/>
      <c r="K31" s="105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5" sqref="F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3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48</v>
      </c>
      <c r="C6" s="107"/>
      <c r="U6" s="7"/>
      <c r="V6" s="7"/>
    </row>
    <row r="7" spans="1:29" ht="18">
      <c r="A7" s="129" t="s">
        <v>63</v>
      </c>
      <c r="C7" s="107"/>
      <c r="U7" s="7"/>
      <c r="V7" s="7"/>
    </row>
    <row r="8" spans="1:29" ht="18">
      <c r="A8" s="129" t="s">
        <v>51</v>
      </c>
      <c r="C8" s="107"/>
      <c r="U8" s="7"/>
      <c r="V8" s="7"/>
    </row>
    <row r="9" spans="1:29" ht="18">
      <c r="A9" s="130" t="s">
        <v>52</v>
      </c>
      <c r="C9" s="114"/>
      <c r="U9" s="7"/>
      <c r="V9" s="7"/>
    </row>
    <row r="10" spans="1:29" ht="18">
      <c r="A10" s="129" t="s">
        <v>27</v>
      </c>
      <c r="C10" s="107"/>
      <c r="U10" s="7"/>
      <c r="V10" s="7"/>
    </row>
    <row r="11" spans="1:29" ht="18">
      <c r="A11" s="129" t="s">
        <v>53</v>
      </c>
      <c r="C11" s="114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54</v>
      </c>
      <c r="C14" s="114"/>
      <c r="U14" s="7"/>
      <c r="V14" s="7"/>
    </row>
    <row r="15" spans="1:29" ht="18">
      <c r="A15" s="129" t="s">
        <v>55</v>
      </c>
      <c r="C15" s="107"/>
      <c r="U15" s="7"/>
      <c r="V15" s="7"/>
    </row>
    <row r="16" spans="1:29" ht="18">
      <c r="A16" s="129" t="s">
        <v>56</v>
      </c>
      <c r="C16" s="107"/>
      <c r="U16" s="7"/>
      <c r="V16" s="7"/>
    </row>
    <row r="17" spans="1:123" ht="18">
      <c r="A17" s="129" t="s">
        <v>93</v>
      </c>
      <c r="C17" s="107"/>
      <c r="U17" s="7"/>
      <c r="V17" s="7"/>
    </row>
    <row r="18" spans="1:123" ht="15" customHeight="1">
      <c r="A18" s="129" t="s">
        <v>24</v>
      </c>
      <c r="C18" s="107"/>
      <c r="T18" s="8"/>
      <c r="U18" s="7"/>
      <c r="V18" s="7"/>
    </row>
    <row r="19" spans="1:123" ht="18">
      <c r="A19" s="129" t="s">
        <v>57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86</v>
      </c>
      <c r="C21" s="114"/>
      <c r="U21" s="7"/>
      <c r="V21" s="7"/>
    </row>
    <row r="22" spans="1:123" ht="18">
      <c r="A22" s="129" t="s">
        <v>25</v>
      </c>
      <c r="C22" s="107"/>
      <c r="U22" s="7"/>
      <c r="V22" s="7"/>
    </row>
    <row r="23" spans="1:123" ht="18">
      <c r="A23" s="129" t="s">
        <v>58</v>
      </c>
      <c r="C23" s="114"/>
      <c r="U23" s="7"/>
      <c r="V23" s="7"/>
    </row>
    <row r="24" spans="1:123" ht="18">
      <c r="A24" s="129" t="s">
        <v>64</v>
      </c>
      <c r="C24" s="107"/>
      <c r="U24" s="7"/>
      <c r="V24" s="7"/>
    </row>
    <row r="25" spans="1:123" ht="18">
      <c r="A25" s="129" t="s">
        <v>85</v>
      </c>
      <c r="C25" s="107"/>
      <c r="U25" s="7"/>
      <c r="V25" s="7"/>
    </row>
    <row r="26" spans="1:123" ht="18">
      <c r="A26" s="129" t="s">
        <v>59</v>
      </c>
      <c r="C26" s="107"/>
      <c r="U26" s="7"/>
      <c r="V26" s="7"/>
    </row>
    <row r="27" spans="1:123" s="16" customFormat="1" ht="15.75">
      <c r="A27" s="15" t="s">
        <v>18</v>
      </c>
      <c r="B27" s="16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106</v>
      </c>
      <c r="B2" s="2"/>
    </row>
    <row r="3" spans="1:3" ht="15.75" thickBot="1">
      <c r="A3" s="121" t="s">
        <v>107</v>
      </c>
      <c r="B3" s="2"/>
    </row>
    <row r="4" spans="1:3" ht="78.75" customHeight="1" thickBot="1">
      <c r="A4" s="120" t="s">
        <v>5</v>
      </c>
      <c r="B4" s="111" t="s">
        <v>21</v>
      </c>
      <c r="C4" s="139"/>
    </row>
    <row r="5" spans="1:3" s="6" customFormat="1" ht="60.75" customHeight="1">
      <c r="A5" s="122"/>
      <c r="B5" s="111"/>
      <c r="C5" s="113"/>
    </row>
    <row r="6" spans="1:3" ht="15.75">
      <c r="A6" s="127" t="s">
        <v>48</v>
      </c>
      <c r="C6" s="107"/>
    </row>
    <row r="7" spans="1:3" ht="15.75">
      <c r="A7" s="127" t="s">
        <v>63</v>
      </c>
      <c r="C7" s="107"/>
    </row>
    <row r="8" spans="1:3" ht="15.75">
      <c r="A8" s="127" t="s">
        <v>51</v>
      </c>
      <c r="C8" s="107"/>
    </row>
    <row r="9" spans="1:3" ht="15.75">
      <c r="A9" s="128" t="s">
        <v>52</v>
      </c>
      <c r="C9" s="107"/>
    </row>
    <row r="10" spans="1:3" ht="15.75">
      <c r="A10" s="127" t="s">
        <v>27</v>
      </c>
      <c r="C10" s="114"/>
    </row>
    <row r="11" spans="1:3" ht="15.75">
      <c r="A11" s="127" t="s">
        <v>53</v>
      </c>
      <c r="C11" s="107"/>
    </row>
    <row r="12" spans="1:3" ht="15.75">
      <c r="A12" s="127" t="s">
        <v>22</v>
      </c>
      <c r="C12" s="107"/>
    </row>
    <row r="13" spans="1:3" ht="15.75">
      <c r="A13" s="127" t="s">
        <v>23</v>
      </c>
      <c r="C13" s="107"/>
    </row>
    <row r="14" spans="1:3" ht="15.75">
      <c r="A14" s="127" t="s">
        <v>54</v>
      </c>
      <c r="C14" s="114"/>
    </row>
    <row r="15" spans="1:3" ht="15.75">
      <c r="A15" s="127" t="s">
        <v>55</v>
      </c>
      <c r="B15" s="138"/>
      <c r="C15" s="107"/>
    </row>
    <row r="16" spans="1:3" ht="15.75">
      <c r="A16" s="127" t="s">
        <v>56</v>
      </c>
      <c r="C16" s="114"/>
    </row>
    <row r="17" spans="1:3" ht="15.75">
      <c r="A17" s="127" t="s">
        <v>93</v>
      </c>
      <c r="C17" s="107"/>
    </row>
    <row r="18" spans="1:3" ht="15.75">
      <c r="A18" s="127" t="s">
        <v>24</v>
      </c>
      <c r="C18" s="114"/>
    </row>
    <row r="19" spans="1:3" ht="15.75">
      <c r="A19" s="127" t="s">
        <v>57</v>
      </c>
      <c r="C19" s="107"/>
    </row>
    <row r="20" spans="1:3" ht="15.75">
      <c r="A20" s="127" t="s">
        <v>94</v>
      </c>
      <c r="C20" s="107"/>
    </row>
    <row r="21" spans="1:3" ht="15.75">
      <c r="A21" s="127" t="s">
        <v>86</v>
      </c>
      <c r="C21" s="114"/>
    </row>
    <row r="22" spans="1:3" ht="15.75">
      <c r="A22" s="127" t="s">
        <v>25</v>
      </c>
      <c r="C22" s="114"/>
    </row>
    <row r="23" spans="1:3" ht="15.75">
      <c r="A23" s="127" t="s">
        <v>58</v>
      </c>
      <c r="C23" s="107"/>
    </row>
    <row r="24" spans="1:3" ht="15.75">
      <c r="A24" s="127" t="s">
        <v>64</v>
      </c>
      <c r="C24" s="107"/>
    </row>
    <row r="25" spans="1:3" ht="15.75">
      <c r="A25" s="127" t="s">
        <v>85</v>
      </c>
      <c r="C25" s="107"/>
    </row>
    <row r="26" spans="1:3" ht="15.75">
      <c r="A26" s="127" t="s">
        <v>59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106</v>
      </c>
      <c r="B2" s="2"/>
      <c r="C2" s="54"/>
      <c r="D2" s="54"/>
      <c r="E2" s="54"/>
    </row>
    <row r="3" spans="1:9" ht="15.75" thickBot="1">
      <c r="A3" s="121" t="s">
        <v>107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100</v>
      </c>
      <c r="G4" s="142" t="s">
        <v>101</v>
      </c>
      <c r="H4" s="142" t="s">
        <v>102</v>
      </c>
      <c r="I4" s="142" t="s">
        <v>103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48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63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51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52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53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54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55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56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93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57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94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86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58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64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85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59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93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94</v>
      </c>
    </row>
    <row r="21" spans="1:23" ht="18">
      <c r="A21" s="129" t="s">
        <v>86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2026-06-01T14:51:43Z</dcterms:modified>
</cp:coreProperties>
</file>