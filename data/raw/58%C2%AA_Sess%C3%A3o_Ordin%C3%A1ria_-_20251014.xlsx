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FE01EAD4-8425-441D-97E6-DDC8443221A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E27" i="2" l="1"/>
  <c r="E28" i="2"/>
  <c r="E29" i="2"/>
  <c r="E30" i="2"/>
  <c r="A4" i="14"/>
  <c r="C28" i="10"/>
  <c r="C29" i="10"/>
  <c r="C30" i="10"/>
  <c r="C31" i="10"/>
  <c r="E28" i="10"/>
  <c r="E29" i="10"/>
  <c r="E30" i="10"/>
  <c r="E31" i="10"/>
  <c r="C27" i="2"/>
  <c r="C28" i="2"/>
  <c r="C29" i="2"/>
  <c r="C30" i="2"/>
  <c r="F27" i="2"/>
  <c r="F28" i="2"/>
  <c r="F29" i="2"/>
  <c r="F30" i="2"/>
  <c r="D28" i="10"/>
  <c r="D29" i="10"/>
  <c r="D30" i="10"/>
  <c r="D31" i="10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V27" i="3" l="1"/>
  <c r="DV28" i="3" s="1"/>
  <c r="DV29" i="3" s="1"/>
  <c r="DV30" i="3" s="1"/>
  <c r="DU27" i="3"/>
  <c r="DU28" i="3" s="1"/>
  <c r="DU29" i="3" s="1"/>
  <c r="DU30" i="3" s="1"/>
  <c r="DT27" i="3"/>
  <c r="DT28" i="3" s="1"/>
  <c r="DS27" i="3"/>
  <c r="DR27" i="3"/>
  <c r="DR28" i="3" s="1"/>
  <c r="DR29" i="3" s="1"/>
  <c r="DR30" i="3" s="1"/>
  <c r="DQ27" i="3"/>
  <c r="DQ28" i="3" s="1"/>
  <c r="DQ29" i="3" s="1"/>
  <c r="DQ30" i="3" s="1"/>
  <c r="DP27" i="3"/>
  <c r="DP28" i="3" s="1"/>
  <c r="DP29" i="3" s="1"/>
  <c r="DP30" i="3" s="1"/>
  <c r="DO27" i="3"/>
  <c r="DN27" i="3"/>
  <c r="DN28" i="3" s="1"/>
  <c r="DM27" i="3"/>
  <c r="DM28" i="3" s="1"/>
  <c r="DL27" i="3"/>
  <c r="DL28" i="3" s="1"/>
  <c r="DK27" i="3"/>
  <c r="DK28" i="3" s="1"/>
  <c r="DJ27" i="3"/>
  <c r="DJ28" i="3" s="1"/>
  <c r="DJ29" i="3" s="1"/>
  <c r="DI27" i="3"/>
  <c r="DI28" i="3" s="1"/>
  <c r="DI29" i="3" s="1"/>
  <c r="DI30" i="3" s="1"/>
  <c r="DH27" i="3"/>
  <c r="DH28" i="3" s="1"/>
  <c r="DG27" i="3"/>
  <c r="DG28" i="3" s="1"/>
  <c r="DF27" i="3"/>
  <c r="DF28" i="3" s="1"/>
  <c r="DF29" i="3" s="1"/>
  <c r="DE27" i="3"/>
  <c r="DE28" i="3" s="1"/>
  <c r="DD27" i="3"/>
  <c r="DD28" i="3" s="1"/>
  <c r="DD29" i="3" s="1"/>
  <c r="DC27" i="3"/>
  <c r="DC28" i="3" s="1"/>
  <c r="DC29" i="3" s="1"/>
  <c r="DC30" i="3" s="1"/>
  <c r="DB27" i="3"/>
  <c r="DB28" i="3" s="1"/>
  <c r="DA27" i="3"/>
  <c r="DA28" i="3" s="1"/>
  <c r="DA29" i="3" s="1"/>
  <c r="DA30" i="3" s="1"/>
  <c r="CZ27" i="3"/>
  <c r="CZ28" i="3" s="1"/>
  <c r="CY27" i="3"/>
  <c r="CX27" i="3"/>
  <c r="CX28" i="3" s="1"/>
  <c r="CX29" i="3" s="1"/>
  <c r="CW27" i="3"/>
  <c r="CW28" i="3" s="1"/>
  <c r="CV27" i="3"/>
  <c r="CV28" i="3" s="1"/>
  <c r="CV29" i="3" s="1"/>
  <c r="CV30" i="3" s="1"/>
  <c r="CU27" i="3"/>
  <c r="CU28" i="3" s="1"/>
  <c r="CU29" i="3" s="1"/>
  <c r="CU30" i="3" s="1"/>
  <c r="CT27" i="3"/>
  <c r="CT28" i="3" s="1"/>
  <c r="CS27" i="3"/>
  <c r="CS28" i="3" s="1"/>
  <c r="CS29" i="3" s="1"/>
  <c r="CS30" i="3" s="1"/>
  <c r="CR27" i="3"/>
  <c r="CR28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N29" i="3" s="1"/>
  <c r="CM27" i="3"/>
  <c r="CM28" i="3" s="1"/>
  <c r="CL27" i="3"/>
  <c r="CL28" i="3" s="1"/>
  <c r="CK27" i="3"/>
  <c r="CK28" i="3" s="1"/>
  <c r="CK29" i="3" s="1"/>
  <c r="CK30" i="3" s="1"/>
  <c r="CJ27" i="3"/>
  <c r="CJ28" i="3" s="1"/>
  <c r="CI27" i="3"/>
  <c r="CI28" i="3" s="1"/>
  <c r="CH27" i="3"/>
  <c r="CG27" i="3"/>
  <c r="CG28" i="3" s="1"/>
  <c r="CF27" i="3"/>
  <c r="CF28" i="3" s="1"/>
  <c r="CF29" i="3" s="1"/>
  <c r="CF30" i="3" s="1"/>
  <c r="CE27" i="3"/>
  <c r="CD27" i="3"/>
  <c r="CD28" i="3" s="1"/>
  <c r="CC27" i="3"/>
  <c r="CC28" i="3" s="1"/>
  <c r="CC29" i="3" s="1"/>
  <c r="CC30" i="3" s="1"/>
  <c r="CB27" i="3"/>
  <c r="CB28" i="3" s="1"/>
  <c r="CA27" i="3"/>
  <c r="CA28" i="3" s="1"/>
  <c r="CA29" i="3" s="1"/>
  <c r="BZ27" i="3"/>
  <c r="BZ28" i="3" s="1"/>
  <c r="BZ29" i="3" s="1"/>
  <c r="BY27" i="3"/>
  <c r="BY28" i="3" s="1"/>
  <c r="BX27" i="3"/>
  <c r="BX28" i="3" s="1"/>
  <c r="BW27" i="3"/>
  <c r="BW28" i="3" s="1"/>
  <c r="BV27" i="3"/>
  <c r="BV28" i="3" s="1"/>
  <c r="BU27" i="3"/>
  <c r="BU28" i="3" s="1"/>
  <c r="BU29" i="3" s="1"/>
  <c r="BU30" i="3" s="1"/>
  <c r="BT27" i="3"/>
  <c r="BT28" i="3" s="1"/>
  <c r="BS27" i="3"/>
  <c r="BS28" i="3" s="1"/>
  <c r="BR27" i="3"/>
  <c r="BR28" i="3" s="1"/>
  <c r="BQ27" i="3"/>
  <c r="BQ28" i="3" s="1"/>
  <c r="BP27" i="3"/>
  <c r="BP28" i="3" s="1"/>
  <c r="BP29" i="3" s="1"/>
  <c r="BO27" i="3"/>
  <c r="BN27" i="3"/>
  <c r="BN28" i="3" s="1"/>
  <c r="BN29" i="3" s="1"/>
  <c r="BM27" i="3"/>
  <c r="BM28" i="3" s="1"/>
  <c r="BM29" i="3" s="1"/>
  <c r="BM30" i="3" s="1"/>
  <c r="BL27" i="3"/>
  <c r="BL28" i="3" s="1"/>
  <c r="BK27" i="3"/>
  <c r="BK28" i="3" s="1"/>
  <c r="BJ27" i="3"/>
  <c r="BJ28" i="3" s="1"/>
  <c r="BJ29" i="3" s="1"/>
  <c r="BJ30" i="3" s="1"/>
  <c r="BI27" i="3"/>
  <c r="BI28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D27" i="3"/>
  <c r="BD28" i="3" s="1"/>
  <c r="BC27" i="3"/>
  <c r="BC28" i="3" s="1"/>
  <c r="BC29" i="3" s="1"/>
  <c r="BB27" i="3"/>
  <c r="BB28" i="3" s="1"/>
  <c r="BB29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T27" i="3"/>
  <c r="AT28" i="3" s="1"/>
  <c r="AS27" i="3"/>
  <c r="AS28" i="3" s="1"/>
  <c r="AR27" i="3"/>
  <c r="AR28" i="3" s="1"/>
  <c r="AR29" i="3" s="1"/>
  <c r="AR30" i="3" s="1"/>
  <c r="AQ27" i="3"/>
  <c r="AQ28" i="3" s="1"/>
  <c r="AQ29" i="3" s="1"/>
  <c r="AP27" i="3"/>
  <c r="AP28" i="3" s="1"/>
  <c r="AP29" i="3" s="1"/>
  <c r="AP30" i="3" s="1"/>
  <c r="AO27" i="3"/>
  <c r="AO28" i="3" s="1"/>
  <c r="AN27" i="3"/>
  <c r="AN28" i="3" s="1"/>
  <c r="AM27" i="3"/>
  <c r="AM28" i="3" s="1"/>
  <c r="AL27" i="3"/>
  <c r="AL28" i="3" s="1"/>
  <c r="AL29" i="3" s="1"/>
  <c r="AK27" i="3"/>
  <c r="AK28" i="3" s="1"/>
  <c r="AK29" i="3" s="1"/>
  <c r="AJ27" i="3"/>
  <c r="AJ28" i="3" s="1"/>
  <c r="AJ29" i="3" s="1"/>
  <c r="AI27" i="3"/>
  <c r="AH27" i="3"/>
  <c r="AH28" i="3" s="1"/>
  <c r="AH29" i="3" s="1"/>
  <c r="AH30" i="3" s="1"/>
  <c r="AG27" i="3"/>
  <c r="AG28" i="3" s="1"/>
  <c r="AF27" i="3"/>
  <c r="AF28" i="3" s="1"/>
  <c r="AF29" i="3" s="1"/>
  <c r="AF30" i="3" s="1"/>
  <c r="AE27" i="3"/>
  <c r="AE28" i="3" s="1"/>
  <c r="AE29" i="3" s="1"/>
  <c r="AD27" i="3"/>
  <c r="AD28" i="3" s="1"/>
  <c r="AC27" i="3"/>
  <c r="AC28" i="3" s="1"/>
  <c r="AB27" i="3"/>
  <c r="AB28" i="3" s="1"/>
  <c r="AA27" i="3"/>
  <c r="AA28" i="3" s="1"/>
  <c r="AA29" i="3" s="1"/>
  <c r="AA30" i="3" s="1"/>
  <c r="Z27" i="3"/>
  <c r="Z28" i="3" s="1"/>
  <c r="Z29" i="3" s="1"/>
  <c r="Z30" i="3" s="1"/>
  <c r="Y27" i="3"/>
  <c r="Y28" i="3" s="1"/>
  <c r="X27" i="3"/>
  <c r="W27" i="3"/>
  <c r="V27" i="3"/>
  <c r="V28" i="3" s="1"/>
  <c r="V29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DE29" i="3" l="1"/>
  <c r="DE30" i="3" s="1"/>
  <c r="BY29" i="3"/>
  <c r="BY30" i="3" s="1"/>
  <c r="CO29" i="3"/>
  <c r="CO30" i="3" s="1"/>
  <c r="AS29" i="3"/>
  <c r="AS30" i="3" s="1"/>
  <c r="CZ29" i="3"/>
  <c r="CZ30" i="3" s="1"/>
  <c r="BQ29" i="3"/>
  <c r="BQ30" i="3" s="1"/>
  <c r="BT29" i="3"/>
  <c r="BT30" i="3" s="1"/>
  <c r="BI29" i="3"/>
  <c r="BI30" i="3" s="1"/>
  <c r="CB29" i="3"/>
  <c r="CB30" i="3" s="1"/>
  <c r="U29" i="3"/>
  <c r="U30" i="3" s="1"/>
  <c r="AD29" i="3"/>
  <c r="AD30" i="3" s="1"/>
  <c r="BV29" i="3"/>
  <c r="BV30" i="3" s="1"/>
  <c r="AT29" i="3"/>
  <c r="AT30" i="3" s="1"/>
  <c r="CR29" i="3"/>
  <c r="CR30" i="3" s="1"/>
  <c r="CY28" i="3"/>
  <c r="CY29" i="3" s="1"/>
  <c r="CY30" i="3" s="1"/>
  <c r="DS28" i="3"/>
  <c r="DS29" i="3" s="1"/>
  <c r="DS30" i="3" s="1"/>
  <c r="CJ29" i="3"/>
  <c r="CJ30" i="3" s="1"/>
  <c r="AI28" i="3"/>
  <c r="AI29" i="3" s="1"/>
  <c r="AI30" i="3" s="1"/>
  <c r="CE28" i="3"/>
  <c r="CE29" i="3" s="1"/>
  <c r="CE30" i="3" s="1"/>
  <c r="CI29" i="3"/>
  <c r="CI30" i="3" s="1"/>
  <c r="AB29" i="3"/>
  <c r="AB30" i="3" s="1"/>
  <c r="AM29" i="3"/>
  <c r="AM30" i="3" s="1"/>
  <c r="BO28" i="3"/>
  <c r="BO29" i="3" s="1"/>
  <c r="BO30" i="3" s="1"/>
  <c r="DO28" i="3"/>
  <c r="DO29" i="3" s="1"/>
  <c r="DO30" i="3" s="1"/>
  <c r="BK29" i="3"/>
  <c r="BK30" i="3" s="1"/>
  <c r="BR29" i="3"/>
  <c r="BR30" i="3" s="1"/>
  <c r="AJ30" i="3"/>
  <c r="CX30" i="3"/>
  <c r="DH29" i="3"/>
  <c r="DH30" i="3" s="1"/>
  <c r="X28" i="3"/>
  <c r="X29" i="3" s="1"/>
  <c r="X30" i="3" s="1"/>
  <c r="AU29" i="3"/>
  <c r="AU30" i="3" s="1"/>
  <c r="CH28" i="3"/>
  <c r="CH29" i="3" s="1"/>
  <c r="CH30" i="3" s="1"/>
  <c r="O29" i="3"/>
  <c r="O30" i="3" s="1"/>
  <c r="S29" i="3"/>
  <c r="S30" i="3" s="1"/>
  <c r="DG29" i="3"/>
  <c r="DG30" i="3" s="1"/>
  <c r="DK29" i="3"/>
  <c r="DK30" i="3" s="1"/>
  <c r="M29" i="3"/>
  <c r="M30" i="3" s="1"/>
  <c r="DB29" i="3"/>
  <c r="DB30" i="3" s="1"/>
  <c r="DM29" i="3"/>
  <c r="DM30" i="3" s="1"/>
  <c r="BX29" i="3"/>
  <c r="BX30" i="3" s="1"/>
  <c r="CL29" i="3"/>
  <c r="CL30" i="3" s="1"/>
  <c r="CD29" i="3"/>
  <c r="CD30" i="3" s="1"/>
  <c r="V30" i="3"/>
  <c r="DN29" i="3"/>
  <c r="DN30" i="3" s="1"/>
  <c r="AQ30" i="3"/>
  <c r="DD30" i="3"/>
  <c r="CW29" i="3"/>
  <c r="CW30" i="3" s="1"/>
  <c r="CG29" i="3"/>
  <c r="CG30" i="3" s="1"/>
  <c r="AC29" i="3"/>
  <c r="AC30" i="3" s="1"/>
  <c r="CT29" i="3"/>
  <c r="CT30" i="3" s="1"/>
  <c r="W28" i="3"/>
  <c r="W29" i="3" s="1"/>
  <c r="W30" i="3" s="1"/>
  <c r="DF30" i="3"/>
  <c r="AN29" i="3"/>
  <c r="AN30" i="3" s="1"/>
  <c r="AE30" i="3"/>
  <c r="AK30" i="3"/>
  <c r="BL29" i="3"/>
  <c r="BL30" i="3" s="1"/>
  <c r="AL30" i="3"/>
  <c r="BW29" i="3"/>
  <c r="BW30" i="3" s="1"/>
  <c r="CQ29" i="3"/>
  <c r="CQ30" i="3" s="1"/>
  <c r="BC30" i="3"/>
  <c r="BB30" i="3"/>
  <c r="BP30" i="3"/>
  <c r="CN30" i="3"/>
  <c r="Y29" i="3"/>
  <c r="Y30" i="3" s="1"/>
  <c r="BS29" i="3"/>
  <c r="BS30" i="3" s="1"/>
  <c r="AV29" i="3"/>
  <c r="AV30" i="3" s="1"/>
  <c r="CM29" i="3"/>
  <c r="CM30" i="3" s="1"/>
  <c r="BN30" i="3"/>
  <c r="AG29" i="3"/>
  <c r="AG30" i="3" s="1"/>
  <c r="BD29" i="3"/>
  <c r="BD30" i="3" s="1"/>
  <c r="DT29" i="3"/>
  <c r="DT30" i="3" s="1"/>
  <c r="DL29" i="3"/>
  <c r="DL30" i="3" s="1"/>
  <c r="DJ30" i="3"/>
  <c r="Q29" i="3"/>
  <c r="Q30" i="3" s="1"/>
  <c r="AX29" i="3"/>
  <c r="AX30" i="3" s="1"/>
  <c r="CA30" i="3"/>
  <c r="BZ30" i="3"/>
  <c r="AO29" i="3"/>
  <c r="AO30" i="3" s="1"/>
  <c r="AZ29" i="3"/>
  <c r="AZ30" i="3" s="1"/>
  <c r="BE29" i="3"/>
  <c r="BE30" i="3" s="1"/>
</calcChain>
</file>

<file path=xl/sharedStrings.xml><?xml version="1.0" encoding="utf-8"?>
<sst xmlns="http://schemas.openxmlformats.org/spreadsheetml/2006/main" count="497" uniqueCount="140">
  <si>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</si>
  <si>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</si>
  <si>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</si>
  <si>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</si>
  <si>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</si>
  <si>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</si>
  <si>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</si>
  <si>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</si>
  <si>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</si>
  <si>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</si>
  <si>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</si>
  <si>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</si>
  <si>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</si>
  <si>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</si>
  <si>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</si>
  <si>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</si>
  <si>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</si>
  <si>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</si>
  <si>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</si>
  <si>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</si>
  <si>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</si>
  <si>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</si>
  <si>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</si>
  <si>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</si>
  <si>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</si>
  <si>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</si>
  <si>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</si>
  <si>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</si>
  <si>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</si>
  <si>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</si>
  <si>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</si>
  <si>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</si>
  <si>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</si>
  <si>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</si>
  <si>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</si>
  <si>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</si>
  <si>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</si>
  <si>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</si>
  <si>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</si>
  <si>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</si>
  <si>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</si>
  <si>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</si>
  <si>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</si>
  <si>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</si>
  <si>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</si>
  <si>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</si>
  <si>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</si>
  <si>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</si>
  <si>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</si>
  <si>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</si>
  <si>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</si>
  <si>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</si>
  <si>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</si>
  <si>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</si>
  <si>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</si>
  <si>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</si>
  <si>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</si>
  <si>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</si>
  <si>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</si>
  <si>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</si>
  <si>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</si>
  <si>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</si>
  <si>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</si>
  <si>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</si>
  <si>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</si>
  <si>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</si>
  <si>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</si>
  <si>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</si>
  <si>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</si>
  <si>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</si>
  <si>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</si>
  <si>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</si>
  <si>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pela ausência do autor, será pautada na próxima sessão.</t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</si>
  <si>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</si>
  <si>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</si>
  <si>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</si>
  <si>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</si>
  <si>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</si>
  <si>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</si>
  <si>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</si>
  <si>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</si>
  <si>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</si>
  <si>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</si>
  <si>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</si>
  <si>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</si>
  <si>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</si>
  <si>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</si>
  <si>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</si>
  <si>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</si>
  <si>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</si>
  <si>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</si>
  <si>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</si>
  <si>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</si>
  <si>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</si>
  <si>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pela ausência da autora, será pautada na próxima sessão.</t>
  </si>
  <si>
    <t>Sergio Fontellas</t>
  </si>
  <si>
    <r>
      <t>MOÇÃO DE CONGRATULAÇÕES Nº 487/2025 – GABRIEL SAÚDE –</t>
    </r>
    <r>
      <rPr>
        <sz val="11"/>
        <color theme="1"/>
        <rFont val="Arial"/>
        <family val="2"/>
      </rPr>
      <t xml:space="preserve"> À Sra. Simone de Carvalho, por sua luta, coragem e dedicação, cuja trajetória se confunde com a história de resistência e transformação social de nossa cidade.</t>
    </r>
  </si>
  <si>
    <r>
      <t xml:space="preserve">PROJETO DE LEI Nº 93/2025 - LÚCIA DA SAÚDE – </t>
    </r>
    <r>
      <rPr>
        <sz val="14"/>
        <color theme="1"/>
        <rFont val="Arial"/>
        <family val="2"/>
      </rPr>
      <t>Institui a Semana de Prevenção e Apoio à Ansiedade no Município de Osasco.</t>
    </r>
  </si>
  <si>
    <t>58ª SESSÃO ORDINÁRIA</t>
  </si>
  <si>
    <t>DIA 14 DE OUTUBRO DE 2025 - TERÇA-FEIRA</t>
  </si>
  <si>
    <t>Ofício Prolegis nº 202503193649 – Prefeito do Município de Osasco – Informa a sanção da Lei nº 5.425, de 1º de outubro de 2025, referente ao Projeto de Lei nº 124/2025, de autoria do Prefeito do Município de Osasco, que dispõe sobre o Plano Plurianual do Município de Osasco para o quadriênio compreendido entre 2026 e 2029.</t>
  </si>
  <si>
    <t>Ofício Prolegis nº 202503201392 – Prefeito do Município de Osasco – Informa a sanção da Lei nº 5.429, de 9 de outubro de 2025, referente ao Projeto de Lei nº 123/2025, de autoria do Prefeito do Município de Osasco, que dispõe sobre as diretrizes orçamentárias do Município de Osasco para o exercício de 2026, no âmbito da Administração Direta e Indireta do Município, e dá outras providências.</t>
  </si>
  <si>
    <t>Ofício Prolegis nº 202503198650– Prefeito do Município de Osasco – Informa a sanção da Lei nº 5.428, de 8 de outubro de 2025, referente ao Projeto de Lei nº 157/2025, de autoria do Prefeito do Município de Osasco, que dispõe sobre a alteração da Lei nº 5.311, de 22 de dezembro de 2023, que autorizou o Poder Executivo a contratar operação de crédito internacional com o Fundo Financeiro para o Desenvolvimento da Bacia do Prata - FONPLATA, e a oferecer garantias.</t>
  </si>
  <si>
    <t>Ofício Prolegis nº 202503200316 – Prefeito do Município de Osasco – Informa a remessa do Decreto nº 14.842, de 3 de outubro de 2025, que dispõe sobre abertura de crédito adicional suplementar ao orçamento vigente e dá outras providências, do Decreto nº 14.843, de 7 de outubro de 2025, que dispõe sobre permissão de uso de espaço público, a título precário, à IFood.com Agência de Restaurantes Online S.A. e do Decreto nº 14.844, de 9 de outubro de 2025, que dispõe sobre abertura de crédito adicional suplementar ao orçamento vigente e dá outras providências</t>
  </si>
  <si>
    <t>Projeto de Lei nº 159/2025 – Laércio Mendonça – Estabelece condições para autorização de provas de corrida de rua, caminhada e ciclismo realizadas em vias públicas no Município de Osasco, com foco em acessibilidade de preço, transparência, segurança e inclusão social, sem geração de despesas ao erário público, e dá outras providências.</t>
  </si>
  <si>
    <t>Projeto de Lei nº 165/2025 – Gabriel Saúde – Dispõe sobre a facilitação do acesso aos produtos à base de canabidiol (CBD) no Sistema Único de Saúde Municipal para pacientes com Transtorno do Espectro Autista (TEA) no Município de Osasco.</t>
  </si>
  <si>
    <t>Projeto de Lei nº 171/2025 – Gabriel Saúde – Veda a nomeação de pessoa condenada, por sentença criminal com trânsito em julgado e fundamentada na Lei Federal nº 11.340, de 7 de agosto de 2006 (Lei Maria da Penha), para exercer cargo ou emprego público no Município de Osasco, inclusive nos âmbitos do Poder Legislativo e da Administração Indireta.</t>
  </si>
  <si>
    <t>Projeto de Lei nº 181/2025 – Gabriel Saúde – Dispõe sobre a prioridade de atendimento psicossocial e de segurança às mães atípicas que se dedicam integralmente ao cuidado de filhos com Transtorno do Espectro Autista (TEA) no sistema de segurança e saúde municipal de Osasco.</t>
  </si>
  <si>
    <t>Projeto de Lei nº 183/2025 – Gabriel Saúde – Dispõe sobre a instituição do "DISPOSITIVO GUARDA VIDA" para proteção dos servidores públicos municipais que atuam em atendimento ao público no Município de Osasco.</t>
  </si>
  <si>
    <t>Projeto de Lei nº 184/2025 – Gabriel Saúde – Dispõe sobre a criação do Programa Municipal de Reabilitação Auditiva no município de Osasco e dá outras providências.</t>
  </si>
  <si>
    <t>Projeto de Lei nº 185/2025 – Gabriel Saúde – Institui o Programa "Sábado Saúde Osasco" estabelecendo o funcionamento das Unidades Básicas de Saúde (UBS) localizadas em Polos de Saúde aos sábados, no horário das 8h às 18h.</t>
  </si>
  <si>
    <t>Projeto de Lei nº 187/2025 – Gabriel Saúde – Dispõe sobre a emissão da Carteira de Identificação da Pessoa com Doença Rara no âmbito do Município de Osasco.</t>
  </si>
  <si>
    <t>Projeto de Lei nº 189/2025 – Gabriel Saúde – Institui homenagem anual aos servidores públicos municipais aposentados.</t>
  </si>
  <si>
    <t>Projeto de Lei nº 190/2025 – Gabriel Saúde – Dispõe sobre a disponibilização do carnê de Imposto Predial e Territorial Urbano - IPTU em braile para os contribuintes com deficiência visual no município de Osasco.</t>
  </si>
  <si>
    <t>Projeto de Lei Complementar nº 14/2025 – Gabriel Saúde - Altera a Lei Complementar nº 443, de 20 de dezembro de 2024, que institui o Código de Obras e Edificações do Município de Osasco e dá outras providências.</t>
  </si>
  <si>
    <t>Projeto de Lei nº 191/2025 – Lúcia da Saúde – Dispõe sobre a distribuição pelo Sistema Único de Saúde de sensor medidor contínuo de glicose para crianças de quatro a doze anos portadores de diabetes matriculadas na Rede Pública de Ensino do Município de Osasco.</t>
  </si>
  <si>
    <t>Projeto de Resolução nº 11/2023 – Josias da Juco – Dispõe sobre o “Dia da Criança” na Câmara Municipal de Osasco.</t>
  </si>
  <si>
    <r>
      <t xml:space="preserve">MOÇÃO DE CONGRATULAÇÕES Nº 476/2025 – DELBIO TERUEL – </t>
    </r>
    <r>
      <rPr>
        <sz val="11"/>
        <color theme="1"/>
        <rFont val="Arial"/>
        <family val="2"/>
      </rPr>
      <t>À Associação Comunitária de Idosos do Município de Osasco – ACIMO, estendendo a homenagem a todas as pessoas idosas da cidade pela passagem do Dia Nacional e Internacional da Pessoa Idosa, celebrado em 1º de outubro.</t>
    </r>
  </si>
  <si>
    <r>
      <t>MOÇÃO DE RECONHECIMENTO Nº 483/2025 – LAÉRCIO MENDONÇA –</t>
    </r>
    <r>
      <rPr>
        <sz val="11"/>
        <color theme="1"/>
        <rFont val="Arial"/>
        <family val="2"/>
      </rPr>
      <t xml:space="preserve"> À Sra. Lucilia Montemagni, por sua trajetória profissional, marcada pela dedicação, compromisso com a educação e contribuição para a transformação da sociedade.</t>
    </r>
  </si>
  <si>
    <r>
      <t>MOÇÃO DE CONGRATULAÇÕES Nº 486/2025 – RODRIGO GANSINHO –</t>
    </r>
    <r>
      <rPr>
        <sz val="11"/>
        <color theme="1"/>
        <rFont val="Arial"/>
        <family val="2"/>
      </rPr>
      <t xml:space="preserve"> À Equipe Técnica e aos Atletas de Futebol de Salão da Seleção de Osasco, por representarem a Cidade de Osasco com campanhas brilhantes na conquista dos troféus de Campeão na categoria Sub-12 e Vice-Campeão na categoria Sub-10 do Campeonato de Futsal do Circuito Cioeste 2025.</t>
    </r>
  </si>
  <si>
    <r>
      <t xml:space="preserve">MOÇÃO DE RECONHECIMENTO Nº 488/2025 – ELSA OLIVEIRA – </t>
    </r>
    <r>
      <rPr>
        <sz val="11"/>
        <color theme="1"/>
        <rFont val="Arial"/>
        <family val="2"/>
      </rPr>
      <t>Aos professores da rede pública e privada de ensino da cidade de Osasco, pela passagem do “Dia dos Professores” em 15 de outubro.</t>
    </r>
  </si>
  <si>
    <r>
      <t>MOÇÃO DE APLAUSOS Nº 489/2025 – JOSIAS DA JUCO –</t>
    </r>
    <r>
      <rPr>
        <sz val="11"/>
        <color theme="1"/>
        <rFont val="Arial"/>
        <family val="2"/>
      </rPr>
      <t xml:space="preserve"> Ao Tenente-Coronel PM Edson Garnica Mota, pelo exercício do Comando do 14º Batalhão da Polícia Militar Metropolitano de Osasco.</t>
    </r>
  </si>
  <si>
    <r>
      <t xml:space="preserve">MOÇÃO DE APLAUSOS Nº 490/2025 – HEBER DO JUNTOZ – </t>
    </r>
    <r>
      <rPr>
        <sz val="11"/>
        <color theme="1"/>
        <rFont val="Arial"/>
        <family val="2"/>
      </rPr>
      <t>À Prof.ª Gislene Lima, pedagoga e especialista em educação especial, como forma de homenagear todos os professores e professoras de Osasco.</t>
    </r>
  </si>
  <si>
    <r>
      <t>MOÇÃO DE APLAUSOS Nº 491/2025 – BATISTA COMUNIDADE –</t>
    </r>
    <r>
      <rPr>
        <sz val="11"/>
        <color theme="1"/>
        <rFont val="Arial"/>
        <family val="2"/>
      </rPr>
      <t xml:space="preserve"> A Gustavo Pegorari Ribeiro, presidente do Conselho Municipal dos Direitos da Criança e do Adolescente de Osasco - CMDCA.</t>
    </r>
  </si>
  <si>
    <r>
      <t xml:space="preserve">MOÇÃO DE APOIO Nº 492/2025 – ELSA OLIVEIRA – </t>
    </r>
    <r>
      <rPr>
        <sz val="11"/>
        <color theme="1"/>
        <rFont val="Arial"/>
        <family val="2"/>
      </rPr>
      <t>À regulamentação da Lei nº 14.717/2023, recentemente consolidada pelo Decreto nº 12.636/2025, que garante pensão especial a crianças e adolescentes órfãos por feminicídio, representando um marco de justiça social, amparo e humanidade.</t>
    </r>
  </si>
  <si>
    <r>
      <t>MOÇÃO DE APLAUSOS Nº 493/2025 – ALEXANDRE CAPRIOTTI –</t>
    </r>
    <r>
      <rPr>
        <sz val="11"/>
        <color theme="1"/>
        <rFont val="Arial"/>
        <family val="2"/>
      </rPr>
      <t xml:space="preserve"> À Irene Lima, por sua atuação no Conselho Gestor da Saúde.</t>
    </r>
  </si>
  <si>
    <r>
      <t xml:space="preserve">MOÇÃO DE APLAUSOS Nº 494/2025 – CANTOR GOLEIRO – </t>
    </r>
    <r>
      <rPr>
        <sz val="11"/>
        <color theme="1"/>
        <rFont val="Arial"/>
        <family val="2"/>
      </rPr>
      <t>À senhora Viviane Marques Franco Lima, em reconhecimento à sua trajetória exemplar e à destacada atuação na área da educação pública municipal, especialmente na gestão da EMEIEF Messias Gonçalves da Silva.</t>
    </r>
  </si>
  <si>
    <r>
      <t>MOÇÃO DE RECONHECIMENTO Nº 495/2025 – GUILHERME PRADO –</t>
    </r>
    <r>
      <rPr>
        <sz val="11"/>
        <color theme="1"/>
        <rFont val="Arial"/>
        <family val="2"/>
      </rPr>
      <t xml:space="preserve"> À professora Nívea Karla de Souza Santos, por sua trajetória de 28 anos dedicados à educação e ao voluntariado social, contribuindo de forma exemplar para o desenvolvimento humano e educacional de crianças e adolescentes em situação de vulnerabilidade.</t>
    </r>
  </si>
  <si>
    <r>
      <t>MOÇÃO DE APOIO Nº 496/2025 – HEBER DO JUNTOZ –</t>
    </r>
    <r>
      <rPr>
        <sz val="11"/>
        <color theme="1"/>
        <rFont val="Arial"/>
        <family val="2"/>
      </rPr>
      <t xml:space="preserve"> À luta pelo direito à moradia da Comunidade Esperança, localizada no bairro Santa Fé.</t>
    </r>
  </si>
  <si>
    <t>esgotado o tempo regimental, será pautada na próxima sessão</t>
  </si>
  <si>
    <r>
      <t xml:space="preserve">PROJETO DE DECRETO LEGISLATIVO Nº 38/2025 – LAÉRCIO MENDONÇA - </t>
    </r>
    <r>
      <rPr>
        <sz val="14"/>
        <color theme="1"/>
        <rFont val="Arial"/>
        <family val="2"/>
      </rPr>
      <t>Dispõe sobre a concessão de Título de Cidadão Osasquense ao Senhor Luciano Camandoni.</t>
    </r>
  </si>
  <si>
    <t>APROVADO
VOTAÇÃO SIMBÓLICA</t>
  </si>
  <si>
    <r>
      <t xml:space="preserve">PROJETO DE LEI Nº 118/2025 - LÚCIA DA SAÚDE – </t>
    </r>
    <r>
      <rPr>
        <sz val="11"/>
        <color theme="1"/>
        <rFont val="Arial"/>
        <family val="2"/>
      </rPr>
      <t xml:space="preserve">Institui o “Mês de Conscientização sobre as Doenças Cardiovasculares” no Município de Osasco. </t>
    </r>
  </si>
  <si>
    <t>EMENDA N.º 1/2025 AO PROJETO DE LEI Nº 118/2025 - CCJ.</t>
  </si>
  <si>
    <t>EMENDA N.º 2/2025 AO PROJETO DE LEI Nº 118/2025 - LÚCIA DA SAÚDE.</t>
  </si>
  <si>
    <r>
      <t xml:space="preserve">PROJETO DE LEI Nº 148/2025 - ALEXANDRE CAPRIOTTI – </t>
    </r>
    <r>
      <rPr>
        <sz val="11"/>
        <color theme="1"/>
        <rFont val="Arial"/>
        <family val="2"/>
      </rPr>
      <t xml:space="preserve">Institui, no Calendário Oficial do Município de Osasco, a Campanha “Todos Contra a FIV e FELV” de conscientização sobre a Imunodeficiência Viral Felina – FIV e a Leucemia Viral Felina – FELV. </t>
    </r>
  </si>
  <si>
    <t>pela ausência do autor, será pautado na próxima sessão.</t>
  </si>
  <si>
    <r>
      <t xml:space="preserve">PROJETO DE DECRETO LEGISLATIVO Nº 24/2025 – JOSIAS DA JUCO - </t>
    </r>
    <r>
      <rPr>
        <sz val="11"/>
        <color theme="1"/>
        <rFont val="Arial"/>
        <family val="2"/>
      </rPr>
      <t>Dispõe sobre a concessão de Título de Cidadão Osasquense ao Senhor Sebastião Bognar.</t>
    </r>
  </si>
  <si>
    <r>
      <t xml:space="preserve">PROJETO DE DECRETO LEGISLATIVO Nº 26/2025 – HEBER DO JUNTOZ - </t>
    </r>
    <r>
      <rPr>
        <sz val="11"/>
        <color theme="1"/>
        <rFont val="Arial"/>
        <family val="2"/>
      </rPr>
      <t>Dispõe sobre a concessão de Cartão de Prata ao Prof. Dr. Ricardo dos Santos Coelho.</t>
    </r>
  </si>
  <si>
    <r>
      <t xml:space="preserve">PROJETO DE LEI Nº 74/2025 - DELBIO TERUEL – </t>
    </r>
    <r>
      <rPr>
        <sz val="11"/>
        <color theme="1"/>
        <rFont val="Arial"/>
        <family val="2"/>
      </rPr>
      <t>Altera a denominação da Praça XI de Junho para Praça São Mateus, localizada no Jardim Cipava.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</si>
</sst>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zoomScale="70" zoomScaleNormal="70" workbookViewId="0">
      <selection activeCell="E56" sqref="E5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0"/>
      <c r="O1" s="70"/>
      <c r="P1" s="70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3" t="s">
        <v>98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0"/>
      <c r="O2" s="70"/>
      <c r="P2" s="70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3" t="s">
        <v>99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0"/>
      <c r="O3" s="70"/>
      <c r="P3" s="70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8"/>
      <c r="U4" s="148"/>
      <c r="V4" s="148"/>
      <c r="W4" s="148"/>
      <c r="X4" s="148"/>
      <c r="Y4" s="148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8"/>
      <c r="U5" s="148"/>
      <c r="V5" s="148"/>
      <c r="W5" s="148"/>
      <c r="X5" s="148"/>
      <c r="Y5" s="148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1</v>
      </c>
      <c r="G6" s="62" t="s">
        <v>52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48"/>
      <c r="U6" s="148"/>
      <c r="V6" s="148"/>
      <c r="W6" s="148"/>
      <c r="X6" s="148"/>
      <c r="Y6" s="148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8"/>
      <c r="U7" s="148"/>
      <c r="V7" s="148"/>
      <c r="W7" s="148"/>
      <c r="X7" s="148"/>
      <c r="Y7" s="148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8"/>
      <c r="U9" s="148"/>
      <c r="V9" s="148"/>
      <c r="W9" s="148"/>
      <c r="X9" s="148"/>
      <c r="Y9" s="148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8"/>
      <c r="U13" s="148"/>
      <c r="V13" s="148"/>
      <c r="W13" s="148"/>
      <c r="X13" s="148"/>
      <c r="Y13" s="148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8"/>
      <c r="U14" s="148"/>
      <c r="V14" s="148"/>
      <c r="W14" s="148"/>
      <c r="X14" s="148"/>
      <c r="Y14" s="148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8"/>
      <c r="U15" s="148"/>
      <c r="V15" s="148"/>
      <c r="W15" s="148"/>
      <c r="X15" s="148"/>
      <c r="Y15" s="148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8"/>
      <c r="U17" s="148"/>
      <c r="V17" s="148"/>
      <c r="W17" s="148"/>
      <c r="X17" s="148"/>
      <c r="Y17" s="148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8"/>
      <c r="U18" s="148"/>
      <c r="V18" s="148"/>
      <c r="W18" s="148"/>
      <c r="X18" s="148"/>
      <c r="Y18" s="148"/>
    </row>
    <row r="19" spans="1:28" ht="18" customHeight="1">
      <c r="A19" s="46" t="s">
        <v>69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1</v>
      </c>
      <c r="G20" s="62" t="s">
        <v>52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8"/>
      <c r="U20" s="148"/>
      <c r="V20" s="148"/>
      <c r="W20" s="148"/>
      <c r="X20" s="148"/>
      <c r="Y20" s="148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2</v>
      </c>
      <c r="G21" s="102" t="s">
        <v>53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8"/>
      <c r="U21" s="148"/>
      <c r="V21" s="148"/>
      <c r="W21" s="148"/>
      <c r="X21" s="148"/>
      <c r="Y21" s="148"/>
    </row>
    <row r="22" spans="1:28" ht="18" customHeight="1">
      <c r="A22" s="46" t="s">
        <v>70</v>
      </c>
      <c r="B22" s="88">
        <v>1</v>
      </c>
      <c r="C22" s="62" t="s">
        <v>52</v>
      </c>
      <c r="D22" s="63"/>
      <c r="E22" s="62"/>
      <c r="F22" s="88">
        <v>1</v>
      </c>
      <c r="G22" s="62" t="s">
        <v>52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8"/>
      <c r="U22" s="148"/>
      <c r="V22" s="148"/>
      <c r="W22" s="148"/>
      <c r="X22" s="148"/>
      <c r="Y22" s="148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8"/>
      <c r="U23" s="148"/>
      <c r="V23" s="148"/>
      <c r="W23" s="148"/>
      <c r="X23" s="148"/>
      <c r="Y23" s="148"/>
    </row>
    <row r="24" spans="1:28" ht="20.25">
      <c r="A24" s="46" t="s">
        <v>95</v>
      </c>
      <c r="B24" s="88">
        <v>2</v>
      </c>
      <c r="C24" s="102" t="s">
        <v>53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8">
        <v>8</v>
      </c>
      <c r="C26" s="96" t="s">
        <v>46</v>
      </c>
      <c r="D26" s="98"/>
      <c r="E26" s="96" t="s">
        <v>46</v>
      </c>
      <c r="F26" s="98">
        <v>17</v>
      </c>
      <c r="G26" s="96" t="s">
        <v>46</v>
      </c>
      <c r="H26" s="100"/>
      <c r="I26" s="101"/>
      <c r="J26" s="98">
        <v>19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13</v>
      </c>
      <c r="C27" s="96" t="s">
        <v>47</v>
      </c>
      <c r="D27" s="98"/>
      <c r="E27" s="96" t="s">
        <v>47</v>
      </c>
      <c r="F27" s="98">
        <v>4</v>
      </c>
      <c r="G27" s="96" t="s">
        <v>47</v>
      </c>
      <c r="H27" s="100"/>
      <c r="I27" s="96"/>
      <c r="J27" s="98">
        <v>2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23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 t="s">
        <v>49</v>
      </c>
      <c r="V34" s="12"/>
      <c r="W34" s="12"/>
    </row>
    <row r="35" spans="1:23" ht="18">
      <c r="A35" s="34" t="s">
        <v>68</v>
      </c>
      <c r="V35" s="12"/>
      <c r="W35" s="12"/>
    </row>
    <row r="36" spans="1:23" ht="18">
      <c r="A36" s="34" t="s">
        <v>59</v>
      </c>
      <c r="V36" s="32"/>
      <c r="W36" s="12"/>
    </row>
    <row r="37" spans="1:23" ht="18">
      <c r="A37" s="34" t="s">
        <v>95</v>
      </c>
      <c r="V37" s="12"/>
      <c r="W37" s="12"/>
    </row>
    <row r="38" spans="1:23" ht="18">
      <c r="A38" s="34" t="s">
        <v>56</v>
      </c>
      <c r="V38" s="12"/>
      <c r="W38" s="12"/>
    </row>
    <row r="39" spans="1:23" ht="18">
      <c r="A39" s="34" t="s">
        <v>24</v>
      </c>
      <c r="V39" s="12"/>
      <c r="W39" s="12"/>
    </row>
    <row r="40" spans="1:23" ht="18">
      <c r="A40" s="34" t="s">
        <v>26</v>
      </c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58</v>
      </c>
      <c r="V42" s="12"/>
      <c r="W42" s="12"/>
    </row>
    <row r="43" spans="1:23" ht="18">
      <c r="A43" s="34" t="s">
        <v>69</v>
      </c>
      <c r="V43" s="12"/>
      <c r="W43" s="12"/>
    </row>
    <row r="44" spans="1:23" ht="18">
      <c r="A44" s="34" t="s">
        <v>25</v>
      </c>
      <c r="V44" s="12"/>
      <c r="W44" s="12"/>
    </row>
    <row r="45" spans="1:23" ht="18">
      <c r="A45" s="34" t="s">
        <v>61</v>
      </c>
      <c r="V45" s="12"/>
      <c r="W45" s="12"/>
    </row>
    <row r="46" spans="1:23" ht="18">
      <c r="A46" s="34"/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68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I39"/>
  <sheetViews>
    <sheetView workbookViewId="0">
      <pane xSplit="1" topLeftCell="B1" activePane="topRight" state="frozen"/>
      <selection pane="topRight" activeCell="AJ13" sqref="AJ13"/>
    </sheetView>
  </sheetViews>
  <sheetFormatPr defaultColWidth="9.140625" defaultRowHeight="12.75"/>
  <cols>
    <col min="1" max="1" width="47.7109375" style="22" customWidth="1"/>
    <col min="2" max="19" width="23.7109375" style="22" customWidth="1"/>
    <col min="20" max="20" width="19" style="22" customWidth="1"/>
    <col min="21" max="21" width="26.28515625" style="22" customWidth="1"/>
    <col min="22" max="22" width="22.140625" style="22" customWidth="1"/>
    <col min="23" max="35" width="22.7109375" style="22" customWidth="1"/>
    <col min="36" max="16384" width="9.140625" style="22"/>
  </cols>
  <sheetData>
    <row r="1" spans="1:35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35" ht="15">
      <c r="A2" s="76" t="s">
        <v>98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35" ht="17.25" customHeight="1">
      <c r="A3" s="76" t="s">
        <v>99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35" ht="63" customHeight="1">
      <c r="A4" s="51" t="str">
        <f>'[1]MOÇÃO E REQUERIMENTO'!B7</f>
        <v>EXPEDIENTE</v>
      </c>
      <c r="B4" s="50" t="s">
        <v>45</v>
      </c>
      <c r="C4" s="117" t="s">
        <v>100</v>
      </c>
      <c r="D4" s="117" t="s">
        <v>101</v>
      </c>
      <c r="E4" s="117" t="s">
        <v>102</v>
      </c>
      <c r="F4" s="117" t="s">
        <v>103</v>
      </c>
      <c r="G4" s="117" t="s">
        <v>104</v>
      </c>
      <c r="H4" s="117" t="s">
        <v>105</v>
      </c>
      <c r="I4" s="117" t="s">
        <v>106</v>
      </c>
      <c r="J4" s="117" t="s">
        <v>107</v>
      </c>
      <c r="K4" s="117" t="s">
        <v>108</v>
      </c>
      <c r="L4" s="117" t="s">
        <v>109</v>
      </c>
      <c r="M4" s="117" t="s">
        <v>110</v>
      </c>
      <c r="N4" s="117" t="s">
        <v>111</v>
      </c>
      <c r="O4" s="117" t="s">
        <v>112</v>
      </c>
      <c r="P4" s="117" t="s">
        <v>113</v>
      </c>
      <c r="Q4" s="117" t="s">
        <v>114</v>
      </c>
      <c r="R4" s="117" t="s">
        <v>115</v>
      </c>
      <c r="S4" s="117" t="s">
        <v>116</v>
      </c>
      <c r="T4" s="112" t="s">
        <v>34</v>
      </c>
      <c r="U4" s="124"/>
      <c r="V4" s="50" t="s">
        <v>27</v>
      </c>
      <c r="W4" s="84" t="s">
        <v>117</v>
      </c>
      <c r="X4" s="84" t="s">
        <v>118</v>
      </c>
      <c r="Y4" s="84" t="s">
        <v>119</v>
      </c>
      <c r="Z4" s="84" t="s">
        <v>96</v>
      </c>
      <c r="AA4" s="84" t="s">
        <v>120</v>
      </c>
      <c r="AB4" s="84" t="s">
        <v>121</v>
      </c>
      <c r="AC4" s="84" t="s">
        <v>122</v>
      </c>
      <c r="AD4" s="84" t="s">
        <v>123</v>
      </c>
      <c r="AE4" s="84" t="s">
        <v>124</v>
      </c>
      <c r="AF4" s="84" t="s">
        <v>125</v>
      </c>
      <c r="AG4" s="84" t="s">
        <v>126</v>
      </c>
      <c r="AH4" s="84" t="s">
        <v>127</v>
      </c>
      <c r="AI4" s="84" t="s">
        <v>128</v>
      </c>
    </row>
    <row r="5" spans="1:35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113"/>
      <c r="W5" s="113" t="s">
        <v>65</v>
      </c>
      <c r="X5" s="113" t="s">
        <v>65</v>
      </c>
      <c r="Y5" s="113" t="s">
        <v>65</v>
      </c>
      <c r="Z5" s="113" t="s">
        <v>65</v>
      </c>
      <c r="AA5" s="113" t="s">
        <v>65</v>
      </c>
      <c r="AB5" s="118" t="s">
        <v>72</v>
      </c>
      <c r="AC5" s="113" t="s">
        <v>65</v>
      </c>
      <c r="AD5" s="113" t="s">
        <v>65</v>
      </c>
      <c r="AE5" s="118" t="s">
        <v>94</v>
      </c>
      <c r="AF5" s="113" t="s">
        <v>65</v>
      </c>
      <c r="AG5" s="113" t="s">
        <v>65</v>
      </c>
      <c r="AH5" s="113" t="s">
        <v>65</v>
      </c>
      <c r="AI5" s="118" t="s">
        <v>129</v>
      </c>
    </row>
    <row r="6" spans="1:35" ht="15.75">
      <c r="A6" s="127" t="s">
        <v>51</v>
      </c>
      <c r="V6" s="23"/>
    </row>
    <row r="7" spans="1:35" ht="15.75">
      <c r="A7" s="127" t="s">
        <v>68</v>
      </c>
      <c r="V7" s="23"/>
    </row>
    <row r="8" spans="1:35" ht="15.75">
      <c r="A8" s="127" t="s">
        <v>54</v>
      </c>
      <c r="V8" s="23"/>
    </row>
    <row r="9" spans="1:35" ht="15.75">
      <c r="A9" s="128" t="s">
        <v>55</v>
      </c>
      <c r="V9" s="23"/>
    </row>
    <row r="10" spans="1:35" ht="15.75">
      <c r="A10" s="127" t="s">
        <v>28</v>
      </c>
      <c r="V10" s="23"/>
    </row>
    <row r="11" spans="1:35" ht="15.75">
      <c r="A11" s="127" t="s">
        <v>56</v>
      </c>
      <c r="V11" s="23"/>
    </row>
    <row r="12" spans="1:35" ht="15.75">
      <c r="A12" s="127" t="s">
        <v>22</v>
      </c>
      <c r="V12" s="23"/>
    </row>
    <row r="13" spans="1:35" ht="15.75">
      <c r="A13" s="127" t="s">
        <v>23</v>
      </c>
      <c r="V13" s="23"/>
    </row>
    <row r="14" spans="1:35" ht="15.75">
      <c r="A14" s="127" t="s">
        <v>24</v>
      </c>
      <c r="V14" s="23"/>
    </row>
    <row r="15" spans="1:35" ht="15.75">
      <c r="A15" s="127" t="s">
        <v>57</v>
      </c>
      <c r="V15" s="23"/>
    </row>
    <row r="16" spans="1:35" ht="15.75">
      <c r="A16" s="127" t="s">
        <v>58</v>
      </c>
      <c r="V16" s="23"/>
    </row>
    <row r="17" spans="1:22" ht="15.75">
      <c r="A17" s="127" t="s">
        <v>59</v>
      </c>
      <c r="V17" s="23"/>
    </row>
    <row r="18" spans="1:22" ht="15.75">
      <c r="A18" s="127" t="s">
        <v>25</v>
      </c>
      <c r="V18" s="23"/>
    </row>
    <row r="19" spans="1:22" ht="15.75">
      <c r="A19" s="127" t="s">
        <v>60</v>
      </c>
      <c r="V19" s="23"/>
    </row>
    <row r="20" spans="1:22" ht="15.75">
      <c r="A20" s="127" t="s">
        <v>69</v>
      </c>
      <c r="V20" s="23"/>
    </row>
    <row r="21" spans="1:22" ht="15.75">
      <c r="A21" s="127" t="s">
        <v>26</v>
      </c>
      <c r="V21" s="23"/>
    </row>
    <row r="22" spans="1:22" ht="15.75">
      <c r="A22" s="127" t="s">
        <v>61</v>
      </c>
      <c r="V22" s="23"/>
    </row>
    <row r="23" spans="1:22" ht="15.75">
      <c r="A23" s="127" t="s">
        <v>70</v>
      </c>
      <c r="V23" s="23"/>
    </row>
    <row r="24" spans="1:22" ht="15.75">
      <c r="A24" s="127" t="s">
        <v>49</v>
      </c>
      <c r="V24" s="23"/>
    </row>
    <row r="25" spans="1:22" ht="15.75">
      <c r="A25" s="127" t="s">
        <v>95</v>
      </c>
      <c r="V25" s="23"/>
    </row>
    <row r="26" spans="1:22" ht="15.75">
      <c r="A26" s="127" t="s">
        <v>62</v>
      </c>
      <c r="V26" s="23"/>
    </row>
    <row r="27" spans="1:22" s="25" customFormat="1">
      <c r="A27" s="24" t="s">
        <v>18</v>
      </c>
    </row>
    <row r="28" spans="1:22" s="27" customFormat="1">
      <c r="A28" s="26" t="s">
        <v>19</v>
      </c>
    </row>
    <row r="29" spans="1:22">
      <c r="A29" s="28" t="s">
        <v>11</v>
      </c>
    </row>
    <row r="30" spans="1:22" s="30" customFormat="1">
      <c r="A30" s="29" t="s">
        <v>20</v>
      </c>
    </row>
    <row r="32" spans="1:2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98</v>
      </c>
      <c r="B2" s="49"/>
      <c r="C2" s="74"/>
    </row>
    <row r="3" spans="1:46" ht="17.25" customHeight="1">
      <c r="A3" s="76" t="s">
        <v>99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31</v>
      </c>
      <c r="C4" s="142"/>
      <c r="D4" s="109" t="s">
        <v>6</v>
      </c>
      <c r="E4" s="140" t="s">
        <v>97</v>
      </c>
      <c r="F4" s="140" t="s">
        <v>130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37</v>
      </c>
      <c r="B5" s="78"/>
      <c r="C5" s="113"/>
      <c r="D5" s="79"/>
      <c r="E5" s="113" t="s">
        <v>131</v>
      </c>
      <c r="F5" s="113" t="s">
        <v>71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51</v>
      </c>
      <c r="C6" s="107"/>
      <c r="E6" s="107"/>
      <c r="F6" s="107" t="s">
        <v>66</v>
      </c>
    </row>
    <row r="7" spans="1:46" ht="20.25">
      <c r="A7" s="46" t="s">
        <v>68</v>
      </c>
      <c r="C7" s="107"/>
      <c r="E7" s="107"/>
      <c r="F7" s="107" t="s">
        <v>66</v>
      </c>
    </row>
    <row r="8" spans="1:46" ht="20.25">
      <c r="A8" s="46" t="s">
        <v>54</v>
      </c>
      <c r="C8" s="107"/>
      <c r="E8" s="107"/>
      <c r="F8" s="107" t="s">
        <v>66</v>
      </c>
    </row>
    <row r="9" spans="1:46" ht="20.25">
      <c r="A9" s="82" t="s">
        <v>55</v>
      </c>
      <c r="C9" s="114"/>
      <c r="E9" s="114"/>
      <c r="F9" s="107" t="s">
        <v>66</v>
      </c>
    </row>
    <row r="10" spans="1:46" ht="20.25">
      <c r="A10" s="46" t="s">
        <v>28</v>
      </c>
      <c r="C10" s="107"/>
      <c r="E10" s="107"/>
      <c r="F10" s="107" t="s">
        <v>66</v>
      </c>
    </row>
    <row r="11" spans="1:46" ht="20.25">
      <c r="A11" s="46" t="s">
        <v>56</v>
      </c>
      <c r="C11" s="107"/>
      <c r="E11" s="107"/>
      <c r="F11" s="107" t="s">
        <v>66</v>
      </c>
    </row>
    <row r="12" spans="1:46" ht="20.25">
      <c r="A12" s="46" t="s">
        <v>22</v>
      </c>
      <c r="C12" s="107"/>
      <c r="E12" s="107"/>
      <c r="F12" s="107" t="s">
        <v>66</v>
      </c>
    </row>
    <row r="13" spans="1:46" ht="20.25">
      <c r="A13" s="46" t="s">
        <v>23</v>
      </c>
      <c r="C13" s="107"/>
      <c r="E13" s="107"/>
      <c r="F13" s="114" t="s">
        <v>53</v>
      </c>
    </row>
    <row r="14" spans="1:46" ht="20.25">
      <c r="A14" s="46" t="s">
        <v>24</v>
      </c>
      <c r="C14" s="107"/>
      <c r="E14" s="107"/>
      <c r="F14" s="107" t="s">
        <v>66</v>
      </c>
    </row>
    <row r="15" spans="1:46" ht="20.25">
      <c r="A15" s="46" t="s">
        <v>57</v>
      </c>
      <c r="C15" s="114"/>
      <c r="E15" s="107"/>
      <c r="F15" s="107" t="s">
        <v>66</v>
      </c>
    </row>
    <row r="16" spans="1:46" ht="20.25">
      <c r="A16" s="46" t="s">
        <v>58</v>
      </c>
      <c r="C16" s="107"/>
      <c r="E16" s="107"/>
      <c r="F16" s="107" t="s">
        <v>66</v>
      </c>
    </row>
    <row r="17" spans="1:131" ht="20.25">
      <c r="A17" s="46" t="s">
        <v>59</v>
      </c>
      <c r="C17" s="114"/>
      <c r="E17" s="107"/>
      <c r="F17" s="107" t="s">
        <v>66</v>
      </c>
    </row>
    <row r="18" spans="1:131" ht="20.25">
      <c r="A18" s="46" t="s">
        <v>25</v>
      </c>
      <c r="C18" s="107"/>
      <c r="E18" s="107"/>
      <c r="F18" s="107" t="s">
        <v>66</v>
      </c>
    </row>
    <row r="19" spans="1:131" ht="20.25">
      <c r="A19" s="46" t="s">
        <v>60</v>
      </c>
      <c r="C19" s="107"/>
      <c r="E19" s="107"/>
      <c r="F19" s="107" t="s">
        <v>66</v>
      </c>
    </row>
    <row r="20" spans="1:131" ht="20.25">
      <c r="A20" s="46" t="s">
        <v>69</v>
      </c>
      <c r="C20" s="114"/>
      <c r="E20" s="114"/>
      <c r="F20" s="107" t="s">
        <v>66</v>
      </c>
    </row>
    <row r="21" spans="1:131" ht="20.25">
      <c r="A21" s="46" t="s">
        <v>26</v>
      </c>
      <c r="C21" s="114"/>
      <c r="E21" s="107"/>
      <c r="F21" s="107" t="s">
        <v>66</v>
      </c>
    </row>
    <row r="22" spans="1:131" ht="20.25">
      <c r="A22" s="46" t="s">
        <v>61</v>
      </c>
      <c r="C22" s="107"/>
      <c r="E22" s="107"/>
      <c r="F22" s="107" t="s">
        <v>66</v>
      </c>
    </row>
    <row r="23" spans="1:131" ht="20.25">
      <c r="A23" s="46" t="s">
        <v>70</v>
      </c>
      <c r="C23" s="107"/>
      <c r="E23" s="107"/>
      <c r="F23" s="107" t="s">
        <v>66</v>
      </c>
    </row>
    <row r="24" spans="1:131" ht="20.25">
      <c r="A24" s="46" t="s">
        <v>49</v>
      </c>
      <c r="C24" s="107"/>
      <c r="E24" s="107"/>
      <c r="F24" s="107" t="s">
        <v>66</v>
      </c>
    </row>
    <row r="25" spans="1:131" ht="20.25">
      <c r="A25" s="46" t="s">
        <v>95</v>
      </c>
      <c r="C25" s="107"/>
      <c r="E25" s="107"/>
      <c r="F25" s="107" t="s">
        <v>66</v>
      </c>
    </row>
    <row r="26" spans="1:131" ht="20.25">
      <c r="A26" s="46" t="s">
        <v>62</v>
      </c>
      <c r="C26" s="107"/>
      <c r="E26" s="107"/>
      <c r="F26" s="107" t="s">
        <v>66</v>
      </c>
    </row>
    <row r="27" spans="1:131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F27" si="1">COUNTIF(E6:E26,"sim")</f>
        <v>0</v>
      </c>
      <c r="F27" s="103">
        <f t="shared" si="1"/>
        <v>20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:F28" si="3">COUNTIF(E6:E26,"não")</f>
        <v>0</v>
      </c>
      <c r="F28" s="104">
        <f t="shared" si="3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 t="shared" ref="C29" si="4">COUNTIF(C6:C26,"ausente")</f>
        <v>0</v>
      </c>
      <c r="E29" s="40">
        <f t="shared" ref="E29:F29" si="5">COUNTIF(E6:E26,"ausente")</f>
        <v>0</v>
      </c>
      <c r="F29" s="40">
        <f t="shared" si="5"/>
        <v>1</v>
      </c>
    </row>
    <row r="30" spans="1:131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:F30" si="7">COUNTIF(E6:E26,"abstenção")</f>
        <v>0</v>
      </c>
      <c r="F30" s="105">
        <f t="shared" si="7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V37"/>
  <sheetViews>
    <sheetView zoomScale="90" zoomScaleNormal="90" workbookViewId="0">
      <pane xSplit="1" topLeftCell="B1" activePane="topRight" state="frozen"/>
      <selection pane="topRight" activeCell="H5" sqref="H5"/>
    </sheetView>
  </sheetViews>
  <sheetFormatPr defaultRowHeight="15"/>
  <cols>
    <col min="1" max="1" width="46.85546875" customWidth="1"/>
    <col min="2" max="6" width="30.42578125" customWidth="1"/>
    <col min="7" max="7" width="17.42578125" customWidth="1"/>
    <col min="8" max="8" width="16.85546875" customWidth="1"/>
    <col min="9" max="9" width="29.85546875" customWidth="1"/>
    <col min="10" max="10" width="29.28515625" customWidth="1"/>
    <col min="11" max="11" width="25.7109375" customWidth="1"/>
    <col min="12" max="12" width="28" customWidth="1"/>
    <col min="13" max="13" width="28.140625" customWidth="1"/>
    <col min="14" max="14" width="30.5703125" customWidth="1"/>
    <col min="15" max="15" width="26.7109375" customWidth="1"/>
    <col min="16" max="17" width="29.28515625" customWidth="1"/>
    <col min="18" max="18" width="29.42578125" customWidth="1"/>
    <col min="19" max="20" width="28.7109375" customWidth="1"/>
    <col min="21" max="21" width="28.140625" customWidth="1"/>
    <col min="22" max="22" width="25.7109375" customWidth="1"/>
    <col min="23" max="23" width="21.28515625" customWidth="1"/>
    <col min="24" max="24" width="19.5703125" customWidth="1"/>
    <col min="25" max="25" width="18.28515625" customWidth="1"/>
    <col min="26" max="26" width="17.28515625" customWidth="1"/>
    <col min="27" max="27" width="18.140625" customWidth="1"/>
    <col min="28" max="28" width="22" customWidth="1"/>
    <col min="29" max="29" width="16.140625" customWidth="1"/>
    <col min="30" max="30" width="18" customWidth="1"/>
    <col min="32" max="32" width="18.28515625" customWidth="1"/>
  </cols>
  <sheetData>
    <row r="1" spans="1:32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2">
      <c r="A2" s="76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32" ht="18" customHeight="1" thickBot="1">
      <c r="A3" s="76" t="s">
        <v>99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32" ht="90.6" customHeight="1" thickBot="1">
      <c r="A4" s="120" t="s">
        <v>5</v>
      </c>
      <c r="B4" s="119" t="s">
        <v>7</v>
      </c>
      <c r="C4" s="139" t="s">
        <v>132</v>
      </c>
      <c r="D4" s="139" t="s">
        <v>133</v>
      </c>
      <c r="E4" s="139" t="s">
        <v>134</v>
      </c>
      <c r="F4" s="139" t="s">
        <v>135</v>
      </c>
      <c r="G4" s="60"/>
      <c r="H4" s="60"/>
      <c r="I4" s="60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13"/>
      <c r="X4" s="13"/>
      <c r="Y4" s="13"/>
      <c r="Z4" s="13"/>
      <c r="AA4" s="13"/>
      <c r="AB4" s="9"/>
      <c r="AC4" s="9"/>
      <c r="AD4" s="9"/>
      <c r="AF4" s="8"/>
    </row>
    <row r="5" spans="1:32" s="77" customFormat="1" ht="51.75" customHeight="1">
      <c r="B5" s="75"/>
      <c r="C5" s="149" t="s">
        <v>131</v>
      </c>
      <c r="D5" s="149" t="s">
        <v>131</v>
      </c>
      <c r="E5" s="149" t="s">
        <v>131</v>
      </c>
      <c r="F5" s="143" t="s">
        <v>136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AC5" s="75"/>
      <c r="AD5" s="75"/>
    </row>
    <row r="6" spans="1:32" ht="18">
      <c r="A6" s="129" t="s">
        <v>51</v>
      </c>
      <c r="C6" s="107"/>
      <c r="D6" s="107"/>
      <c r="E6" s="107"/>
      <c r="F6" s="107"/>
      <c r="X6" s="7"/>
      <c r="Y6" s="7"/>
    </row>
    <row r="7" spans="1:32" ht="18">
      <c r="A7" s="129" t="s">
        <v>68</v>
      </c>
      <c r="C7" s="114"/>
      <c r="D7" s="114"/>
      <c r="E7" s="114"/>
      <c r="F7" s="114"/>
      <c r="X7" s="7"/>
      <c r="Y7" s="7"/>
    </row>
    <row r="8" spans="1:32" ht="18">
      <c r="A8" s="129" t="s">
        <v>54</v>
      </c>
      <c r="C8" s="107"/>
      <c r="D8" s="107"/>
      <c r="E8" s="107"/>
      <c r="F8" s="107"/>
      <c r="X8" s="7"/>
      <c r="Y8" s="7"/>
    </row>
    <row r="9" spans="1:32" ht="18">
      <c r="A9" s="130" t="s">
        <v>55</v>
      </c>
      <c r="C9" s="114"/>
      <c r="D9" s="114"/>
      <c r="E9" s="114"/>
      <c r="F9" s="114"/>
      <c r="X9" s="7"/>
      <c r="Y9" s="7"/>
    </row>
    <row r="10" spans="1:32" ht="18">
      <c r="A10" s="129" t="s">
        <v>28</v>
      </c>
      <c r="C10" s="107"/>
      <c r="D10" s="107"/>
      <c r="E10" s="107"/>
      <c r="F10" s="107"/>
      <c r="X10" s="7"/>
      <c r="Y10" s="7"/>
    </row>
    <row r="11" spans="1:32" ht="18">
      <c r="A11" s="129" t="s">
        <v>56</v>
      </c>
      <c r="C11" s="107"/>
      <c r="D11" s="107"/>
      <c r="E11" s="107"/>
      <c r="F11" s="107"/>
      <c r="X11" s="7"/>
      <c r="Y11" s="7"/>
    </row>
    <row r="12" spans="1:32" ht="18">
      <c r="A12" s="129" t="s">
        <v>22</v>
      </c>
      <c r="C12" s="107"/>
      <c r="D12" s="107"/>
      <c r="E12" s="107"/>
      <c r="F12" s="107"/>
      <c r="X12" s="7"/>
      <c r="Y12" s="7"/>
    </row>
    <row r="13" spans="1:32" ht="18">
      <c r="A13" s="129" t="s">
        <v>23</v>
      </c>
      <c r="C13" s="114"/>
      <c r="D13" s="114"/>
      <c r="E13" s="114"/>
      <c r="F13" s="114"/>
      <c r="X13" s="7"/>
      <c r="Y13" s="7"/>
    </row>
    <row r="14" spans="1:32" ht="18">
      <c r="A14" s="129" t="s">
        <v>24</v>
      </c>
      <c r="C14" s="107"/>
      <c r="D14" s="107"/>
      <c r="E14" s="107"/>
      <c r="F14" s="107"/>
      <c r="X14" s="7"/>
      <c r="Y14" s="7"/>
    </row>
    <row r="15" spans="1:32" ht="18">
      <c r="A15" s="129" t="s">
        <v>57</v>
      </c>
      <c r="C15" s="114"/>
      <c r="D15" s="114"/>
      <c r="E15" s="114"/>
      <c r="F15" s="114"/>
      <c r="X15" s="7"/>
      <c r="Y15" s="7"/>
    </row>
    <row r="16" spans="1:32" ht="18">
      <c r="A16" s="129" t="s">
        <v>58</v>
      </c>
      <c r="C16" s="107"/>
      <c r="D16" s="107"/>
      <c r="E16" s="107"/>
      <c r="F16" s="107"/>
      <c r="X16" s="7"/>
      <c r="Y16" s="7"/>
    </row>
    <row r="17" spans="1:126" ht="15" customHeight="1">
      <c r="A17" s="129" t="s">
        <v>59</v>
      </c>
      <c r="C17" s="141"/>
      <c r="D17" s="141"/>
      <c r="E17" s="141"/>
      <c r="F17" s="141"/>
      <c r="W17" s="8"/>
      <c r="X17" s="7"/>
      <c r="Y17" s="7"/>
    </row>
    <row r="18" spans="1:126" ht="18">
      <c r="A18" s="129" t="s">
        <v>25</v>
      </c>
      <c r="C18" s="107"/>
      <c r="D18" s="107"/>
      <c r="E18" s="107"/>
      <c r="F18" s="107"/>
      <c r="X18" s="7"/>
      <c r="Y18" s="7"/>
    </row>
    <row r="19" spans="1:126" ht="18">
      <c r="A19" s="129" t="s">
        <v>60</v>
      </c>
      <c r="C19" s="107"/>
      <c r="D19" s="107"/>
      <c r="E19" s="107"/>
      <c r="F19" s="107"/>
      <c r="X19" s="7"/>
      <c r="Y19" s="7"/>
    </row>
    <row r="20" spans="1:126" ht="18">
      <c r="A20" s="129" t="s">
        <v>69</v>
      </c>
      <c r="C20" s="114"/>
      <c r="D20" s="114"/>
      <c r="E20" s="114"/>
      <c r="F20" s="114"/>
      <c r="X20" s="7"/>
      <c r="Y20" s="7"/>
    </row>
    <row r="21" spans="1:126" ht="18">
      <c r="A21" s="129" t="s">
        <v>26</v>
      </c>
      <c r="C21" s="107"/>
      <c r="D21" s="107"/>
      <c r="E21" s="107"/>
      <c r="F21" s="107"/>
      <c r="X21" s="7"/>
      <c r="Y21" s="7"/>
    </row>
    <row r="22" spans="1:126" ht="18">
      <c r="A22" s="129" t="s">
        <v>61</v>
      </c>
      <c r="C22" s="107"/>
      <c r="D22" s="107"/>
      <c r="E22" s="107"/>
      <c r="F22" s="107"/>
      <c r="X22" s="7"/>
      <c r="Y22" s="7"/>
    </row>
    <row r="23" spans="1:126" ht="18">
      <c r="A23" s="129" t="s">
        <v>70</v>
      </c>
      <c r="C23" s="107"/>
      <c r="D23" s="107"/>
      <c r="E23" s="107"/>
      <c r="F23" s="107"/>
      <c r="X23" s="7"/>
      <c r="Y23" s="7"/>
    </row>
    <row r="24" spans="1:126" ht="18">
      <c r="A24" s="129" t="s">
        <v>49</v>
      </c>
      <c r="C24" s="107"/>
      <c r="D24" s="107"/>
      <c r="E24" s="107"/>
      <c r="F24" s="107"/>
      <c r="X24" s="7"/>
      <c r="Y24" s="7"/>
    </row>
    <row r="25" spans="1:126" ht="18">
      <c r="A25" s="129" t="s">
        <v>95</v>
      </c>
      <c r="C25" s="107"/>
      <c r="D25" s="107"/>
      <c r="E25" s="107"/>
      <c r="F25" s="107"/>
      <c r="X25" s="7"/>
      <c r="Y25" s="7"/>
    </row>
    <row r="26" spans="1:126" ht="18">
      <c r="A26" s="129" t="s">
        <v>62</v>
      </c>
      <c r="C26" s="114"/>
      <c r="D26" s="114"/>
      <c r="E26" s="114"/>
      <c r="F26" s="114"/>
      <c r="X26" s="7"/>
      <c r="Y26" s="7"/>
    </row>
    <row r="27" spans="1:126" s="16" customFormat="1" ht="15.75">
      <c r="A27" s="15" t="s">
        <v>18</v>
      </c>
      <c r="B27" s="16">
        <f t="shared" ref="B27:F27" si="0">COUNTIF(B6:B26,"sim")</f>
        <v>0</v>
      </c>
      <c r="C27" s="103">
        <f t="shared" si="0"/>
        <v>0</v>
      </c>
      <c r="D27" s="103">
        <f t="shared" si="0"/>
        <v>0</v>
      </c>
      <c r="E27" s="103">
        <f t="shared" si="0"/>
        <v>0</v>
      </c>
      <c r="F27" s="103">
        <f t="shared" si="0"/>
        <v>0</v>
      </c>
      <c r="M27" s="16">
        <f t="shared" ref="M27:AR27" si="1">COUNTIF(M6:M26,"sim")</f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si="1"/>
        <v>0</v>
      </c>
      <c r="AR27" s="16">
        <f t="shared" si="1"/>
        <v>0</v>
      </c>
      <c r="AS27" s="16">
        <f t="shared" ref="AS27:BX27" si="2">COUNTIF(AS6:AS26,"sim")</f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si="2"/>
        <v>0</v>
      </c>
      <c r="BX27" s="16">
        <f t="shared" si="2"/>
        <v>0</v>
      </c>
      <c r="BY27" s="16">
        <f t="shared" ref="BY27:DD27" si="3">COUNTIF(BY6:BY26,"sim")</f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si="3"/>
        <v>0</v>
      </c>
      <c r="DD27" s="16">
        <f t="shared" si="3"/>
        <v>0</v>
      </c>
      <c r="DE27" s="16">
        <f t="shared" ref="DE27:DV27" si="4">COUNTIF(DE6:DE26,"sim")</f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  <c r="DU27" s="16">
        <f t="shared" si="4"/>
        <v>0</v>
      </c>
      <c r="DV27" s="16">
        <f t="shared" si="4"/>
        <v>0</v>
      </c>
    </row>
    <row r="28" spans="1:126" s="18" customFormat="1" ht="15.75">
      <c r="A28" s="17" t="s">
        <v>19</v>
      </c>
      <c r="B28" s="18">
        <f t="shared" ref="B28:F28" si="5">COUNTIF(B6:B26,"não")</f>
        <v>0</v>
      </c>
      <c r="C28" s="104">
        <f t="shared" si="5"/>
        <v>0</v>
      </c>
      <c r="D28" s="104">
        <f t="shared" si="5"/>
        <v>0</v>
      </c>
      <c r="E28" s="104">
        <f t="shared" si="5"/>
        <v>0</v>
      </c>
      <c r="F28" s="104">
        <f t="shared" si="5"/>
        <v>0</v>
      </c>
      <c r="M28" s="18">
        <f t="shared" ref="M28:AR28" si="6">COUNTIF(M6:M27,"não")</f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si="6"/>
        <v>0</v>
      </c>
      <c r="AR28" s="18">
        <f t="shared" si="6"/>
        <v>0</v>
      </c>
      <c r="AS28" s="18">
        <f t="shared" ref="AS28:BX28" si="7">COUNTIF(AS6:AS27,"não")</f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si="7"/>
        <v>0</v>
      </c>
      <c r="BX28" s="18">
        <f t="shared" si="7"/>
        <v>0</v>
      </c>
      <c r="BY28" s="18">
        <f t="shared" ref="BY28:DD28" si="8">COUNTIF(BY6:BY27,"não")</f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si="8"/>
        <v>0</v>
      </c>
      <c r="DD28" s="18">
        <f t="shared" si="8"/>
        <v>0</v>
      </c>
      <c r="DE28" s="18">
        <f t="shared" ref="DE28:DV28" si="9">COUNTIF(DE6:DE27,"não")</f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  <c r="DU28" s="18">
        <f t="shared" si="9"/>
        <v>0</v>
      </c>
      <c r="DV28" s="18">
        <f t="shared" si="9"/>
        <v>0</v>
      </c>
    </row>
    <row r="29" spans="1:126" ht="15.75">
      <c r="A29" s="14" t="s">
        <v>11</v>
      </c>
      <c r="B29">
        <f t="shared" ref="B29:F29" si="10">COUNTIF(B6:B26,"ausente")</f>
        <v>0</v>
      </c>
      <c r="C29" s="40">
        <f t="shared" si="10"/>
        <v>0</v>
      </c>
      <c r="D29" s="40">
        <f t="shared" si="10"/>
        <v>0</v>
      </c>
      <c r="E29" s="40">
        <f t="shared" si="10"/>
        <v>0</v>
      </c>
      <c r="F29" s="40">
        <f t="shared" si="10"/>
        <v>0</v>
      </c>
      <c r="M29">
        <f t="shared" ref="M29:AR29" si="11">COUNTIF(M6:M28,"ausente")</f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ref="AS29:BX29" si="12">COUNTIF(AS6:AS28,"ausente")</f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ref="BY29:DD29" si="13">COUNTIF(BY6:BY28,"ausente")</f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ref="DE29:DV29" si="14">COUNTIF(DE6:DE28,"ausente")</f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</row>
    <row r="30" spans="1:126" s="20" customFormat="1" ht="15.75">
      <c r="A30" s="19" t="s">
        <v>20</v>
      </c>
      <c r="B30" s="20">
        <f t="shared" ref="B30:F30" si="15">COUNTIF(B6:B26,"abstenção")</f>
        <v>0</v>
      </c>
      <c r="C30" s="105">
        <f t="shared" si="15"/>
        <v>0</v>
      </c>
      <c r="D30" s="105">
        <f t="shared" si="15"/>
        <v>0</v>
      </c>
      <c r="E30" s="105">
        <f t="shared" si="15"/>
        <v>0</v>
      </c>
      <c r="F30" s="105">
        <f t="shared" si="15"/>
        <v>0</v>
      </c>
      <c r="M30" s="20">
        <f t="shared" ref="M30:AR30" si="16">COUNTIF(M10:M29,"abstenção")</f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si="16"/>
        <v>0</v>
      </c>
      <c r="AR30" s="20">
        <f t="shared" si="16"/>
        <v>0</v>
      </c>
      <c r="AS30" s="20">
        <f t="shared" ref="AS30:BK30" si="17">COUNTIF(AS10:AS29,"abstenção")</f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ref="BL30:DV30" si="18">COUNTIF(BL10:BL29,"abstenção")</f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  <c r="DT30" s="20">
        <f t="shared" si="18"/>
        <v>0</v>
      </c>
      <c r="DU30" s="20">
        <f t="shared" si="18"/>
        <v>0</v>
      </c>
      <c r="DV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tabSelected="1" workbookViewId="0">
      <pane xSplit="1" topLeftCell="B1" activePane="topRight" state="frozen"/>
      <selection pane="topRight" activeCell="I13" sqref="I13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98</v>
      </c>
      <c r="B2" s="2"/>
    </row>
    <row r="3" spans="1:5" ht="15.75" thickBot="1">
      <c r="A3" s="121" t="s">
        <v>99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137</v>
      </c>
      <c r="D4" s="139" t="s">
        <v>138</v>
      </c>
      <c r="E4" s="139" t="s">
        <v>139</v>
      </c>
    </row>
    <row r="5" spans="1:5" s="6" customFormat="1" ht="60.75" customHeight="1">
      <c r="A5" s="122"/>
      <c r="B5" s="111"/>
      <c r="C5" s="118" t="s">
        <v>72</v>
      </c>
      <c r="D5" s="113" t="s">
        <v>71</v>
      </c>
      <c r="E5" s="113" t="s">
        <v>71</v>
      </c>
    </row>
    <row r="6" spans="1:5" ht="15.75">
      <c r="A6" s="127" t="s">
        <v>51</v>
      </c>
      <c r="C6" s="107"/>
      <c r="D6" s="107" t="s">
        <v>66</v>
      </c>
      <c r="E6" s="107" t="s">
        <v>66</v>
      </c>
    </row>
    <row r="7" spans="1:5" ht="15.75">
      <c r="A7" s="127" t="s">
        <v>68</v>
      </c>
      <c r="C7" s="107"/>
      <c r="D7" s="107" t="s">
        <v>66</v>
      </c>
      <c r="E7" s="107" t="s">
        <v>66</v>
      </c>
    </row>
    <row r="8" spans="1:5" ht="15.75">
      <c r="A8" s="127" t="s">
        <v>54</v>
      </c>
      <c r="C8" s="107"/>
      <c r="D8" s="107" t="s">
        <v>66</v>
      </c>
      <c r="E8" s="107" t="s">
        <v>66</v>
      </c>
    </row>
    <row r="9" spans="1:5" ht="15.75">
      <c r="A9" s="128" t="s">
        <v>55</v>
      </c>
      <c r="C9" s="107"/>
      <c r="D9" s="107" t="s">
        <v>66</v>
      </c>
      <c r="E9" s="107" t="s">
        <v>66</v>
      </c>
    </row>
    <row r="10" spans="1:5" ht="15.75">
      <c r="A10" s="127" t="s">
        <v>28</v>
      </c>
      <c r="C10" s="114"/>
      <c r="D10" s="107" t="s">
        <v>66</v>
      </c>
      <c r="E10" s="107" t="s">
        <v>66</v>
      </c>
    </row>
    <row r="11" spans="1:5" ht="15.75">
      <c r="A11" s="127" t="s">
        <v>56</v>
      </c>
      <c r="C11" s="107"/>
      <c r="D11" s="107" t="s">
        <v>66</v>
      </c>
      <c r="E11" s="107" t="s">
        <v>66</v>
      </c>
    </row>
    <row r="12" spans="1:5" ht="15.75">
      <c r="A12" s="127" t="s">
        <v>22</v>
      </c>
      <c r="C12" s="107"/>
      <c r="D12" s="107" t="s">
        <v>66</v>
      </c>
      <c r="E12" s="107" t="s">
        <v>66</v>
      </c>
    </row>
    <row r="13" spans="1:5" ht="15.75">
      <c r="A13" s="127" t="s">
        <v>23</v>
      </c>
      <c r="B13" s="138"/>
      <c r="C13" s="114"/>
      <c r="D13" s="114" t="s">
        <v>53</v>
      </c>
      <c r="E13" s="114" t="s">
        <v>53</v>
      </c>
    </row>
    <row r="14" spans="1:5" ht="15.75">
      <c r="A14" s="127" t="s">
        <v>24</v>
      </c>
      <c r="C14" s="114"/>
      <c r="D14" s="107" t="s">
        <v>66</v>
      </c>
      <c r="E14" s="107" t="s">
        <v>66</v>
      </c>
    </row>
    <row r="15" spans="1:5" ht="15.75">
      <c r="A15" s="127" t="s">
        <v>57</v>
      </c>
      <c r="C15" s="107"/>
      <c r="D15" s="107" t="s">
        <v>66</v>
      </c>
      <c r="E15" s="107" t="s">
        <v>66</v>
      </c>
    </row>
    <row r="16" spans="1:5" ht="15.75">
      <c r="A16" s="127" t="s">
        <v>58</v>
      </c>
      <c r="C16" s="107"/>
      <c r="D16" s="107" t="s">
        <v>66</v>
      </c>
      <c r="E16" s="107" t="s">
        <v>66</v>
      </c>
    </row>
    <row r="17" spans="1:5" ht="15.75">
      <c r="A17" s="127" t="s">
        <v>59</v>
      </c>
      <c r="C17" s="107"/>
      <c r="D17" s="107" t="s">
        <v>66</v>
      </c>
      <c r="E17" s="107" t="s">
        <v>66</v>
      </c>
    </row>
    <row r="18" spans="1:5" ht="15.75">
      <c r="A18" s="127" t="s">
        <v>25</v>
      </c>
      <c r="C18" s="114"/>
      <c r="D18" s="114" t="s">
        <v>53</v>
      </c>
      <c r="E18" s="114" t="s">
        <v>53</v>
      </c>
    </row>
    <row r="19" spans="1:5" ht="15.75">
      <c r="A19" s="127" t="s">
        <v>60</v>
      </c>
      <c r="C19" s="107"/>
      <c r="D19" s="107" t="s">
        <v>66</v>
      </c>
      <c r="E19" s="107" t="s">
        <v>66</v>
      </c>
    </row>
    <row r="20" spans="1:5" ht="15.75">
      <c r="A20" s="127" t="s">
        <v>69</v>
      </c>
      <c r="C20" s="114"/>
      <c r="D20" s="107" t="s">
        <v>66</v>
      </c>
      <c r="E20" s="107" t="s">
        <v>66</v>
      </c>
    </row>
    <row r="21" spans="1:5" ht="15.75">
      <c r="A21" s="127" t="s">
        <v>26</v>
      </c>
      <c r="C21" s="107"/>
      <c r="D21" s="107" t="s">
        <v>66</v>
      </c>
      <c r="E21" s="107" t="s">
        <v>66</v>
      </c>
    </row>
    <row r="22" spans="1:5" ht="15.75">
      <c r="A22" s="127" t="s">
        <v>61</v>
      </c>
      <c r="C22" s="107"/>
      <c r="D22" s="107" t="s">
        <v>66</v>
      </c>
      <c r="E22" s="107" t="s">
        <v>66</v>
      </c>
    </row>
    <row r="23" spans="1:5" ht="15.75">
      <c r="A23" s="127" t="s">
        <v>70</v>
      </c>
      <c r="C23" s="107"/>
      <c r="D23" s="107" t="s">
        <v>66</v>
      </c>
      <c r="E23" s="107" t="s">
        <v>66</v>
      </c>
    </row>
    <row r="24" spans="1:5" ht="15.75">
      <c r="A24" s="127" t="s">
        <v>49</v>
      </c>
      <c r="C24" s="107"/>
      <c r="D24" s="107" t="s">
        <v>66</v>
      </c>
      <c r="E24" s="107" t="s">
        <v>66</v>
      </c>
    </row>
    <row r="25" spans="1:5" ht="15.75">
      <c r="A25" s="127" t="s">
        <v>95</v>
      </c>
      <c r="C25" s="107"/>
      <c r="D25" s="107" t="s">
        <v>66</v>
      </c>
      <c r="E25" s="107" t="s">
        <v>66</v>
      </c>
    </row>
    <row r="26" spans="1:5" ht="15.75">
      <c r="A26" s="127" t="s">
        <v>62</v>
      </c>
      <c r="C26" s="107"/>
      <c r="D26" s="107" t="s">
        <v>66</v>
      </c>
      <c r="E26" s="107" t="s">
        <v>66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  <c r="D28" s="103">
        <f t="shared" ref="D28" si="1">COUNTIF(D6:D26,"sim")</f>
        <v>19</v>
      </c>
      <c r="E28" s="103">
        <f t="shared" ref="E28" si="2">COUNTIF(E6:E26,"sim")</f>
        <v>19</v>
      </c>
    </row>
    <row r="29" spans="1:5" ht="15.75">
      <c r="A29" s="17" t="s">
        <v>19</v>
      </c>
      <c r="B29" s="18">
        <f>COUNTIF(B6:B26,"não")</f>
        <v>0</v>
      </c>
      <c r="C29" s="104">
        <f t="shared" ref="C29" si="3">COUNTIF(C6:C26,"não")</f>
        <v>0</v>
      </c>
      <c r="D29" s="104">
        <f t="shared" ref="D29" si="4">COUNTIF(D6:D26,"não")</f>
        <v>0</v>
      </c>
      <c r="E29" s="104">
        <f t="shared" ref="E29" si="5">COUNTIF(E6:E26,"não")</f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" si="6">COUNTIF(C6:C26,"ausente")</f>
        <v>0</v>
      </c>
      <c r="D30" s="40">
        <f t="shared" ref="D30" si="7">COUNTIF(D6:D26,"ausente")</f>
        <v>2</v>
      </c>
      <c r="E30" s="40">
        <f t="shared" ref="E30" si="8">COUNTIF(E6:E26,"ausente")</f>
        <v>2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" si="9">COUNTIF(C6:C26,"abstenção")</f>
        <v>0</v>
      </c>
      <c r="D31" s="105">
        <f t="shared" ref="D31" si="10">COUNTIF(D6:D26,"abstenção")</f>
        <v>0</v>
      </c>
      <c r="E31" s="105">
        <f t="shared" ref="E31" si="11">COUNTIF(E6:E26,"abstenção")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98</v>
      </c>
      <c r="B2" s="2"/>
      <c r="C2" s="54"/>
      <c r="D2" s="54"/>
      <c r="E2" s="54"/>
    </row>
    <row r="3" spans="1:6" ht="15.75" thickBot="1">
      <c r="A3" s="121" t="s">
        <v>99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73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95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C11" sqref="C11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98</v>
      </c>
      <c r="B2" s="2"/>
    </row>
    <row r="3" spans="1:23">
      <c r="A3" s="76" t="s">
        <v>99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74</v>
      </c>
      <c r="E4" s="106" t="s">
        <v>75</v>
      </c>
      <c r="F4" s="106" t="s">
        <v>76</v>
      </c>
      <c r="G4" s="106" t="s">
        <v>77</v>
      </c>
      <c r="H4" s="106" t="s">
        <v>78</v>
      </c>
      <c r="I4" s="106" t="s">
        <v>79</v>
      </c>
      <c r="J4" s="106" t="s">
        <v>80</v>
      </c>
      <c r="K4" s="106" t="s">
        <v>81</v>
      </c>
      <c r="L4" s="106" t="s">
        <v>82</v>
      </c>
      <c r="M4" s="106" t="s">
        <v>83</v>
      </c>
      <c r="N4" s="106" t="s">
        <v>84</v>
      </c>
      <c r="O4" s="106" t="s">
        <v>85</v>
      </c>
      <c r="P4" s="106" t="s">
        <v>86</v>
      </c>
      <c r="Q4" s="106" t="s">
        <v>87</v>
      </c>
      <c r="R4" s="106" t="s">
        <v>88</v>
      </c>
      <c r="S4" s="106" t="s">
        <v>89</v>
      </c>
      <c r="T4" s="106" t="s">
        <v>90</v>
      </c>
      <c r="U4" s="106" t="s">
        <v>91</v>
      </c>
      <c r="V4" s="106" t="s">
        <v>92</v>
      </c>
      <c r="W4" s="106" t="s">
        <v>93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95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2025-10-16T22:22:50Z</dcterms:modified>
</cp:coreProperties>
</file>