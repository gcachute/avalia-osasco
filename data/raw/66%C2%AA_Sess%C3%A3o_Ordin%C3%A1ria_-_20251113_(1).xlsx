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30DD953-9ABB-416E-AC75-903DD27BF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D28" i="3"/>
  <c r="D29" i="3"/>
  <c r="D30" i="3"/>
  <c r="C27" i="3"/>
  <c r="C28" i="3"/>
  <c r="C29" i="3"/>
  <c r="C30" i="3"/>
  <c r="E27" i="2"/>
  <c r="E28" i="2"/>
  <c r="E29" i="2"/>
  <c r="E30" i="2"/>
  <c r="E27" i="3"/>
  <c r="E28" i="3"/>
  <c r="E29" i="3"/>
  <c r="E30" i="3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<sst xmlns="http://schemas.openxmlformats.org/spreadsheetml/2006/main" count="485" uniqueCount="140">
  <si>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</si>
  <si>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</si>
  <si>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</si>
  <si>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</si>
  <si>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</si>
  <si>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</si>
  <si>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</si>
  <si>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</si>
  <si>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</si>
  <si>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</si>
  <si>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</si>
  <si>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</si>
  <si>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</si>
  <si>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</si>
  <si>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</si>
  <si>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</si>
  <si>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</si>
  <si>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</si>
  <si>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</si>
  <si>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</si>
  <si>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</si>
  <si>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</si>
  <si>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</si>
  <si>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</si>
  <si>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</si>
  <si>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</si>
  <si>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</si>
  <si>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</si>
  <si>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</si>
  <si>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</si>
  <si>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</si>
  <si>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</si>
  <si>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</si>
  <si>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</si>
  <si>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</si>
  <si>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</si>
  <si>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</si>
  <si>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</si>
  <si>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</si>
  <si>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</si>
  <si>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</si>
  <si>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</si>
  <si>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</si>
  <si>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</si>
  <si>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</si>
  <si>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</si>
  <si>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</si>
  <si>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</si>
  <si>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</si>
  <si>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</si>
  <si>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</si>
  <si>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</si>
  <si>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</si>
  <si>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</si>
  <si>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</si>
  <si>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</si>
  <si>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</si>
  <si>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</si>
  <si>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</si>
  <si>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</si>
  <si>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</si>
  <si>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</si>
  <si>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</si>
  <si>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</si>
  <si>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</si>
  <si>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</si>
  <si>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</si>
  <si>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</si>
  <si>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</si>
  <si>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</si>
  <si>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</si>
  <si>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</si>
  <si>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</si>
  <si>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</si>
  <si>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</si>
  <si>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</si>
  <si>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</si>
  <si>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</si>
  <si>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</si>
  <si>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</si>
  <si>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</si>
  <si>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</si>
  <si>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</si>
  <si>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</si>
  <si>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</si>
  <si>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</si>
  <si>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</si>
  <si>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</si>
  <si>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</si>
  <si>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</si>
  <si>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</si>
  <si>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</si>
  <si>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</si>
  <si>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</si>
  <si>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</si>
  <si>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</si>
  <si>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</si>
  <si>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</si>
  <si>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Justificativa de ausência Vereador Emerson Osasco.</t>
  </si>
  <si>
    <r>
      <t xml:space="preserve">PROJETO DE LEI Nº 129/2025 - STEPHANE ROSSI – </t>
    </r>
    <r>
      <rPr>
        <sz val="11"/>
        <color theme="1"/>
        <rFont val="Arial"/>
        <family val="2"/>
      </rPr>
      <t>Institui o Dia Roxo – Dia Municipal de Conscientização sobre a Epilepsia.</t>
    </r>
  </si>
  <si>
    <t>pela ausência da autora, será pautado na próxima sessão.</t>
  </si>
  <si>
    <t>na presidência</t>
  </si>
  <si>
    <t>66ª SESSÃO ORDINÁRIA</t>
  </si>
  <si>
    <t>DIA 13 DE NOVEMBRO DE 2025 - QUINTA-FEIRA</t>
  </si>
  <si>
    <t>DECRETO Nº 14.869, DE 21 DE OUTUBRO DE 2025 - Prefeito do Município de Osasco - Dispõe sobre a criação do Programa de Apadrinhamento Afetivo no Município de Osasco e dá outras providências.</t>
  </si>
  <si>
    <t>DECRETO Nº 14.883, DE 31 DE OUTUBRO DE 2025 - Prefeito do Município de Osasco - Regulamenta a Lei nº 5.388, de 02 de abril de 2025, que institui a Política Municipal de Videomonitoramento e Videomonitoramento Compartilhado no Município de Osasco, bem como institui o Programa MONITORA OZ, e dá outras providências.</t>
  </si>
  <si>
    <t>DECRETO Nº 14.884, DE 31 DE OUTUBRO DE 2025 - Prefeito do Município de Osasco - Dispõe sobre a abertura de adicional suplementar ao orçamento vigente e dá outras providências.</t>
  </si>
  <si>
    <t>DECRETO Nº 14.885, DE 31 DE OUTUBRO DE 2025 - Prefeito do Município de Osasco - Institui a Comissão Municipal para os Objetivos de Desenvolvimento Sustentável – Agenda 2030, no Município de Osasco.</t>
  </si>
  <si>
    <t>DECRETO Nº 14.886 E 14.887, DE 03 DE NOVEMBRO DE 2025 - Prefeito do Município de Osasco - Dispõe sobre a abertura de adicional suplementar ao orçamento vigente e dá outras providências.</t>
  </si>
  <si>
    <t>DECRETO Nº 14.888 E 14.889, DE 04 DE NOVEMBRO DE 2025 - Prefeito do Município de Osasco - Dispõe sobre a abertura de adicional suplementar ao orçamento vigente e dá outras providências.</t>
  </si>
  <si>
    <t>DECRETO Nº 14.890, DE 05 DE NOVEMBRO DE 2025 - Prefeito do Município de Osasco - Dispõe sobre a abertura de adicional suplementar ao orçamento vigente e dá outras providências.</t>
  </si>
  <si>
    <t>DECRETO Nº 14.891, DE 05 DE NOVEMBRO DE 2025 - Prefeito do Município de Osasco -  Dispõe sobre a abertura de adicional especial ao orçamento vigente e dá outras providências.</t>
  </si>
  <si>
    <t>DECRETO Nº 14.892, DE 05 DE NOVEMBRO DE 2025 - Prefeito do Município de Osasco - Dispõe sobre a revogação da permissão de uso de área pública à Associação Padre Domingos Barbé.</t>
  </si>
  <si>
    <t>OFÍCIO PROLEGIS nº 202503225484 - Prefeito do Município de Osasco - Informa a sanção da Lei Nº 5.432, de 10 de novembro de 2025, referente ao projeto de lei nº 89/2025 de autoria do vereador Laércio Mendonça, que institui o dia do Psicopedagogo no Calendário Oficial do Município de Osasco.</t>
  </si>
  <si>
    <t>OFÍCIO PROLEGIS nº 202503226027 - Prefeito do Município de Osasco - Informa a sanção da Lei Nº 5.433, de 10 de novembro de 2025, referente ao projeto de lei nº 118/2025, de autoria da Vereadora Lúcia da Saúde, que institui o Mês de Conscientização sobre as Doenças Cardiovasculares.</t>
  </si>
  <si>
    <t>PROJETO DE LEI Nº 210/2025 - ALEXANDRE DE JESUS CAPRIOTTI – Institui no Calendário Oficial do Município de Osasco, o “Dia Municipal de Empatia com Pet”, e dá outras providências.</t>
  </si>
  <si>
    <t>PROJETO DE LEI Nº 207/2025 - GILMEIRON MEDEIROS – Dispõe sobre a concessão de gratuidade no transporte público municipal às pessoas com deficiência, pessoas com Transtorno do Espectro Autista (TEA) e pessoas com Transtorno de Déficit de Atenção e Hiperatividade (TDAH), e dá outras providências.</t>
  </si>
  <si>
    <t>PROJETO DE LEI Nº 208/2025 - GILMEIRON MEDEIROS – Dispõe sobre a criação do cartão de saúde OZ, de identificação dos moradores do Município de Osasco-SP.</t>
  </si>
  <si>
    <t>PROJETO DE DECRETO LEGISLATIVO Nº 076/2025 - CARMONIO GONCALVES BASTOS – Dispõe sobre a concessão de Cartão de Prata ao Senhor Nelson Shigueki Koh.</t>
  </si>
  <si>
    <t>PROJETO DE DECRETO LEGISLATIVO Nº 077/2025 - CARMONIO GONCALVES BASTOS – Dispõe sobre a concessão de Placa Comemorativa à Associação de Judô Kenshin, pelos relevantes serviços prestados à cidade de Osasco e à formação esportiva, educacional e humana de seus cidadãos.</t>
  </si>
  <si>
    <r>
      <t xml:space="preserve">MOÇÃO DE APLAUSO Nº 541/2025 – JOSIAS DA JUCO – </t>
    </r>
    <r>
      <rPr>
        <sz val="11"/>
        <color theme="1"/>
        <rFont val="Arial"/>
        <family val="2"/>
      </rPr>
      <t>Ao Senhor Marcelo da Silva pelo excelente trabalho na condução da Secretaria de Cultura.</t>
    </r>
  </si>
  <si>
    <r>
      <t xml:space="preserve">MOÇÃO DE APLAUSO Nº 545/2025 – PEDRINHO CANTAGESSI – </t>
    </r>
    <r>
      <rPr>
        <sz val="11"/>
        <color theme="1"/>
        <rFont val="Arial"/>
        <family val="2"/>
      </rPr>
      <t>Ao Sr. Marcos Nogueira da Cunha por sua dedicação, talento e contribuição para o esporte e a comunidade Osasquense.</t>
    </r>
  </si>
  <si>
    <r>
      <t xml:space="preserve">MOÇÃO DE APELO Nº 547/2025 – ELSA OLIVEIRA – </t>
    </r>
    <r>
      <rPr>
        <sz val="11"/>
        <color theme="1"/>
        <rFont val="Arial"/>
        <family val="2"/>
      </rPr>
      <t>Ao Senado Federal para que rejeite o Projeto de Decreto Legislativo nº 03/2025, que pretende sustar os efeitos da Resolução nº 258/2024 do Conselho Nacional dos Direitos da Criança e do Adolescente – CONANDA.</t>
    </r>
  </si>
  <si>
    <t>arquivada a pedido da autora.</t>
  </si>
  <si>
    <r>
      <t xml:space="preserve">MOÇÃO DE CONGRATULAÇÕES Nº 548/2025 – ELSA OLIVEIRA – </t>
    </r>
    <r>
      <rPr>
        <sz val="11"/>
        <color theme="1"/>
        <rFont val="Arial"/>
        <family val="2"/>
      </rPr>
      <t>Aos Conselheiros Tutelares, em homenagem pelo “Dia Nacional do Conselheiro Tutelar”, celebrado em 18 de novembro.</t>
    </r>
  </si>
  <si>
    <t>pela ausência da autora, será pautada na próxima sessão.</t>
  </si>
  <si>
    <r>
      <t>MOÇÃO DE RECONHECIMENTO Nº 549/2025 – ELÂNIA SILVA -</t>
    </r>
    <r>
      <rPr>
        <sz val="11"/>
        <color theme="1"/>
        <rFont val="Arial"/>
        <family val="2"/>
      </rPr>
      <t xml:space="preserve"> Para o Sr. Marcio Junior da Silva, pela relevante contribuição a esta Casa Legislativa e pelo trabalho realizado em Osasco.</t>
    </r>
  </si>
  <si>
    <r>
      <t xml:space="preserve">MOÇÃO DE APLAUSO Nº 550/2025 – STEPHANE ROSSI – </t>
    </r>
    <r>
      <rPr>
        <sz val="11"/>
        <color theme="1"/>
        <rFont val="Arial"/>
        <family val="2"/>
      </rPr>
      <t>Ao Instituto Missão Urbana, Organização da Sociedade Civil sem fins lucrativos, por seu trabalho em prol de crianças e jovens da Comunidade Santa Rita.</t>
    </r>
  </si>
  <si>
    <r>
      <t>MOÇÃO DE RECONHECIMENTO Nº 551/2025 – LAÉRCIO MENDONÇA -</t>
    </r>
    <r>
      <rPr>
        <sz val="11"/>
        <color theme="1"/>
        <rFont val="Arial"/>
        <family val="2"/>
      </rPr>
      <t xml:space="preserve"> Para o atleta Victor do Prado Peixoto, pelos notáveis resultados conquistados em sua trajetória esportiva, levando com orgulho o nome da cidade de Osasco aos mais altos pódios do Brasil e do mundo.</t>
    </r>
  </si>
  <si>
    <r>
      <t xml:space="preserve">MOÇÃO DE RECONHECIMENTO Nº 552/2025 – GABRIEL SAÚDE – </t>
    </r>
    <r>
      <rPr>
        <sz val="11"/>
        <color theme="1"/>
        <rFont val="Arial"/>
        <family val="2"/>
      </rPr>
      <t>Ao Senhor Francisco das Chagas de Moura, pela bela história de superação e determinação.</t>
    </r>
  </si>
  <si>
    <r>
      <t>MOÇÃO DE RECONHECIMENTO Nº 553/2025 – GUILHERME PRADO –</t>
    </r>
    <r>
      <rPr>
        <sz val="11"/>
        <color theme="1"/>
        <rFont val="Arial"/>
        <family val="2"/>
      </rPr>
      <t xml:space="preserve"> Ao senhor Edinaldo Portella, Diretor de Gestão Administrativa da Secretaria de Assistência Social (SAS), pelos relevantes serviços prestados ao município e pela forma exemplar com que vivencia o verdadeiro sentido do serviço público.</t>
    </r>
  </si>
  <si>
    <r>
      <t xml:space="preserve">MOÇÃO DE APELO Nº 554/2025 – CANTOR GOLEIRO – </t>
    </r>
    <r>
      <rPr>
        <sz val="11"/>
        <color theme="1"/>
        <rFont val="Arial"/>
        <family val="2"/>
      </rPr>
      <t>Ao excelentíssimo senhor Prefeito do Município de Osasco, para que interceda junto à SABESP a fim de que sejam adotadas medidas urgentes para a melhoria dos serviços de abastecimento de água, esgotamento sanitário e recuperação asfáltica após intervenções, garantindo eficiência, agilidade e respeito à população osasquense.</t>
    </r>
  </si>
  <si>
    <r>
      <t>VETO TOTAL AO PROJETO DE LEI Nº 92/2025 - LÚCIA DA SAÚDE –</t>
    </r>
    <r>
      <rPr>
        <sz val="12"/>
        <color theme="1"/>
        <rFont val="Arial"/>
        <family val="2"/>
      </rPr>
      <t xml:space="preserve"> Institui o Dia Municipal das Doenças Raras no Município de Osasco.</t>
    </r>
  </si>
  <si>
    <t>não</t>
  </si>
  <si>
    <r>
      <t xml:space="preserve">SUBSTITUTIVO N.º 1/2025 AO PROJETO DE LEI N.º 54/2025 – ALEXANDRE CAPRIOTTI - </t>
    </r>
    <r>
      <rPr>
        <sz val="14"/>
        <color theme="1"/>
        <rFont val="Arial"/>
        <family val="2"/>
      </rPr>
      <t>Dispõe sobre a proibição do plantio de espécies vegetais tóxicas ou que tenham espinhos nas áreas públicas no âmbito do Município de Osasco.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</si>
  <si>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</si>
  <si>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APROVADA
</t>
    </r>
    <r>
      <rPr>
        <b/>
        <sz val="11"/>
        <color rgb="FF00B050"/>
        <rFont val="Arial"/>
        <family val="2"/>
      </rPr>
      <t>VOTAÇÃO SIMBÓLICA</t>
    </r>
  </si>
  <si>
    <r>
      <t>SUBSTITUTIVO N.º 3/2025 AO PROJETO DE LEI N.º 72/2025 – ALEXANDRE CAPRIOTTI E ELSA OLIVEIRA –</t>
    </r>
    <r>
      <rPr>
        <sz val="11"/>
        <color theme="1"/>
        <rFont val="Arial"/>
        <family val="2"/>
      </rPr>
      <t xml:space="preserve"> Institui no Calendário Oficial do Município de Osasco o Dia do Desafio Menos Tela</t>
    </r>
  </si>
  <si>
    <t>EMENDA N. º 1/2025 DO VEREADOR ALEXANDRE CAPRIOTTI AO SUBSTITUTIVO N.º 3/2025 AO PROJETO DE LEI N.º 72/2025</t>
  </si>
  <si>
    <r>
      <t xml:space="preserve">PROJETO DE DECRETO LEGISLATIVO Nº 25/2025 – BATISTA COMUNIDADE - </t>
    </r>
    <r>
      <rPr>
        <sz val="11"/>
        <color theme="1"/>
        <rFont val="Arial"/>
        <family val="2"/>
      </rPr>
      <t>Dispõe sobre a concessão de Medalha Antônio Raposo Tavares e Diploma Cidade de Osasco ao Sr. Rubem Farias.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</si>
</sst>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102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103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2</v>
      </c>
      <c r="G9" s="102" t="s">
        <v>53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97</v>
      </c>
      <c r="B19" s="88">
        <v>2</v>
      </c>
      <c r="C19" s="102" t="s">
        <v>53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17</v>
      </c>
      <c r="G26" s="96" t="s">
        <v>46</v>
      </c>
      <c r="H26" s="100"/>
      <c r="I26" s="101"/>
      <c r="J26" s="98">
        <v>15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4</v>
      </c>
      <c r="G27" s="96" t="s">
        <v>47</v>
      </c>
      <c r="H27" s="100"/>
      <c r="I27" s="96"/>
      <c r="J27" s="98">
        <v>6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69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 t="s">
        <v>97</v>
      </c>
      <c r="V35" s="12"/>
      <c r="W35" s="12"/>
    </row>
    <row r="36" spans="1:23" ht="18">
      <c r="A36" s="34" t="s">
        <v>26</v>
      </c>
      <c r="V36" s="32"/>
      <c r="W36" s="12"/>
    </row>
    <row r="37" spans="1:23" ht="18">
      <c r="A37" s="34" t="s">
        <v>25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58</v>
      </c>
      <c r="V42" s="12"/>
      <c r="W42" s="12"/>
    </row>
    <row r="43" spans="1:23" ht="18">
      <c r="A43" s="34" t="s">
        <v>92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58</v>
      </c>
    </row>
    <row r="53" spans="1:23" ht="18">
      <c r="A53" s="34" t="s">
        <v>59</v>
      </c>
    </row>
    <row r="54" spans="1:23" ht="18">
      <c r="A54" s="34" t="s">
        <v>49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F39"/>
  <sheetViews>
    <sheetView workbookViewId="0">
      <pane xSplit="1" topLeftCell="B1" activePane="topRight" state="frozen"/>
      <selection pane="topRight" activeCell="AF4" sqref="AF4"/>
    </sheetView>
  </sheetViews>
  <sheetFormatPr defaultColWidth="9.140625" defaultRowHeight="12.75"/>
  <cols>
    <col min="1" max="1" width="47.7109375" style="22" customWidth="1"/>
    <col min="2" max="19" width="23.7109375" style="22" customWidth="1"/>
    <col min="20" max="20" width="19" style="22" customWidth="1"/>
    <col min="21" max="21" width="26.28515625" style="22" customWidth="1"/>
    <col min="22" max="22" width="22.140625" style="22" customWidth="1"/>
    <col min="23" max="32" width="22.7109375" style="22" customWidth="1"/>
    <col min="33" max="16384" width="9.140625" style="22"/>
  </cols>
  <sheetData>
    <row r="1" spans="1:32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32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32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32" ht="63" customHeight="1">
      <c r="A4" s="51" t="str">
        <f>'[1]MOÇÃO E REQUERIMENTO'!B7</f>
        <v>EXPEDIENTE</v>
      </c>
      <c r="B4" s="50" t="s">
        <v>45</v>
      </c>
      <c r="C4" s="117" t="s">
        <v>98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7" t="s">
        <v>112</v>
      </c>
      <c r="M4" s="117" t="s">
        <v>113</v>
      </c>
      <c r="N4" s="117" t="s">
        <v>114</v>
      </c>
      <c r="O4" s="117" t="s">
        <v>115</v>
      </c>
      <c r="P4" s="117" t="s">
        <v>116</v>
      </c>
      <c r="Q4" s="117" t="s">
        <v>117</v>
      </c>
      <c r="R4" s="117" t="s">
        <v>118</v>
      </c>
      <c r="S4" s="117" t="s">
        <v>119</v>
      </c>
      <c r="T4" s="112" t="s">
        <v>34</v>
      </c>
      <c r="U4" s="124"/>
      <c r="V4" s="50" t="s">
        <v>27</v>
      </c>
      <c r="W4" s="84" t="s">
        <v>120</v>
      </c>
      <c r="X4" s="84" t="s">
        <v>121</v>
      </c>
      <c r="Y4" s="84" t="s">
        <v>122</v>
      </c>
      <c r="Z4" s="84" t="s">
        <v>124</v>
      </c>
      <c r="AA4" s="84" t="s">
        <v>126</v>
      </c>
      <c r="AB4" s="84" t="s">
        <v>127</v>
      </c>
      <c r="AC4" s="84" t="s">
        <v>128</v>
      </c>
      <c r="AD4" s="84" t="s">
        <v>129</v>
      </c>
      <c r="AE4" s="84" t="s">
        <v>130</v>
      </c>
      <c r="AF4" s="84" t="s">
        <v>131</v>
      </c>
    </row>
    <row r="5" spans="1:32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113"/>
      <c r="W5" s="113" t="s">
        <v>65</v>
      </c>
      <c r="X5" s="113" t="s">
        <v>65</v>
      </c>
      <c r="Y5" s="118" t="s">
        <v>123</v>
      </c>
      <c r="Z5" s="118" t="s">
        <v>125</v>
      </c>
      <c r="AA5" s="113" t="s">
        <v>65</v>
      </c>
      <c r="AB5" s="118" t="s">
        <v>125</v>
      </c>
      <c r="AC5" s="113" t="s">
        <v>65</v>
      </c>
      <c r="AD5" s="118" t="s">
        <v>71</v>
      </c>
      <c r="AE5" s="113" t="s">
        <v>65</v>
      </c>
      <c r="AF5" s="113" t="s">
        <v>65</v>
      </c>
    </row>
    <row r="6" spans="1:32" ht="15.75">
      <c r="A6" s="127" t="s">
        <v>51</v>
      </c>
      <c r="V6" s="23"/>
    </row>
    <row r="7" spans="1:32" ht="15.75">
      <c r="A7" s="127" t="s">
        <v>68</v>
      </c>
      <c r="V7" s="23"/>
    </row>
    <row r="8" spans="1:32" ht="15.75">
      <c r="A8" s="127" t="s">
        <v>54</v>
      </c>
      <c r="V8" s="23"/>
    </row>
    <row r="9" spans="1:32" ht="15.75">
      <c r="A9" s="128" t="s">
        <v>55</v>
      </c>
      <c r="V9" s="23"/>
    </row>
    <row r="10" spans="1:32" ht="15.75">
      <c r="A10" s="127" t="s">
        <v>28</v>
      </c>
      <c r="V10" s="23"/>
    </row>
    <row r="11" spans="1:32" ht="15.75">
      <c r="A11" s="127" t="s">
        <v>56</v>
      </c>
      <c r="V11" s="23"/>
    </row>
    <row r="12" spans="1:32" ht="15.75">
      <c r="A12" s="127" t="s">
        <v>22</v>
      </c>
      <c r="V12" s="23"/>
    </row>
    <row r="13" spans="1:32" ht="15.75">
      <c r="A13" s="127" t="s">
        <v>23</v>
      </c>
      <c r="V13" s="23"/>
    </row>
    <row r="14" spans="1:32" ht="15.75">
      <c r="A14" s="127" t="s">
        <v>24</v>
      </c>
      <c r="V14" s="23"/>
    </row>
    <row r="15" spans="1:32" ht="15.75">
      <c r="A15" s="127" t="s">
        <v>57</v>
      </c>
      <c r="V15" s="23"/>
    </row>
    <row r="16" spans="1:32" ht="15.75">
      <c r="A16" s="127" t="s">
        <v>58</v>
      </c>
      <c r="V16" s="23"/>
    </row>
    <row r="17" spans="1:22" ht="15.75">
      <c r="A17" s="127" t="s">
        <v>59</v>
      </c>
      <c r="V17" s="23"/>
    </row>
    <row r="18" spans="1:22" ht="15.75">
      <c r="A18" s="127" t="s">
        <v>25</v>
      </c>
      <c r="V18" s="23"/>
    </row>
    <row r="19" spans="1:22" ht="15.75">
      <c r="A19" s="127" t="s">
        <v>60</v>
      </c>
      <c r="V19" s="23"/>
    </row>
    <row r="20" spans="1:22" ht="15.75">
      <c r="A20" s="127" t="s">
        <v>97</v>
      </c>
      <c r="V20" s="23"/>
    </row>
    <row r="21" spans="1:22" ht="15.75">
      <c r="A21" s="127" t="s">
        <v>26</v>
      </c>
      <c r="V21" s="23"/>
    </row>
    <row r="22" spans="1:22" ht="15.75">
      <c r="A22" s="127" t="s">
        <v>61</v>
      </c>
      <c r="V22" s="23"/>
    </row>
    <row r="23" spans="1:22" ht="15.75">
      <c r="A23" s="127" t="s">
        <v>69</v>
      </c>
      <c r="V23" s="23"/>
    </row>
    <row r="24" spans="1:22" ht="15.75">
      <c r="A24" s="127" t="s">
        <v>49</v>
      </c>
      <c r="V24" s="23"/>
    </row>
    <row r="25" spans="1:22" ht="15.75">
      <c r="A25" s="127" t="s">
        <v>92</v>
      </c>
      <c r="V25" s="23"/>
    </row>
    <row r="26" spans="1:22" ht="15.75">
      <c r="A26" s="127" t="s">
        <v>62</v>
      </c>
      <c r="V26" s="23"/>
    </row>
    <row r="27" spans="1:22" s="25" customFormat="1">
      <c r="A27" s="24" t="s">
        <v>18</v>
      </c>
    </row>
    <row r="28" spans="1:22" s="27" customFormat="1">
      <c r="A28" s="26" t="s">
        <v>19</v>
      </c>
    </row>
    <row r="29" spans="1:22">
      <c r="A29" s="28" t="s">
        <v>11</v>
      </c>
    </row>
    <row r="30" spans="1:22" s="30" customFormat="1">
      <c r="A30" s="29" t="s">
        <v>20</v>
      </c>
    </row>
    <row r="32" spans="1:2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26" activeCellId="2" sqref="E10 E13 E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 t="s">
        <v>132</v>
      </c>
      <c r="D4" s="109" t="s">
        <v>6</v>
      </c>
      <c r="E4" s="140" t="s">
        <v>134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 t="s">
        <v>70</v>
      </c>
      <c r="D5" s="79"/>
      <c r="E5" s="142" t="s">
        <v>70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 t="s">
        <v>66</v>
      </c>
      <c r="E6" s="107" t="s">
        <v>66</v>
      </c>
    </row>
    <row r="7" spans="1:45" ht="20.25">
      <c r="A7" s="46" t="s">
        <v>68</v>
      </c>
      <c r="C7" s="107" t="s">
        <v>66</v>
      </c>
      <c r="E7" s="107" t="s">
        <v>66</v>
      </c>
    </row>
    <row r="8" spans="1:45" ht="20.25">
      <c r="A8" s="46" t="s">
        <v>54</v>
      </c>
      <c r="C8" s="107" t="s">
        <v>66</v>
      </c>
      <c r="E8" s="107" t="s">
        <v>66</v>
      </c>
    </row>
    <row r="9" spans="1:45" ht="20.25">
      <c r="A9" s="82" t="s">
        <v>55</v>
      </c>
      <c r="C9" s="114" t="s">
        <v>101</v>
      </c>
      <c r="E9" s="114" t="s">
        <v>101</v>
      </c>
    </row>
    <row r="10" spans="1:45" ht="20.25">
      <c r="A10" s="46" t="s">
        <v>28</v>
      </c>
      <c r="C10" s="114" t="s">
        <v>53</v>
      </c>
      <c r="E10" s="114" t="s">
        <v>53</v>
      </c>
    </row>
    <row r="11" spans="1:45" ht="20.25">
      <c r="A11" s="46" t="s">
        <v>56</v>
      </c>
      <c r="C11" s="107" t="s">
        <v>66</v>
      </c>
      <c r="E11" s="107" t="s">
        <v>66</v>
      </c>
    </row>
    <row r="12" spans="1:45" ht="20.25">
      <c r="A12" s="46" t="s">
        <v>22</v>
      </c>
      <c r="C12" s="107" t="s">
        <v>66</v>
      </c>
      <c r="E12" s="107" t="s">
        <v>66</v>
      </c>
    </row>
    <row r="13" spans="1:45" ht="20.25">
      <c r="A13" s="46" t="s">
        <v>23</v>
      </c>
      <c r="C13" s="114" t="s">
        <v>53</v>
      </c>
      <c r="E13" s="114" t="s">
        <v>53</v>
      </c>
    </row>
    <row r="14" spans="1:45" ht="20.25">
      <c r="A14" s="46" t="s">
        <v>24</v>
      </c>
      <c r="C14" s="107" t="s">
        <v>66</v>
      </c>
      <c r="E14" s="107" t="s">
        <v>66</v>
      </c>
    </row>
    <row r="15" spans="1:45" ht="20.25">
      <c r="A15" s="46" t="s">
        <v>57</v>
      </c>
      <c r="C15" s="107" t="s">
        <v>66</v>
      </c>
      <c r="E15" s="107" t="s">
        <v>66</v>
      </c>
    </row>
    <row r="16" spans="1:45" ht="20.25">
      <c r="A16" s="46" t="s">
        <v>58</v>
      </c>
      <c r="C16" s="107" t="s">
        <v>66</v>
      </c>
      <c r="E16" s="107" t="s">
        <v>66</v>
      </c>
    </row>
    <row r="17" spans="1:130" ht="20.25">
      <c r="A17" s="46" t="s">
        <v>59</v>
      </c>
      <c r="C17" s="150" t="s">
        <v>133</v>
      </c>
      <c r="E17" s="107" t="s">
        <v>66</v>
      </c>
    </row>
    <row r="18" spans="1:130" ht="20.25">
      <c r="A18" s="46" t="s">
        <v>25</v>
      </c>
      <c r="C18" s="107" t="s">
        <v>66</v>
      </c>
      <c r="E18" s="107" t="s">
        <v>66</v>
      </c>
    </row>
    <row r="19" spans="1:130" ht="20.25">
      <c r="A19" s="46" t="s">
        <v>60</v>
      </c>
      <c r="C19" s="107" t="s">
        <v>66</v>
      </c>
      <c r="E19" s="107" t="s">
        <v>66</v>
      </c>
    </row>
    <row r="20" spans="1:130" ht="20.25">
      <c r="A20" s="46" t="s">
        <v>97</v>
      </c>
      <c r="C20" s="107" t="s">
        <v>66</v>
      </c>
      <c r="E20" s="107" t="s">
        <v>66</v>
      </c>
    </row>
    <row r="21" spans="1:130" ht="20.25">
      <c r="A21" s="46" t="s">
        <v>26</v>
      </c>
      <c r="C21" s="107" t="s">
        <v>66</v>
      </c>
      <c r="E21" s="107" t="s">
        <v>66</v>
      </c>
    </row>
    <row r="22" spans="1:130" ht="20.25">
      <c r="A22" s="46" t="s">
        <v>61</v>
      </c>
      <c r="C22" s="107" t="s">
        <v>66</v>
      </c>
      <c r="E22" s="107" t="s">
        <v>66</v>
      </c>
    </row>
    <row r="23" spans="1:130" ht="20.25">
      <c r="A23" s="46" t="s">
        <v>69</v>
      </c>
      <c r="C23" s="107" t="s">
        <v>66</v>
      </c>
      <c r="E23" s="107" t="s">
        <v>66</v>
      </c>
    </row>
    <row r="24" spans="1:130" ht="20.25">
      <c r="A24" s="46" t="s">
        <v>49</v>
      </c>
      <c r="C24" s="107" t="s">
        <v>66</v>
      </c>
      <c r="E24" s="107" t="s">
        <v>66</v>
      </c>
    </row>
    <row r="25" spans="1:130" ht="20.25">
      <c r="A25" s="46" t="s">
        <v>92</v>
      </c>
      <c r="C25" s="107" t="s">
        <v>66</v>
      </c>
      <c r="E25" s="107" t="s">
        <v>66</v>
      </c>
    </row>
    <row r="26" spans="1:130" ht="20.25">
      <c r="A26" s="46" t="s">
        <v>62</v>
      </c>
      <c r="C26" s="114" t="s">
        <v>53</v>
      </c>
      <c r="E26" s="114" t="s">
        <v>53</v>
      </c>
    </row>
    <row r="27" spans="1:130" s="16" customFormat="1" ht="15.75">
      <c r="A27" s="15" t="s">
        <v>18</v>
      </c>
      <c r="B27"/>
      <c r="C27" s="103">
        <f t="shared" ref="C27" si="0">COUNTIF(C6:C26,"sim")</f>
        <v>16</v>
      </c>
      <c r="D27"/>
      <c r="E27" s="103">
        <f t="shared" ref="E27" si="1"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1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3</v>
      </c>
      <c r="E29" s="40">
        <f t="shared" ref="E29" si="5">COUNTIF(E6:E26,"ausente")</f>
        <v>3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99</v>
      </c>
      <c r="D4" s="139" t="s">
        <v>137</v>
      </c>
      <c r="E4" s="151" t="s">
        <v>138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44" t="s">
        <v>100</v>
      </c>
      <c r="D5" s="113" t="s">
        <v>135</v>
      </c>
      <c r="E5" s="113" t="s">
        <v>136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51</v>
      </c>
      <c r="C6" s="107"/>
      <c r="D6" s="107"/>
      <c r="E6" s="107"/>
      <c r="W6" s="7"/>
      <c r="X6" s="7"/>
    </row>
    <row r="7" spans="1:31" ht="18">
      <c r="A7" s="129" t="s">
        <v>68</v>
      </c>
      <c r="C7" s="107"/>
      <c r="D7" s="107"/>
      <c r="E7" s="107"/>
      <c r="W7" s="7"/>
      <c r="X7" s="7"/>
    </row>
    <row r="8" spans="1:31" ht="18">
      <c r="A8" s="129" t="s">
        <v>54</v>
      </c>
      <c r="C8" s="107"/>
      <c r="D8" s="107"/>
      <c r="E8" s="107"/>
      <c r="W8" s="7"/>
      <c r="X8" s="7"/>
    </row>
    <row r="9" spans="1:31" ht="18">
      <c r="A9" s="130" t="s">
        <v>55</v>
      </c>
      <c r="C9" s="114"/>
      <c r="D9" s="114"/>
      <c r="E9" s="114"/>
      <c r="W9" s="7"/>
      <c r="X9" s="7"/>
    </row>
    <row r="10" spans="1:31" ht="18">
      <c r="A10" s="129" t="s">
        <v>28</v>
      </c>
      <c r="C10" s="107"/>
      <c r="D10" s="107"/>
      <c r="E10" s="107"/>
      <c r="W10" s="7"/>
      <c r="X10" s="7"/>
    </row>
    <row r="11" spans="1:31" ht="18">
      <c r="A11" s="129" t="s">
        <v>56</v>
      </c>
      <c r="C11" s="107"/>
      <c r="D11" s="114"/>
      <c r="E11" s="114"/>
      <c r="W11" s="7"/>
      <c r="X11" s="7"/>
    </row>
    <row r="12" spans="1:31" ht="18">
      <c r="A12" s="129" t="s">
        <v>22</v>
      </c>
      <c r="C12" s="107"/>
      <c r="D12" s="107"/>
      <c r="E12" s="107"/>
      <c r="W12" s="7"/>
      <c r="X12" s="7"/>
    </row>
    <row r="13" spans="1:31" ht="18">
      <c r="A13" s="129" t="s">
        <v>23</v>
      </c>
      <c r="C13" s="107"/>
      <c r="D13" s="114"/>
      <c r="E13" s="114"/>
      <c r="W13" s="7"/>
      <c r="X13" s="7"/>
    </row>
    <row r="14" spans="1:31" ht="18">
      <c r="A14" s="129" t="s">
        <v>24</v>
      </c>
      <c r="C14" s="107"/>
      <c r="D14" s="107"/>
      <c r="E14" s="107"/>
      <c r="W14" s="7"/>
      <c r="X14" s="7"/>
    </row>
    <row r="15" spans="1:31" ht="18">
      <c r="A15" s="129" t="s">
        <v>57</v>
      </c>
      <c r="C15" s="107"/>
      <c r="D15" s="107"/>
      <c r="E15" s="107"/>
      <c r="W15" s="7"/>
      <c r="X15" s="7"/>
    </row>
    <row r="16" spans="1:31" ht="18">
      <c r="A16" s="129" t="s">
        <v>58</v>
      </c>
      <c r="C16" s="107"/>
      <c r="D16" s="107"/>
      <c r="E16" s="107"/>
      <c r="W16" s="7"/>
      <c r="X16" s="7"/>
    </row>
    <row r="17" spans="1:125" ht="15" customHeight="1">
      <c r="A17" s="129" t="s">
        <v>59</v>
      </c>
      <c r="C17" s="107"/>
      <c r="D17" s="107"/>
      <c r="E17" s="107"/>
      <c r="V17" s="8"/>
      <c r="W17" s="7"/>
      <c r="X17" s="7"/>
    </row>
    <row r="18" spans="1:125" ht="18">
      <c r="A18" s="129" t="s">
        <v>25</v>
      </c>
      <c r="C18" s="107"/>
      <c r="D18" s="107"/>
      <c r="E18" s="107"/>
      <c r="W18" s="7"/>
      <c r="X18" s="7"/>
    </row>
    <row r="19" spans="1:125" ht="18">
      <c r="A19" s="129" t="s">
        <v>60</v>
      </c>
      <c r="C19" s="107"/>
      <c r="D19" s="107"/>
      <c r="E19" s="107"/>
      <c r="W19" s="7"/>
      <c r="X19" s="7"/>
    </row>
    <row r="20" spans="1:125" ht="18">
      <c r="A20" s="129" t="s">
        <v>97</v>
      </c>
      <c r="C20" s="107"/>
      <c r="D20" s="107"/>
      <c r="E20" s="107"/>
      <c r="W20" s="7"/>
      <c r="X20" s="7"/>
    </row>
    <row r="21" spans="1:125" ht="18">
      <c r="A21" s="129" t="s">
        <v>26</v>
      </c>
      <c r="C21" s="114"/>
      <c r="D21" s="107"/>
      <c r="E21" s="107"/>
      <c r="W21" s="7"/>
      <c r="X21" s="7"/>
    </row>
    <row r="22" spans="1:125" ht="18">
      <c r="A22" s="129" t="s">
        <v>61</v>
      </c>
      <c r="C22" s="107"/>
      <c r="D22" s="107"/>
      <c r="E22" s="107"/>
      <c r="W22" s="7"/>
      <c r="X22" s="7"/>
    </row>
    <row r="23" spans="1:125" ht="18">
      <c r="A23" s="129" t="s">
        <v>69</v>
      </c>
      <c r="C23" s="107"/>
      <c r="D23" s="107"/>
      <c r="E23" s="107"/>
      <c r="W23" s="7"/>
      <c r="X23" s="7"/>
    </row>
    <row r="24" spans="1:125" ht="18">
      <c r="A24" s="129" t="s">
        <v>49</v>
      </c>
      <c r="C24" s="114"/>
      <c r="D24" s="107"/>
      <c r="E24" s="107"/>
      <c r="W24" s="7"/>
      <c r="X24" s="7"/>
    </row>
    <row r="25" spans="1:125" ht="18">
      <c r="A25" s="129" t="s">
        <v>92</v>
      </c>
      <c r="C25" s="107"/>
      <c r="D25" s="107"/>
      <c r="E25" s="107"/>
      <c r="W25" s="7"/>
      <c r="X25" s="7"/>
    </row>
    <row r="26" spans="1:125" ht="18">
      <c r="A26" s="129" t="s">
        <v>62</v>
      </c>
      <c r="C26" s="114"/>
      <c r="D26" s="107"/>
      <c r="E26" s="107"/>
      <c r="W26" s="7"/>
      <c r="X26" s="7"/>
    </row>
    <row r="27" spans="1:125" s="16" customFormat="1" ht="15.75">
      <c r="A27" s="15" t="s">
        <v>18</v>
      </c>
      <c r="B27" s="16">
        <f t="shared" ref="B27" si="0">COUNTIF(B6:B26,"sim")</f>
        <v>0</v>
      </c>
      <c r="C27" s="103">
        <f t="shared" ref="C27:E27" si="1">COUNTIF(C6:C26,"sim")</f>
        <v>0</v>
      </c>
      <c r="D27" s="103">
        <f t="shared" ref="D27" si="2">COUNTIF(D6:D26,"sim")</f>
        <v>0</v>
      </c>
      <c r="E27" s="103">
        <f t="shared" si="1"/>
        <v>0</v>
      </c>
      <c r="L27" s="16">
        <f t="shared" ref="L27:AQ27" si="3">COUNTIF(L6:L26,"sim")</f>
        <v>0</v>
      </c>
      <c r="M27" s="16">
        <f t="shared" si="3"/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ref="AR27:BW27" si="4">COUNTIF(AR6:AR26,"sim")</f>
        <v>0</v>
      </c>
      <c r="AS27" s="16">
        <f t="shared" si="4"/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ref="BX27:DC27" si="5">COUNTIF(BX6:BX26,"sim")</f>
        <v>0</v>
      </c>
      <c r="BY27" s="16">
        <f t="shared" si="5"/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ref="DD27:DU27" si="6">COUNTIF(DD6:DD26,"sim")</f>
        <v>0</v>
      </c>
      <c r="DE27" s="16">
        <f t="shared" si="6"/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</row>
    <row r="28" spans="1:125" s="18" customFormat="1" ht="15.75">
      <c r="A28" s="17" t="s">
        <v>19</v>
      </c>
      <c r="B28" s="18">
        <f t="shared" ref="B28" si="7">COUNTIF(B6:B26,"não")</f>
        <v>0</v>
      </c>
      <c r="C28" s="104">
        <f t="shared" ref="C28:E28" si="8">COUNTIF(C6:C26,"não")</f>
        <v>0</v>
      </c>
      <c r="D28" s="104">
        <f t="shared" ref="D28" si="9">COUNTIF(D6:D26,"não")</f>
        <v>0</v>
      </c>
      <c r="E28" s="104">
        <f t="shared" si="8"/>
        <v>0</v>
      </c>
      <c r="L28" s="18">
        <f t="shared" ref="L28:AQ28" si="10">COUNTIF(L6:L27,"não")</f>
        <v>0</v>
      </c>
      <c r="M28" s="18">
        <f t="shared" si="10"/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ref="AR28:BW28" si="11">COUNTIF(AR6:AR27,"não")</f>
        <v>0</v>
      </c>
      <c r="AS28" s="18">
        <f t="shared" si="11"/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ref="BX28:DC28" si="12">COUNTIF(BX6:BX27,"não")</f>
        <v>0</v>
      </c>
      <c r="BY28" s="18">
        <f t="shared" si="12"/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ref="DD28:DU28" si="13">COUNTIF(DD6:DD27,"não")</f>
        <v>0</v>
      </c>
      <c r="DE28" s="18">
        <f t="shared" si="13"/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</row>
    <row r="29" spans="1:125" ht="15.75">
      <c r="A29" s="14" t="s">
        <v>11</v>
      </c>
      <c r="B29">
        <f t="shared" ref="B29" si="14">COUNTIF(B6:B26,"ausente")</f>
        <v>0</v>
      </c>
      <c r="C29" s="40">
        <f t="shared" ref="C29:E29" si="15">COUNTIF(C6:C26,"ausente")</f>
        <v>0</v>
      </c>
      <c r="D29" s="40">
        <f t="shared" ref="D29" si="16">COUNTIF(D6:D26,"ausente")</f>
        <v>0</v>
      </c>
      <c r="E29" s="40">
        <f t="shared" si="15"/>
        <v>0</v>
      </c>
      <c r="L29">
        <f t="shared" ref="L29:AQ29" si="17">COUNTIF(L6:L28,"ausente")</f>
        <v>0</v>
      </c>
      <c r="M29">
        <f t="shared" si="17"/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ref="AR29:BW29" si="18">COUNTIF(AR6:AR28,"ausente")</f>
        <v>0</v>
      </c>
      <c r="AS29">
        <f t="shared" si="18"/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ref="BX29:DC29" si="19">COUNTIF(BX6:BX28,"ausente")</f>
        <v>0</v>
      </c>
      <c r="BY29">
        <f t="shared" si="19"/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ref="DD29:DU29" si="20">COUNTIF(DD6:DD28,"ausente")</f>
        <v>0</v>
      </c>
      <c r="DE29">
        <f t="shared" si="20"/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</row>
    <row r="30" spans="1:125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:E30" si="22">COUNTIF(C6:C26,"abstenção")</f>
        <v>0</v>
      </c>
      <c r="D30" s="105">
        <f t="shared" ref="D30" si="23">COUNTIF(D6:D26,"abstenção")</f>
        <v>0</v>
      </c>
      <c r="E30" s="105">
        <f t="shared" si="22"/>
        <v>0</v>
      </c>
      <c r="L30" s="20">
        <f t="shared" ref="L30:AQ30" si="24">COUNTIF(L10:L29,"abstenção")</f>
        <v>0</v>
      </c>
      <c r="M30" s="20">
        <f t="shared" si="24"/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ref="AR30:BJ30" si="25">COUNTIF(AR10:AR29,"abstenção")</f>
        <v>0</v>
      </c>
      <c r="AS30" s="20">
        <f t="shared" si="25"/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ref="BK30:DU30" si="26">COUNTIF(BK10:BK29,"abstenção")</f>
        <v>0</v>
      </c>
      <c r="BL30" s="20">
        <f t="shared" si="26"/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  <c r="DU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E8" sqref="E8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102</v>
      </c>
      <c r="B2" s="2"/>
    </row>
    <row r="3" spans="1:3" ht="15.75" thickBot="1">
      <c r="A3" s="121" t="s">
        <v>103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139</v>
      </c>
    </row>
    <row r="5" spans="1:3" s="6" customFormat="1" ht="60.75" customHeight="1">
      <c r="A5" s="122"/>
      <c r="B5" s="111"/>
      <c r="C5" s="113" t="s">
        <v>70</v>
      </c>
    </row>
    <row r="6" spans="1:3" ht="15.75">
      <c r="A6" s="127" t="s">
        <v>51</v>
      </c>
      <c r="C6" s="107" t="s">
        <v>66</v>
      </c>
    </row>
    <row r="7" spans="1:3" ht="15.75">
      <c r="A7" s="127" t="s">
        <v>68</v>
      </c>
      <c r="C7" s="107" t="s">
        <v>66</v>
      </c>
    </row>
    <row r="8" spans="1:3" ht="15.75">
      <c r="A8" s="127" t="s">
        <v>54</v>
      </c>
      <c r="C8" s="107" t="s">
        <v>66</v>
      </c>
    </row>
    <row r="9" spans="1:3" ht="15.75">
      <c r="A9" s="128" t="s">
        <v>55</v>
      </c>
      <c r="C9" s="107" t="s">
        <v>66</v>
      </c>
    </row>
    <row r="10" spans="1:3" ht="15.75">
      <c r="A10" s="127" t="s">
        <v>28</v>
      </c>
      <c r="C10" s="114" t="s">
        <v>53</v>
      </c>
    </row>
    <row r="11" spans="1:3" ht="15.75">
      <c r="A11" s="127" t="s">
        <v>56</v>
      </c>
      <c r="C11" s="107" t="s">
        <v>66</v>
      </c>
    </row>
    <row r="12" spans="1:3" ht="15.75">
      <c r="A12" s="127" t="s">
        <v>22</v>
      </c>
      <c r="C12" s="107" t="s">
        <v>66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66</v>
      </c>
    </row>
    <row r="15" spans="1:3" ht="15.75">
      <c r="A15" s="127" t="s">
        <v>57</v>
      </c>
      <c r="C15" s="107" t="s">
        <v>66</v>
      </c>
    </row>
    <row r="16" spans="1:3" ht="15.75">
      <c r="A16" s="127" t="s">
        <v>58</v>
      </c>
      <c r="C16" s="107" t="s">
        <v>66</v>
      </c>
    </row>
    <row r="17" spans="1:3" ht="15.75">
      <c r="A17" s="127" t="s">
        <v>59</v>
      </c>
      <c r="C17" s="107" t="s">
        <v>66</v>
      </c>
    </row>
    <row r="18" spans="1:3" ht="15.75">
      <c r="A18" s="127" t="s">
        <v>25</v>
      </c>
      <c r="C18" s="107" t="s">
        <v>66</v>
      </c>
    </row>
    <row r="19" spans="1:3" ht="15.75">
      <c r="A19" s="127" t="s">
        <v>60</v>
      </c>
      <c r="C19" s="107" t="s">
        <v>66</v>
      </c>
    </row>
    <row r="20" spans="1:3" ht="15.75">
      <c r="A20" s="127" t="s">
        <v>97</v>
      </c>
      <c r="C20" s="107" t="s">
        <v>66</v>
      </c>
    </row>
    <row r="21" spans="1:3" ht="15.75">
      <c r="A21" s="127" t="s">
        <v>26</v>
      </c>
      <c r="C21" s="107" t="s">
        <v>66</v>
      </c>
    </row>
    <row r="22" spans="1:3" ht="15.75">
      <c r="A22" s="127" t="s">
        <v>61</v>
      </c>
      <c r="C22" s="107" t="s">
        <v>66</v>
      </c>
    </row>
    <row r="23" spans="1:3" ht="15.75">
      <c r="A23" s="127" t="s">
        <v>69</v>
      </c>
      <c r="C23" s="107" t="s">
        <v>66</v>
      </c>
    </row>
    <row r="24" spans="1:3" ht="15.75">
      <c r="A24" s="127" t="s">
        <v>49</v>
      </c>
      <c r="C24" s="107" t="s">
        <v>66</v>
      </c>
    </row>
    <row r="25" spans="1:3" ht="15.75">
      <c r="A25" s="127" t="s">
        <v>92</v>
      </c>
      <c r="C25" s="107" t="s">
        <v>66</v>
      </c>
    </row>
    <row r="26" spans="1:3" ht="15.75">
      <c r="A26" s="127" t="s">
        <v>62</v>
      </c>
      <c r="C26" s="114" t="s">
        <v>53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3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102</v>
      </c>
      <c r="B2" s="2"/>
      <c r="C2" s="54"/>
      <c r="D2" s="54"/>
      <c r="E2" s="54"/>
    </row>
    <row r="3" spans="1:9" ht="15.75" thickBot="1">
      <c r="A3" s="121" t="s">
        <v>103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93</v>
      </c>
      <c r="G4" s="143" t="s">
        <v>94</v>
      </c>
      <c r="H4" s="143" t="s">
        <v>95</v>
      </c>
      <c r="I4" s="143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97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2025-11-14T20:26:44Z</dcterms:modified>
</cp:coreProperties>
</file>