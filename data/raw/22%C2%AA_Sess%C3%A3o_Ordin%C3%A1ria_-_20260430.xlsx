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6\"/>
    </mc:Choice>
  </mc:AlternateContent>
  <xr:revisionPtr revIDLastSave="0" documentId="13_ncr:1_{1F96C341-325C-4AF7-8F38-EE215CFE8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28" i="10"/>
  <c r="D28" i="10"/>
  <c r="C29" i="10"/>
  <c r="D29" i="10"/>
  <c r="C30" i="10"/>
  <c r="D30" i="10"/>
  <c r="C31" i="10"/>
  <c r="D31" i="10"/>
  <c r="E28" i="10"/>
  <c r="E29" i="10"/>
  <c r="E30" i="10"/>
  <c r="E31" i="10"/>
  <c r="D27" i="3"/>
  <c r="D28" i="3"/>
  <c r="D29" i="3"/>
  <c r="D30" i="3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<sst xmlns="http://schemas.openxmlformats.org/spreadsheetml/2006/main" count="448" uniqueCount="126">
  <si>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</si>
  <si>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</si>
  <si>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</si>
  <si>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</si>
  <si>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</si>
  <si>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</si>
  <si>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</si>
  <si>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</si>
  <si>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</si>
  <si>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</si>
  <si>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</si>
  <si>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</si>
  <si>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</si>
  <si>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</si>
  <si>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</si>
  <si>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</si>
  <si>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</si>
  <si>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</si>
  <si>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</si>
  <si>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</si>
  <si>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</si>
  <si>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</si>
  <si>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</si>
  <si>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</si>
  <si>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</si>
  <si>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</si>
  <si>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</si>
  <si>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</si>
  <si>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</si>
  <si>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</si>
  <si>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</si>
  <si>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</si>
  <si>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</si>
  <si>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</si>
  <si>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</si>
  <si>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</si>
  <si>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</si>
  <si>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</si>
  <si>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</si>
  <si>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</si>
  <si>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</si>
  <si>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</si>
  <si>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</si>
  <si>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</si>
  <si>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</si>
  <si>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</si>
  <si>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</si>
  <si>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</si>
  <si>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</si>
  <si>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</si>
  <si>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</si>
  <si>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</si>
  <si>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</si>
  <si>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</si>
  <si>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</si>
  <si>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</si>
  <si>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</si>
  <si>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</si>
  <si>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</si>
  <si>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</si>
  <si>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</si>
  <si>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</si>
  <si>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</si>
  <si>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</si>
  <si>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</si>
  <si>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</si>
  <si>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</si>
  <si>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</si>
  <si>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</si>
  <si>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</si>
  <si>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</si>
  <si>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</si>
  <si>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</si>
  <si>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</si>
  <si>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</si>
  <si>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</si>
  <si>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</si>
  <si>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</si>
  <si>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</si>
  <si>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</si>
  <si>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</si>
  <si>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</si>
  <si>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</si>
  <si>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</si>
  <si>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</si>
  <si>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</si>
  <si>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</si>
  <si>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</si>
  <si>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</si>
  <si>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</si>
  <si>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</si>
  <si>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</si>
  <si>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</si>
  <si>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</si>
  <si>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</si>
  <si>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</si>
  <si>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t xml:space="preserve"> 2ª chamada abertura da sessão 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</si>
  <si>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</si>
  <si>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APLAUSO Nº 94/2026 – RALFI – </t>
    </r>
    <r>
      <rPr>
        <sz val="11"/>
        <color theme="1"/>
        <rFont val="Arial"/>
        <family val="2"/>
      </rPr>
      <t>Ao Vereador de Jandira Pastor Gilson de Souza, pela realização do 3ﹾ Fórum Público sobre Autismo.</t>
    </r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</si>
  <si>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</si>
  <si>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t>pela ausência do autor, será pautado na próxima sessão.</t>
  </si>
  <si>
    <r>
      <t xml:space="preserve">MOÇÃO DE APLAUSO Nº 100/2026 – PEDRINHO CANTAGESSI - </t>
    </r>
    <r>
      <rPr>
        <sz val="11"/>
        <color theme="1"/>
        <rFont val="Arial"/>
        <family val="2"/>
      </rPr>
      <t>Ao Sr. Gilberto Crispim Gomes por sua trajetória de vida, dedicação profissional e relevantes serviços prestados ao município de Osasco.</t>
    </r>
  </si>
  <si>
    <r>
      <t xml:space="preserve">MOÇÃO DE CONGRATULAÇÕES Nº 103/2026 – 103/2026 – DÉLBIO TERUEL – </t>
    </r>
    <r>
      <rPr>
        <sz val="11"/>
        <color theme="1"/>
        <rFont val="Arial"/>
        <family val="2"/>
      </rPr>
      <t>Ao Reverendíssimo Padre Rodrigo Sousa Carvalho, pároco da Paróquia Santa Teresinha do Menino Jesus, pela celebração de seu segundo ano de posse canônica à frente da comunidade paroquial.</t>
    </r>
  </si>
  <si>
    <r>
      <t xml:space="preserve">MOÇÃO DE REPÚDIO Nº 104/2026 – CANTOR GOLEIRO – </t>
    </r>
    <r>
      <rPr>
        <sz val="11"/>
        <color theme="1"/>
        <rFont val="Arial"/>
        <family val="2"/>
      </rPr>
      <t>Em face das declarações proferidas pela Senadora Soraya Thronicke contra o Frei Gilson, nas quais o chamou de “falso profeta” e o acusou de misoginia após manifestações relacionadas à interpretação religiosa sobre o papel da mulher no matrimônio.</t>
    </r>
  </si>
  <si>
    <t>22ª SESSÃO ORDINÁRIA</t>
  </si>
  <si>
    <t>DIA 30 DE ABRIL DE 2026 - QUINTA-FEIRA</t>
  </si>
  <si>
    <t>VERIFICAÇÃO DE QUORUM</t>
  </si>
  <si>
    <t>Justificativa de ausência do Vereador Carmônio Bastos.</t>
  </si>
  <si>
    <t>Justificativa de ausência do Vereador Ralfi Silva.</t>
  </si>
  <si>
    <t>Justificativa de ausência do Vereador Fábio Chirinhan.</t>
  </si>
  <si>
    <t>Justificativa de ausência da Vereadora Lúcia da Saúde.</t>
  </si>
  <si>
    <t>Justificativa de ausência do Vereador Laércio Mendonça.</t>
  </si>
  <si>
    <t>Justificativa de ausência do Vereador Rodrigo Gansinho.</t>
  </si>
  <si>
    <t>MENSAGEM VETO PROLEGIS Nº 06/2026, do Prefeito do Município de Osasco, informa o veto total ao Projeto de Lei nº 25/2024, do Sr. Ralfi Rafael da Silva, que institui a "Caminhada Azul-OsasTEA", como forma de conscientização sobre o Autismo.</t>
  </si>
  <si>
    <t>PROJETO DE LEI Nº 104/2026 – MESA DIRETORA – Dispõe sobre reajuste aos servidores ativos e inativos da Câmara Municipal de Osasco.</t>
  </si>
  <si>
    <t>PROJETO DE RESOLUÇÃO Nº 2/2026 - MESA DIRETORA - Dispõe sobre a alteração das Resoluções 4 de 15 de maio de 2017; 6 de 18 de maio de 2017, 9 de 20 de dezembro de 2019 e 6 de 7 de junho de 2016.</t>
  </si>
  <si>
    <t>PROJETO DE DECRETO LEGISLATIVO Nº 22/2026 – FÁBIO CHIRINHAN - Dispõe sobre a concessão de Título de Cidadão Osasquense ao Sr. José Antonio Couzo Arévalo
Júnior.</t>
  </si>
  <si>
    <r>
      <t xml:space="preserve">MOÇÃO DE RECONHECIMENTO Nº 95/2026 – EMERSON OSASCO – </t>
    </r>
    <r>
      <rPr>
        <sz val="11"/>
        <color theme="1"/>
        <rFont val="Arial"/>
        <family val="2"/>
      </rPr>
      <t>À etnia Pankararé, que possui uma presença significativa e ativa na cidade de Osasco, sendo reconhecida por sua resistência cultural e organização comunitária no contexto urbano.</t>
    </r>
  </si>
  <si>
    <r>
      <t>MOÇÃO DE CONGRATULAÇÕES Nº 106/2026 – RODRIGO GANSINHO –</t>
    </r>
    <r>
      <rPr>
        <sz val="11"/>
        <color theme="1"/>
        <rFont val="Arial"/>
        <family val="2"/>
      </rPr>
      <t xml:space="preserve"> À Bable Pet Osasco pelos dois anos de história, uma jornada inspiradora marcada por amor, cuidado e pelo compromisso diário de fazer a diferença na vida dos pets e das famílias osasquenses.</t>
    </r>
  </si>
  <si>
    <r>
      <t xml:space="preserve">MOÇÃO DE APLAUSO Nº 107/2026 – ALEXANDRE CAPRIOTTI - </t>
    </r>
    <r>
      <rPr>
        <sz val="11"/>
        <color theme="1"/>
        <rFont val="Arial"/>
        <family val="2"/>
      </rPr>
      <t>À Teresinha Catole Alves pela eleição, por cinco anos, como melhor padeira do Brasil pela Revista Panificação Brasileira.</t>
    </r>
  </si>
  <si>
    <r>
      <t xml:space="preserve">PROJETO DE LEI Nº 30/2026 – ELSA OLIVEIRA - </t>
    </r>
    <r>
      <rPr>
        <sz val="14"/>
        <color theme="1"/>
        <rFont val="Arial"/>
        <family val="2"/>
      </rPr>
      <t>Institui o Dia Municipal da Equidade de Gênero.</t>
    </r>
  </si>
  <si>
    <r>
      <t>PROJETO DE LEI Nº 83/2026 – GUILHERME PRADO -</t>
    </r>
    <r>
      <rPr>
        <sz val="11"/>
        <color theme="1"/>
        <rFont val="Arial"/>
        <family val="2"/>
      </rPr>
      <t xml:space="preserve"> Institui no Calendário Oficial de Osasco o Dia da Corrida e Caminhada Desafio dos Trabalhadores.</t>
    </r>
  </si>
  <si>
    <t>não havendo quórum regimental, será pautado na próxima sessão.</t>
  </si>
  <si>
    <r>
      <t xml:space="preserve">PROJETO DE DECRETO LEGISLATIVO Nº 92/2025 – ALEXANDRE CAPRIOTTI - </t>
    </r>
    <r>
      <rPr>
        <sz val="11"/>
        <color theme="1"/>
        <rFont val="Arial"/>
        <family val="2"/>
      </rPr>
      <t>Dispõe sobre a concessão de Placa Comemorativa à DPA Formaturas.</t>
    </r>
  </si>
  <si>
    <r>
      <t xml:space="preserve">PROJETO DE DECRETO LEGISLATIVO Nº 99/2025 – DÉLBIO TERUEL - </t>
    </r>
    <r>
      <rPr>
        <sz val="11"/>
        <color theme="1"/>
        <rFont val="Arial"/>
        <family val="2"/>
      </rPr>
      <t>Dispõe sobre a concessão de Placa Comemorativa ao Alternativa Auto Posto e dá outras providências.</t>
    </r>
  </si>
  <si>
    <r>
      <t xml:space="preserve">PROJETO DE DECRETO LEGISLATIVO Nº 100/2025 – RALFI SILVA - </t>
    </r>
    <r>
      <rPr>
        <sz val="11"/>
        <color theme="1"/>
        <rFont val="Arial"/>
        <family val="2"/>
      </rPr>
      <t>Dispõe sobre a concessão de Placa Comemorativa à Ecco Multimarcas.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</si>
</sst>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R34" sqref="R3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104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105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63</v>
      </c>
      <c r="D4" s="92"/>
      <c r="E4" s="92" t="s">
        <v>96</v>
      </c>
      <c r="F4" s="44"/>
      <c r="G4" s="43" t="s">
        <v>49</v>
      </c>
      <c r="H4" s="43"/>
      <c r="I4" s="69" t="s">
        <v>47</v>
      </c>
      <c r="J4" s="45"/>
      <c r="K4" s="43" t="s">
        <v>30</v>
      </c>
      <c r="L4" s="45"/>
      <c r="M4" s="43" t="s">
        <v>30</v>
      </c>
      <c r="N4" s="45"/>
      <c r="O4" s="43" t="s">
        <v>106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50</v>
      </c>
      <c r="B5" s="88">
        <v>2</v>
      </c>
      <c r="C5" s="102" t="s">
        <v>52</v>
      </c>
      <c r="D5" s="63">
        <v>2</v>
      </c>
      <c r="E5" s="102" t="s">
        <v>52</v>
      </c>
      <c r="F5" s="88">
        <v>2</v>
      </c>
      <c r="G5" s="102" t="s">
        <v>52</v>
      </c>
      <c r="H5" s="63"/>
      <c r="I5" s="62"/>
      <c r="J5" s="63">
        <v>1</v>
      </c>
      <c r="K5" s="62" t="s">
        <v>51</v>
      </c>
      <c r="L5" s="125"/>
      <c r="M5" s="126"/>
      <c r="N5" s="63">
        <v>2</v>
      </c>
      <c r="O5" s="102" t="s">
        <v>52</v>
      </c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65</v>
      </c>
      <c r="B6" s="88">
        <v>2</v>
      </c>
      <c r="C6" s="102" t="s">
        <v>52</v>
      </c>
      <c r="D6" s="63">
        <v>1</v>
      </c>
      <c r="E6" s="62" t="s">
        <v>51</v>
      </c>
      <c r="F6" s="88">
        <v>2</v>
      </c>
      <c r="G6" s="102" t="s">
        <v>52</v>
      </c>
      <c r="H6" s="63"/>
      <c r="I6" s="62"/>
      <c r="J6" s="63">
        <v>2</v>
      </c>
      <c r="K6" s="102" t="s">
        <v>52</v>
      </c>
      <c r="L6" s="67"/>
      <c r="M6" s="65"/>
      <c r="N6" s="63">
        <v>2</v>
      </c>
      <c r="O6" s="102" t="s">
        <v>52</v>
      </c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53</v>
      </c>
      <c r="B7" s="88">
        <v>2</v>
      </c>
      <c r="C7" s="102" t="s">
        <v>52</v>
      </c>
      <c r="D7" s="63">
        <v>1</v>
      </c>
      <c r="E7" s="62" t="s">
        <v>51</v>
      </c>
      <c r="F7" s="88">
        <v>1</v>
      </c>
      <c r="G7" s="62" t="s">
        <v>51</v>
      </c>
      <c r="H7" s="63"/>
      <c r="I7" s="62"/>
      <c r="J7" s="63">
        <v>1</v>
      </c>
      <c r="K7" s="62" t="s">
        <v>51</v>
      </c>
      <c r="L7" s="67"/>
      <c r="M7" s="65"/>
      <c r="N7" s="63">
        <v>2</v>
      </c>
      <c r="O7" s="102" t="s">
        <v>52</v>
      </c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54</v>
      </c>
      <c r="B8" s="88">
        <v>2</v>
      </c>
      <c r="C8" s="102" t="s">
        <v>52</v>
      </c>
      <c r="D8" s="63">
        <v>2</v>
      </c>
      <c r="E8" s="102" t="s">
        <v>52</v>
      </c>
      <c r="F8" s="88">
        <v>2</v>
      </c>
      <c r="G8" s="102" t="s">
        <v>52</v>
      </c>
      <c r="H8" s="63"/>
      <c r="I8" s="62"/>
      <c r="J8" s="63">
        <v>2</v>
      </c>
      <c r="K8" s="102" t="s">
        <v>52</v>
      </c>
      <c r="L8" s="67"/>
      <c r="M8" s="65"/>
      <c r="N8" s="63">
        <v>2</v>
      </c>
      <c r="O8" s="102" t="s">
        <v>52</v>
      </c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51</v>
      </c>
      <c r="D9" s="63">
        <v>1</v>
      </c>
      <c r="E9" s="62" t="s">
        <v>51</v>
      </c>
      <c r="F9" s="88">
        <v>1</v>
      </c>
      <c r="G9" s="62" t="s">
        <v>51</v>
      </c>
      <c r="H9" s="63"/>
      <c r="I9" s="62"/>
      <c r="J9" s="63">
        <v>1</v>
      </c>
      <c r="K9" s="62" t="s">
        <v>51</v>
      </c>
      <c r="L9" s="67"/>
      <c r="M9" s="65"/>
      <c r="N9" s="63">
        <v>2</v>
      </c>
      <c r="O9" s="102" t="s">
        <v>52</v>
      </c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55</v>
      </c>
      <c r="B10" s="88">
        <v>1</v>
      </c>
      <c r="C10" s="62" t="s">
        <v>51</v>
      </c>
      <c r="D10" s="63">
        <v>1</v>
      </c>
      <c r="E10" s="62" t="s">
        <v>51</v>
      </c>
      <c r="F10" s="88">
        <v>1</v>
      </c>
      <c r="G10" s="62" t="s">
        <v>51</v>
      </c>
      <c r="H10" s="63"/>
      <c r="I10" s="62"/>
      <c r="J10" s="63">
        <v>1</v>
      </c>
      <c r="K10" s="62" t="s">
        <v>51</v>
      </c>
      <c r="L10" s="67"/>
      <c r="M10" s="65"/>
      <c r="N10" s="63">
        <v>1</v>
      </c>
      <c r="O10" s="62" t="s">
        <v>51</v>
      </c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2</v>
      </c>
      <c r="C11" s="102" t="s">
        <v>52</v>
      </c>
      <c r="D11" s="63">
        <v>1</v>
      </c>
      <c r="E11" s="62" t="s">
        <v>51</v>
      </c>
      <c r="F11" s="88">
        <v>1</v>
      </c>
      <c r="G11" s="62" t="s">
        <v>51</v>
      </c>
      <c r="H11" s="63"/>
      <c r="I11" s="62"/>
      <c r="J11" s="63">
        <v>1</v>
      </c>
      <c r="K11" s="62" t="s">
        <v>51</v>
      </c>
      <c r="L11" s="67"/>
      <c r="M11" s="65"/>
      <c r="N11" s="63">
        <v>1</v>
      </c>
      <c r="O11" s="62" t="s">
        <v>51</v>
      </c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52</v>
      </c>
      <c r="D12" s="63">
        <v>2</v>
      </c>
      <c r="E12" s="102" t="s">
        <v>52</v>
      </c>
      <c r="F12" s="88">
        <v>2</v>
      </c>
      <c r="G12" s="102" t="s">
        <v>52</v>
      </c>
      <c r="H12" s="63"/>
      <c r="I12" s="68"/>
      <c r="J12" s="63">
        <v>2</v>
      </c>
      <c r="K12" s="102" t="s">
        <v>52</v>
      </c>
      <c r="L12" s="67"/>
      <c r="M12" s="65"/>
      <c r="N12" s="63">
        <v>2</v>
      </c>
      <c r="O12" s="102" t="s">
        <v>52</v>
      </c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52</v>
      </c>
      <c r="D13" s="63">
        <v>2</v>
      </c>
      <c r="E13" s="102" t="s">
        <v>52</v>
      </c>
      <c r="F13" s="88">
        <v>2</v>
      </c>
      <c r="G13" s="102" t="s">
        <v>52</v>
      </c>
      <c r="H13" s="63"/>
      <c r="I13" s="62"/>
      <c r="J13" s="63">
        <v>2</v>
      </c>
      <c r="K13" s="102" t="s">
        <v>52</v>
      </c>
      <c r="L13" s="67"/>
      <c r="M13" s="65"/>
      <c r="N13" s="63">
        <v>2</v>
      </c>
      <c r="O13" s="102" t="s">
        <v>52</v>
      </c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56</v>
      </c>
      <c r="B14" s="88">
        <v>2</v>
      </c>
      <c r="C14" s="102" t="s">
        <v>52</v>
      </c>
      <c r="D14" s="63">
        <v>1</v>
      </c>
      <c r="E14" s="62" t="s">
        <v>51</v>
      </c>
      <c r="F14" s="88">
        <v>1</v>
      </c>
      <c r="G14" s="62" t="s">
        <v>51</v>
      </c>
      <c r="H14" s="63"/>
      <c r="I14" s="62"/>
      <c r="J14" s="63">
        <v>1</v>
      </c>
      <c r="K14" s="62" t="s">
        <v>51</v>
      </c>
      <c r="L14" s="67"/>
      <c r="M14" s="65"/>
      <c r="N14" s="63">
        <v>2</v>
      </c>
      <c r="O14" s="102" t="s">
        <v>52</v>
      </c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57</v>
      </c>
      <c r="B15" s="88">
        <v>2</v>
      </c>
      <c r="C15" s="102" t="s">
        <v>52</v>
      </c>
      <c r="D15" s="63">
        <v>1</v>
      </c>
      <c r="E15" s="62" t="s">
        <v>51</v>
      </c>
      <c r="F15" s="88">
        <v>1</v>
      </c>
      <c r="G15" s="62" t="s">
        <v>51</v>
      </c>
      <c r="H15" s="63"/>
      <c r="I15" s="62"/>
      <c r="J15" s="63">
        <v>1</v>
      </c>
      <c r="K15" s="62" t="s">
        <v>51</v>
      </c>
      <c r="L15" s="67"/>
      <c r="M15" s="65"/>
      <c r="N15" s="63">
        <v>2</v>
      </c>
      <c r="O15" s="102" t="s">
        <v>52</v>
      </c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58</v>
      </c>
      <c r="B16" s="88">
        <v>2</v>
      </c>
      <c r="C16" s="102" t="s">
        <v>52</v>
      </c>
      <c r="D16" s="63">
        <v>2</v>
      </c>
      <c r="E16" s="102" t="s">
        <v>52</v>
      </c>
      <c r="F16" s="88">
        <v>2</v>
      </c>
      <c r="G16" s="102" t="s">
        <v>52</v>
      </c>
      <c r="H16" s="63"/>
      <c r="I16" s="62"/>
      <c r="J16" s="63">
        <v>1</v>
      </c>
      <c r="K16" s="62" t="s">
        <v>51</v>
      </c>
      <c r="L16" s="67"/>
      <c r="M16" s="65"/>
      <c r="N16" s="63">
        <v>2</v>
      </c>
      <c r="O16" s="102" t="s">
        <v>52</v>
      </c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52</v>
      </c>
      <c r="D17" s="63">
        <v>1</v>
      </c>
      <c r="E17" s="62" t="s">
        <v>51</v>
      </c>
      <c r="F17" s="88">
        <v>1</v>
      </c>
      <c r="G17" s="62" t="s">
        <v>51</v>
      </c>
      <c r="H17" s="63"/>
      <c r="I17" s="68"/>
      <c r="J17" s="63">
        <v>1</v>
      </c>
      <c r="K17" s="62" t="s">
        <v>51</v>
      </c>
      <c r="L17" s="67"/>
      <c r="M17" s="65"/>
      <c r="N17" s="63">
        <v>1</v>
      </c>
      <c r="O17" s="62" t="s">
        <v>51</v>
      </c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59</v>
      </c>
      <c r="B18" s="88">
        <v>2</v>
      </c>
      <c r="C18" s="102" t="s">
        <v>52</v>
      </c>
      <c r="D18" s="63">
        <v>2</v>
      </c>
      <c r="E18" s="102" t="s">
        <v>52</v>
      </c>
      <c r="F18" s="88">
        <v>2</v>
      </c>
      <c r="G18" s="102" t="s">
        <v>52</v>
      </c>
      <c r="H18" s="63"/>
      <c r="I18" s="62"/>
      <c r="J18" s="63">
        <v>2</v>
      </c>
      <c r="K18" s="102" t="s">
        <v>52</v>
      </c>
      <c r="L18" s="67"/>
      <c r="M18" s="65"/>
      <c r="N18" s="63">
        <v>2</v>
      </c>
      <c r="O18" s="102" t="s">
        <v>52</v>
      </c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93</v>
      </c>
      <c r="B19" s="88">
        <v>2</v>
      </c>
      <c r="C19" s="102" t="s">
        <v>52</v>
      </c>
      <c r="D19" s="63">
        <v>2</v>
      </c>
      <c r="E19" s="102" t="s">
        <v>52</v>
      </c>
      <c r="F19" s="88">
        <v>2</v>
      </c>
      <c r="G19" s="102" t="s">
        <v>52</v>
      </c>
      <c r="H19" s="63"/>
      <c r="I19" s="62"/>
      <c r="J19" s="63">
        <v>2</v>
      </c>
      <c r="K19" s="102" t="s">
        <v>52</v>
      </c>
      <c r="L19" s="67"/>
      <c r="M19" s="65"/>
      <c r="N19" s="63">
        <v>2</v>
      </c>
      <c r="O19" s="102" t="s">
        <v>52</v>
      </c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52</v>
      </c>
      <c r="D20" s="63">
        <v>2</v>
      </c>
      <c r="E20" s="102" t="s">
        <v>52</v>
      </c>
      <c r="F20" s="88">
        <v>1</v>
      </c>
      <c r="G20" s="62" t="s">
        <v>51</v>
      </c>
      <c r="H20" s="63"/>
      <c r="I20" s="68"/>
      <c r="J20" s="63">
        <v>2</v>
      </c>
      <c r="K20" s="102" t="s">
        <v>52</v>
      </c>
      <c r="L20" s="67"/>
      <c r="M20" s="65"/>
      <c r="N20" s="63">
        <v>2</v>
      </c>
      <c r="O20" s="102" t="s">
        <v>52</v>
      </c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60</v>
      </c>
      <c r="B21" s="88">
        <v>2</v>
      </c>
      <c r="C21" s="102" t="s">
        <v>52</v>
      </c>
      <c r="D21" s="63">
        <v>1</v>
      </c>
      <c r="E21" s="62" t="s">
        <v>51</v>
      </c>
      <c r="F21" s="88">
        <v>1</v>
      </c>
      <c r="G21" s="62" t="s">
        <v>51</v>
      </c>
      <c r="H21" s="63"/>
      <c r="I21" s="62"/>
      <c r="J21" s="63">
        <v>1</v>
      </c>
      <c r="K21" s="62" t="s">
        <v>51</v>
      </c>
      <c r="L21" s="64"/>
      <c r="M21" s="64"/>
      <c r="N21" s="63">
        <v>2</v>
      </c>
      <c r="O21" s="102" t="s">
        <v>52</v>
      </c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66</v>
      </c>
      <c r="B22" s="88">
        <v>2</v>
      </c>
      <c r="C22" s="102" t="s">
        <v>52</v>
      </c>
      <c r="D22" s="63">
        <v>2</v>
      </c>
      <c r="E22" s="102" t="s">
        <v>52</v>
      </c>
      <c r="F22" s="88">
        <v>2</v>
      </c>
      <c r="G22" s="102" t="s">
        <v>52</v>
      </c>
      <c r="H22" s="63"/>
      <c r="I22" s="68"/>
      <c r="J22" s="63">
        <v>2</v>
      </c>
      <c r="K22" s="102" t="s">
        <v>52</v>
      </c>
      <c r="L22" s="67"/>
      <c r="M22" s="65"/>
      <c r="N22" s="63">
        <v>2</v>
      </c>
      <c r="O22" s="102" t="s">
        <v>52</v>
      </c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48</v>
      </c>
      <c r="B23" s="88">
        <v>2</v>
      </c>
      <c r="C23" s="102" t="s">
        <v>52</v>
      </c>
      <c r="D23" s="63">
        <v>2</v>
      </c>
      <c r="E23" s="102" t="s">
        <v>52</v>
      </c>
      <c r="F23" s="88">
        <v>2</v>
      </c>
      <c r="G23" s="102" t="s">
        <v>52</v>
      </c>
      <c r="H23" s="63"/>
      <c r="I23" s="62"/>
      <c r="J23" s="63">
        <v>2</v>
      </c>
      <c r="K23" s="102" t="s">
        <v>52</v>
      </c>
      <c r="L23" s="67"/>
      <c r="M23" s="65"/>
      <c r="N23" s="63">
        <v>2</v>
      </c>
      <c r="O23" s="102" t="s">
        <v>52</v>
      </c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87</v>
      </c>
      <c r="B24" s="88">
        <v>2</v>
      </c>
      <c r="C24" s="102" t="s">
        <v>52</v>
      </c>
      <c r="D24" s="63">
        <v>2</v>
      </c>
      <c r="E24" s="102" t="s">
        <v>52</v>
      </c>
      <c r="F24" s="88">
        <v>1</v>
      </c>
      <c r="G24" s="62" t="s">
        <v>51</v>
      </c>
      <c r="H24" s="63"/>
      <c r="I24" s="62"/>
      <c r="J24" s="63">
        <v>1</v>
      </c>
      <c r="K24" s="62" t="s">
        <v>51</v>
      </c>
      <c r="L24" s="67"/>
      <c r="M24" s="65"/>
      <c r="N24" s="63">
        <v>1</v>
      </c>
      <c r="O24" s="62" t="s">
        <v>51</v>
      </c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61</v>
      </c>
      <c r="B25" s="88">
        <v>1</v>
      </c>
      <c r="C25" s="62" t="s">
        <v>51</v>
      </c>
      <c r="D25" s="63">
        <v>1</v>
      </c>
      <c r="E25" s="62" t="s">
        <v>51</v>
      </c>
      <c r="F25" s="88">
        <v>1</v>
      </c>
      <c r="G25" s="62" t="s">
        <v>51</v>
      </c>
      <c r="H25" s="63"/>
      <c r="I25" s="68"/>
      <c r="J25" s="63">
        <v>1</v>
      </c>
      <c r="K25" s="62" t="s">
        <v>51</v>
      </c>
      <c r="L25" s="67"/>
      <c r="M25" s="65"/>
      <c r="N25" s="63">
        <v>1</v>
      </c>
      <c r="O25" s="62" t="s">
        <v>51</v>
      </c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3</v>
      </c>
      <c r="C26" s="96" t="s">
        <v>45</v>
      </c>
      <c r="D26" s="98">
        <v>10</v>
      </c>
      <c r="E26" s="96" t="s">
        <v>45</v>
      </c>
      <c r="F26" s="98">
        <v>11</v>
      </c>
      <c r="G26" s="96" t="s">
        <v>45</v>
      </c>
      <c r="H26" s="100"/>
      <c r="I26" s="101"/>
      <c r="J26" s="98">
        <v>12</v>
      </c>
      <c r="K26" s="95" t="s">
        <v>45</v>
      </c>
      <c r="L26" s="85"/>
      <c r="M26" s="94"/>
      <c r="N26" s="98">
        <v>5</v>
      </c>
      <c r="O26" s="96" t="s">
        <v>45</v>
      </c>
      <c r="P26" s="98"/>
      <c r="Q26" s="98"/>
      <c r="R26" s="97" t="s">
        <v>45</v>
      </c>
      <c r="S26" s="86"/>
      <c r="V26" s="12"/>
      <c r="W26" s="12"/>
    </row>
    <row r="27" spans="1:28" ht="16.5" thickBot="1">
      <c r="A27" s="39" t="s">
        <v>14</v>
      </c>
      <c r="B27" s="98">
        <v>18</v>
      </c>
      <c r="C27" s="96" t="s">
        <v>46</v>
      </c>
      <c r="D27" s="98">
        <v>11</v>
      </c>
      <c r="E27" s="96" t="s">
        <v>46</v>
      </c>
      <c r="F27" s="98">
        <v>10</v>
      </c>
      <c r="G27" s="96" t="s">
        <v>46</v>
      </c>
      <c r="H27" s="100"/>
      <c r="I27" s="96"/>
      <c r="J27" s="98">
        <v>9</v>
      </c>
      <c r="K27" s="95" t="s">
        <v>46</v>
      </c>
      <c r="L27" s="85"/>
      <c r="M27" s="94"/>
      <c r="N27" s="98">
        <v>16</v>
      </c>
      <c r="O27" s="96" t="s">
        <v>46</v>
      </c>
      <c r="P27" s="98"/>
      <c r="Q27" s="98"/>
      <c r="R27" s="95" t="s">
        <v>46</v>
      </c>
      <c r="S27" s="86"/>
      <c r="V27" s="12"/>
      <c r="W27" s="12"/>
      <c r="AB27" s="5" t="s">
        <v>64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26</v>
      </c>
      <c r="V32" s="12"/>
      <c r="W32" s="12"/>
    </row>
    <row r="33" spans="1:23" ht="18">
      <c r="A33" s="34" t="s">
        <v>87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62</v>
      </c>
      <c r="V43" s="12"/>
      <c r="W43" s="12"/>
    </row>
    <row r="44" spans="1:23" ht="18">
      <c r="A44" s="34" t="s">
        <v>58</v>
      </c>
      <c r="V44" s="12"/>
      <c r="W44" s="12"/>
    </row>
    <row r="45" spans="1:23" ht="18">
      <c r="A45" s="34" t="s">
        <v>65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50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B1" activePane="topRight" state="frozen"/>
      <selection pane="topRight" activeCell="Y4" sqref="Y4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22" width="22.7109375" style="22" customWidth="1"/>
    <col min="23" max="16384" width="9.140625" style="22"/>
  </cols>
  <sheetData>
    <row r="1" spans="1:22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2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2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22" ht="63" customHeight="1">
      <c r="A4" s="51" t="str">
        <f>'[1]MOÇÃO E REQUERIMENTO'!B7</f>
        <v>EXPEDIENTE</v>
      </c>
      <c r="B4" s="50" t="s">
        <v>44</v>
      </c>
      <c r="C4" s="117" t="s">
        <v>107</v>
      </c>
      <c r="D4" s="117" t="s">
        <v>108</v>
      </c>
      <c r="E4" s="117" t="s">
        <v>109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7" t="s">
        <v>114</v>
      </c>
      <c r="K4" s="117" t="s">
        <v>115</v>
      </c>
      <c r="L4" s="117" t="s">
        <v>116</v>
      </c>
      <c r="M4" s="112" t="s">
        <v>34</v>
      </c>
      <c r="N4" s="124"/>
      <c r="O4" s="50" t="s">
        <v>27</v>
      </c>
      <c r="P4" s="84" t="s">
        <v>98</v>
      </c>
      <c r="Q4" s="84" t="s">
        <v>117</v>
      </c>
      <c r="R4" s="84" t="s">
        <v>101</v>
      </c>
      <c r="S4" s="84" t="s">
        <v>102</v>
      </c>
      <c r="T4" s="84" t="s">
        <v>103</v>
      </c>
      <c r="U4" s="84" t="s">
        <v>118</v>
      </c>
      <c r="V4" s="84" t="s">
        <v>119</v>
      </c>
    </row>
    <row r="5" spans="1:22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8" t="s">
        <v>95</v>
      </c>
      <c r="Q5" s="118" t="s">
        <v>95</v>
      </c>
      <c r="R5" s="113" t="s">
        <v>94</v>
      </c>
      <c r="S5" s="113" t="s">
        <v>94</v>
      </c>
      <c r="T5" s="113" t="s">
        <v>94</v>
      </c>
      <c r="U5" s="118" t="s">
        <v>95</v>
      </c>
      <c r="V5" s="118" t="s">
        <v>95</v>
      </c>
    </row>
    <row r="6" spans="1:22" ht="15.75">
      <c r="A6" s="127" t="s">
        <v>50</v>
      </c>
      <c r="O6" s="23"/>
    </row>
    <row r="7" spans="1:22" ht="15.75">
      <c r="A7" s="127" t="s">
        <v>65</v>
      </c>
      <c r="O7" s="23"/>
    </row>
    <row r="8" spans="1:22" ht="15.75">
      <c r="A8" s="127" t="s">
        <v>53</v>
      </c>
      <c r="O8" s="23"/>
    </row>
    <row r="9" spans="1:22" ht="15.75">
      <c r="A9" s="128" t="s">
        <v>54</v>
      </c>
      <c r="O9" s="23"/>
    </row>
    <row r="10" spans="1:22" ht="15.75">
      <c r="A10" s="127" t="s">
        <v>28</v>
      </c>
      <c r="O10" s="23"/>
    </row>
    <row r="11" spans="1:22" ht="15.75">
      <c r="A11" s="127" t="s">
        <v>55</v>
      </c>
      <c r="O11" s="23"/>
    </row>
    <row r="12" spans="1:22" ht="15.75">
      <c r="A12" s="127" t="s">
        <v>22</v>
      </c>
      <c r="O12" s="23"/>
    </row>
    <row r="13" spans="1:22" ht="15.75">
      <c r="A13" s="127" t="s">
        <v>23</v>
      </c>
      <c r="O13" s="23"/>
    </row>
    <row r="14" spans="1:22" ht="15.75">
      <c r="A14" s="127" t="s">
        <v>24</v>
      </c>
      <c r="O14" s="23"/>
    </row>
    <row r="15" spans="1:22" ht="15.75">
      <c r="A15" s="127" t="s">
        <v>56</v>
      </c>
      <c r="O15" s="23"/>
    </row>
    <row r="16" spans="1:22" ht="15.75">
      <c r="A16" s="127" t="s">
        <v>57</v>
      </c>
      <c r="O16" s="23"/>
    </row>
    <row r="17" spans="1:15" ht="15.75">
      <c r="A17" s="127" t="s">
        <v>58</v>
      </c>
      <c r="O17" s="23"/>
    </row>
    <row r="18" spans="1:15" ht="15.75">
      <c r="A18" s="127" t="s">
        <v>25</v>
      </c>
      <c r="O18" s="23"/>
    </row>
    <row r="19" spans="1:15" ht="15.75">
      <c r="A19" s="127" t="s">
        <v>59</v>
      </c>
      <c r="O19" s="23"/>
    </row>
    <row r="20" spans="1:15" ht="15.75">
      <c r="A20" s="127" t="s">
        <v>93</v>
      </c>
      <c r="O20" s="23"/>
    </row>
    <row r="21" spans="1:15" ht="15.75">
      <c r="A21" s="127" t="s">
        <v>26</v>
      </c>
      <c r="O21" s="23"/>
    </row>
    <row r="22" spans="1:15" ht="15.75">
      <c r="A22" s="127" t="s">
        <v>60</v>
      </c>
      <c r="O22" s="23"/>
    </row>
    <row r="23" spans="1:15" ht="15.75">
      <c r="A23" s="127" t="s">
        <v>66</v>
      </c>
      <c r="O23" s="23"/>
    </row>
    <row r="24" spans="1:15" ht="15.75">
      <c r="A24" s="127" t="s">
        <v>48</v>
      </c>
      <c r="O24" s="23"/>
    </row>
    <row r="25" spans="1:15" ht="15.75">
      <c r="A25" s="127" t="s">
        <v>87</v>
      </c>
      <c r="O25" s="23"/>
    </row>
    <row r="26" spans="1:15" ht="15.75">
      <c r="A26" s="127" t="s">
        <v>61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104</v>
      </c>
      <c r="B2" s="49"/>
      <c r="C2" s="74"/>
    </row>
    <row r="3" spans="1:45" ht="17.25" customHeight="1">
      <c r="A3" s="76" t="s">
        <v>105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5"/>
      <c r="D5" s="79"/>
      <c r="E5" s="113" t="s">
        <v>97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50</v>
      </c>
      <c r="C6" s="107"/>
      <c r="E6" s="107"/>
      <c r="F6" s="143"/>
    </row>
    <row r="7" spans="1:45" ht="20.25">
      <c r="A7" s="46" t="s">
        <v>65</v>
      </c>
      <c r="C7" s="107"/>
      <c r="E7" s="114"/>
    </row>
    <row r="8" spans="1:45" ht="20.25">
      <c r="A8" s="46" t="s">
        <v>53</v>
      </c>
      <c r="C8" s="144"/>
      <c r="E8" s="107"/>
    </row>
    <row r="9" spans="1:45" ht="20.25">
      <c r="A9" s="82" t="s">
        <v>54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55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14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56</v>
      </c>
      <c r="C15" s="144"/>
      <c r="E15" s="114"/>
    </row>
    <row r="16" spans="1:45" ht="20.25">
      <c r="A16" s="46" t="s">
        <v>57</v>
      </c>
      <c r="C16" s="144"/>
      <c r="E16" s="107"/>
    </row>
    <row r="17" spans="1:130" ht="20.25">
      <c r="A17" s="46" t="s">
        <v>58</v>
      </c>
      <c r="C17" s="114"/>
      <c r="E17" s="107"/>
    </row>
    <row r="18" spans="1:130" ht="20.25">
      <c r="A18" s="46" t="s">
        <v>25</v>
      </c>
      <c r="C18" s="114"/>
      <c r="E18" s="107"/>
    </row>
    <row r="19" spans="1:130" ht="20.25">
      <c r="A19" s="46" t="s">
        <v>59</v>
      </c>
      <c r="C19" s="107"/>
      <c r="E19" s="107"/>
    </row>
    <row r="20" spans="1:130" ht="20.25">
      <c r="A20" s="46" t="s">
        <v>93</v>
      </c>
      <c r="C20" s="114"/>
      <c r="E20" s="107"/>
    </row>
    <row r="21" spans="1:130" ht="20.25">
      <c r="A21" s="46" t="s">
        <v>26</v>
      </c>
      <c r="C21" s="114"/>
      <c r="E21" s="114"/>
    </row>
    <row r="22" spans="1:130" ht="20.25">
      <c r="A22" s="46" t="s">
        <v>60</v>
      </c>
      <c r="C22" s="144"/>
      <c r="E22" s="107"/>
    </row>
    <row r="23" spans="1:130" ht="20.25">
      <c r="A23" s="46" t="s">
        <v>66</v>
      </c>
      <c r="C23" s="114"/>
      <c r="E23" s="107"/>
    </row>
    <row r="24" spans="1:130" ht="20.25">
      <c r="A24" s="46" t="s">
        <v>48</v>
      </c>
      <c r="C24" s="114"/>
      <c r="E24" s="107"/>
    </row>
    <row r="25" spans="1:130" ht="20.25">
      <c r="A25" s="46" t="s">
        <v>87</v>
      </c>
      <c r="C25" s="114"/>
      <c r="E25" s="107"/>
    </row>
    <row r="26" spans="1:130" ht="20.25">
      <c r="A26" s="46" t="s">
        <v>61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0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0</v>
      </c>
      <c r="E29" s="40">
        <f t="shared" ref="E29" si="4">COUNTIF(E6:E26,"ausente")</f>
        <v>0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0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99</v>
      </c>
      <c r="D4" s="139" t="s">
        <v>121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100</v>
      </c>
      <c r="D5" s="113" t="s">
        <v>97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50</v>
      </c>
      <c r="C6" s="107"/>
      <c r="D6" s="107"/>
      <c r="V6" s="7"/>
      <c r="W6" s="7"/>
    </row>
    <row r="7" spans="1:30" ht="18">
      <c r="A7" s="129" t="s">
        <v>65</v>
      </c>
      <c r="C7" s="114"/>
      <c r="D7" s="114"/>
      <c r="V7" s="7"/>
      <c r="W7" s="7"/>
    </row>
    <row r="8" spans="1:30" ht="18">
      <c r="A8" s="129" t="s">
        <v>53</v>
      </c>
      <c r="C8" s="107"/>
      <c r="D8" s="107"/>
      <c r="V8" s="7"/>
      <c r="W8" s="7"/>
    </row>
    <row r="9" spans="1:30" ht="18">
      <c r="A9" s="130" t="s">
        <v>54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55</v>
      </c>
      <c r="C11" s="107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07"/>
      <c r="D13" s="107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56</v>
      </c>
      <c r="C15" s="114"/>
      <c r="D15" s="114"/>
      <c r="V15" s="7"/>
      <c r="W15" s="7"/>
    </row>
    <row r="16" spans="1:30" ht="18">
      <c r="A16" s="129" t="s">
        <v>57</v>
      </c>
      <c r="C16" s="107"/>
      <c r="D16" s="107"/>
      <c r="V16" s="7"/>
      <c r="W16" s="7"/>
    </row>
    <row r="17" spans="1:124" ht="15" customHeight="1">
      <c r="A17" s="129" t="s">
        <v>58</v>
      </c>
      <c r="C17" s="107"/>
      <c r="D17" s="107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59</v>
      </c>
      <c r="C19" s="107"/>
      <c r="D19" s="107"/>
      <c r="V19" s="7"/>
      <c r="W19" s="7"/>
    </row>
    <row r="20" spans="1:124" ht="18">
      <c r="A20" s="129" t="s">
        <v>93</v>
      </c>
      <c r="C20" s="107"/>
      <c r="D20" s="107"/>
      <c r="V20" s="7"/>
      <c r="W20" s="7"/>
    </row>
    <row r="21" spans="1:124" ht="18">
      <c r="A21" s="129" t="s">
        <v>26</v>
      </c>
      <c r="C21" s="114"/>
      <c r="D21" s="114"/>
      <c r="V21" s="7"/>
      <c r="W21" s="7"/>
    </row>
    <row r="22" spans="1:124" ht="18">
      <c r="A22" s="129" t="s">
        <v>60</v>
      </c>
      <c r="C22" s="107"/>
      <c r="D22" s="107"/>
      <c r="V22" s="7"/>
      <c r="W22" s="7"/>
    </row>
    <row r="23" spans="1:124" ht="18">
      <c r="A23" s="129" t="s">
        <v>66</v>
      </c>
      <c r="C23" s="107"/>
      <c r="D23" s="107"/>
      <c r="V23" s="7"/>
      <c r="W23" s="7"/>
    </row>
    <row r="24" spans="1:124" ht="18">
      <c r="A24" s="129" t="s">
        <v>48</v>
      </c>
      <c r="C24" s="107"/>
      <c r="D24" s="107"/>
      <c r="V24" s="7"/>
      <c r="W24" s="7"/>
    </row>
    <row r="25" spans="1:124" ht="18">
      <c r="A25" s="129" t="s">
        <v>87</v>
      </c>
      <c r="C25" s="107"/>
      <c r="D25" s="107"/>
      <c r="V25" s="7"/>
      <c r="W25" s="7"/>
    </row>
    <row r="26" spans="1:124" ht="18">
      <c r="A26" s="129" t="s">
        <v>61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3">
        <f t="shared" ref="C27" si="1">COUNTIF(C6:C26,"sim")</f>
        <v>0</v>
      </c>
      <c r="D27" s="103">
        <f t="shared" si="0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4">
        <f t="shared" ref="C28" si="7">COUNTIF(C6:C26,"não")</f>
        <v>0</v>
      </c>
      <c r="D28" s="104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0</v>
      </c>
      <c r="D29" s="40">
        <f t="shared" si="12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5">
        <f t="shared" ref="C30" si="19">COUNTIF(C6:C26,"abstenção")</f>
        <v>0</v>
      </c>
      <c r="D30" s="105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104</v>
      </c>
      <c r="B2" s="2"/>
    </row>
    <row r="3" spans="1:5" ht="15.75" thickBot="1">
      <c r="A3" s="121" t="s">
        <v>105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123</v>
      </c>
      <c r="D4" s="139" t="s">
        <v>124</v>
      </c>
      <c r="E4" s="139" t="s">
        <v>125</v>
      </c>
    </row>
    <row r="5" spans="1:5" s="6" customFormat="1" ht="60.75" customHeight="1">
      <c r="A5" s="122"/>
      <c r="B5" s="111"/>
      <c r="C5" s="118" t="s">
        <v>122</v>
      </c>
      <c r="D5" s="118" t="s">
        <v>122</v>
      </c>
      <c r="E5" s="118" t="s">
        <v>122</v>
      </c>
    </row>
    <row r="6" spans="1:5" ht="15.75">
      <c r="A6" s="127" t="s">
        <v>50</v>
      </c>
      <c r="C6" s="107"/>
      <c r="D6" s="107"/>
      <c r="E6" s="107"/>
    </row>
    <row r="7" spans="1:5" ht="15.75">
      <c r="A7" s="127" t="s">
        <v>65</v>
      </c>
      <c r="C7" s="114"/>
      <c r="D7" s="114"/>
      <c r="E7" s="114"/>
    </row>
    <row r="8" spans="1:5" ht="15.75">
      <c r="A8" s="127" t="s">
        <v>53</v>
      </c>
      <c r="C8" s="107"/>
      <c r="D8" s="107"/>
      <c r="E8" s="107"/>
    </row>
    <row r="9" spans="1:5" ht="15.75">
      <c r="A9" s="128" t="s">
        <v>54</v>
      </c>
      <c r="C9" s="107"/>
      <c r="D9" s="107"/>
      <c r="E9" s="107"/>
    </row>
    <row r="10" spans="1:5" ht="15.75">
      <c r="A10" s="127" t="s">
        <v>28</v>
      </c>
      <c r="C10" s="107"/>
      <c r="D10" s="107"/>
      <c r="E10" s="107"/>
    </row>
    <row r="11" spans="1:5" ht="15.75">
      <c r="A11" s="127" t="s">
        <v>55</v>
      </c>
      <c r="C11" s="107"/>
      <c r="D11" s="107"/>
      <c r="E11" s="107"/>
    </row>
    <row r="12" spans="1:5" ht="15.75">
      <c r="A12" s="127" t="s">
        <v>22</v>
      </c>
      <c r="C12" s="107"/>
      <c r="D12" s="107"/>
      <c r="E12" s="107"/>
    </row>
    <row r="13" spans="1:5" ht="15.75">
      <c r="A13" s="127" t="s">
        <v>23</v>
      </c>
      <c r="B13" s="138"/>
      <c r="C13" s="114"/>
      <c r="D13" s="114"/>
      <c r="E13" s="114"/>
    </row>
    <row r="14" spans="1:5" ht="15.75">
      <c r="A14" s="127" t="s">
        <v>24</v>
      </c>
      <c r="C14" s="107"/>
      <c r="D14" s="107"/>
      <c r="E14" s="107"/>
    </row>
    <row r="15" spans="1:5" ht="15.75">
      <c r="A15" s="127" t="s">
        <v>56</v>
      </c>
      <c r="C15" s="107"/>
      <c r="D15" s="107"/>
      <c r="E15" s="107"/>
    </row>
    <row r="16" spans="1:5" ht="15.75">
      <c r="A16" s="127" t="s">
        <v>57</v>
      </c>
      <c r="C16" s="107"/>
      <c r="D16" s="107"/>
      <c r="E16" s="107"/>
    </row>
    <row r="17" spans="1:5" ht="15.75">
      <c r="A17" s="127" t="s">
        <v>58</v>
      </c>
      <c r="C17" s="107"/>
      <c r="D17" s="107"/>
      <c r="E17" s="107"/>
    </row>
    <row r="18" spans="1:5" ht="15.75">
      <c r="A18" s="127" t="s">
        <v>25</v>
      </c>
      <c r="C18" s="107"/>
      <c r="D18" s="107"/>
      <c r="E18" s="107"/>
    </row>
    <row r="19" spans="1:5" ht="15.75">
      <c r="A19" s="127" t="s">
        <v>59</v>
      </c>
      <c r="C19" s="107"/>
      <c r="D19" s="107"/>
      <c r="E19" s="107"/>
    </row>
    <row r="20" spans="1:5" ht="15.75">
      <c r="A20" s="127" t="s">
        <v>93</v>
      </c>
      <c r="C20" s="107"/>
      <c r="D20" s="107"/>
      <c r="E20" s="107"/>
    </row>
    <row r="21" spans="1:5" ht="15.75">
      <c r="A21" s="127" t="s">
        <v>26</v>
      </c>
      <c r="C21" s="114"/>
      <c r="D21" s="114"/>
      <c r="E21" s="114"/>
    </row>
    <row r="22" spans="1:5" ht="15.75">
      <c r="A22" s="127" t="s">
        <v>60</v>
      </c>
      <c r="C22" s="107"/>
      <c r="D22" s="107"/>
      <c r="E22" s="107"/>
    </row>
    <row r="23" spans="1:5" ht="15.75">
      <c r="A23" s="127" t="s">
        <v>66</v>
      </c>
      <c r="C23" s="114"/>
      <c r="D23" s="114"/>
      <c r="E23" s="114"/>
    </row>
    <row r="24" spans="1:5" ht="15.75">
      <c r="A24" s="127" t="s">
        <v>48</v>
      </c>
      <c r="C24" s="107"/>
      <c r="D24" s="107"/>
      <c r="E24" s="107"/>
    </row>
    <row r="25" spans="1:5" ht="15.75">
      <c r="A25" s="127" t="s">
        <v>87</v>
      </c>
      <c r="C25" s="107"/>
      <c r="D25" s="107"/>
      <c r="E25" s="107"/>
    </row>
    <row r="26" spans="1:5" ht="15.75">
      <c r="A26" s="127" t="s">
        <v>61</v>
      </c>
      <c r="C26" s="107"/>
      <c r="D26" s="107"/>
      <c r="E26" s="107"/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0</v>
      </c>
      <c r="D28" s="103">
        <f t="shared" si="0"/>
        <v>0</v>
      </c>
      <c r="E28" s="103">
        <f t="shared" si="0"/>
        <v>0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0</v>
      </c>
      <c r="D30" s="40">
        <f t="shared" si="2"/>
        <v>0</v>
      </c>
      <c r="E30" s="40">
        <f t="shared" si="2"/>
        <v>0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104</v>
      </c>
      <c r="B2" s="2"/>
      <c r="C2" s="54"/>
      <c r="D2" s="54"/>
      <c r="E2" s="54"/>
    </row>
    <row r="3" spans="1:10" ht="15.75" thickBot="1">
      <c r="A3" s="121" t="s">
        <v>105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88</v>
      </c>
      <c r="G4" s="142" t="s">
        <v>89</v>
      </c>
      <c r="H4" s="142" t="s">
        <v>90</v>
      </c>
      <c r="I4" s="142" t="s">
        <v>91</v>
      </c>
      <c r="J4" s="142" t="s">
        <v>92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50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65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53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54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55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56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57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58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59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93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60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66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48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87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61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13" sqref="C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67</v>
      </c>
      <c r="E4" s="106" t="s">
        <v>68</v>
      </c>
      <c r="F4" s="106" t="s">
        <v>69</v>
      </c>
      <c r="G4" s="106" t="s">
        <v>70</v>
      </c>
      <c r="H4" s="106" t="s">
        <v>71</v>
      </c>
      <c r="I4" s="106" t="s">
        <v>72</v>
      </c>
      <c r="J4" s="106" t="s">
        <v>73</v>
      </c>
      <c r="K4" s="106" t="s">
        <v>74</v>
      </c>
      <c r="L4" s="106" t="s">
        <v>75</v>
      </c>
      <c r="M4" s="106" t="s">
        <v>76</v>
      </c>
      <c r="N4" s="106" t="s">
        <v>77</v>
      </c>
      <c r="O4" s="106" t="s">
        <v>78</v>
      </c>
      <c r="P4" s="106" t="s">
        <v>79</v>
      </c>
      <c r="Q4" s="106" t="s">
        <v>80</v>
      </c>
      <c r="R4" s="106" t="s">
        <v>81</v>
      </c>
      <c r="S4" s="106" t="s">
        <v>82</v>
      </c>
      <c r="T4" s="106" t="s">
        <v>83</v>
      </c>
      <c r="U4" s="106" t="s">
        <v>84</v>
      </c>
      <c r="V4" s="106" t="s">
        <v>85</v>
      </c>
      <c r="W4" s="106" t="s">
        <v>86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50</v>
      </c>
    </row>
    <row r="7" spans="1:23" ht="15.75">
      <c r="A7" s="127" t="s">
        <v>65</v>
      </c>
    </row>
    <row r="8" spans="1:23" ht="15.75">
      <c r="A8" s="127" t="s">
        <v>53</v>
      </c>
    </row>
    <row r="9" spans="1:23" ht="15.75">
      <c r="A9" s="128" t="s">
        <v>54</v>
      </c>
    </row>
    <row r="10" spans="1:23" ht="15.75">
      <c r="A10" s="127" t="s">
        <v>28</v>
      </c>
    </row>
    <row r="11" spans="1:23" ht="15.75">
      <c r="A11" s="127" t="s">
        <v>55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56</v>
      </c>
    </row>
    <row r="16" spans="1:23" ht="15.75">
      <c r="A16" s="127" t="s">
        <v>57</v>
      </c>
    </row>
    <row r="17" spans="1:23" ht="15.75">
      <c r="A17" s="127" t="s">
        <v>58</v>
      </c>
    </row>
    <row r="18" spans="1:23" ht="15.75">
      <c r="A18" s="127" t="s">
        <v>25</v>
      </c>
    </row>
    <row r="19" spans="1:23" ht="15.75">
      <c r="A19" s="127" t="s">
        <v>59</v>
      </c>
    </row>
    <row r="20" spans="1:23" ht="15.75">
      <c r="A20" s="127" t="s">
        <v>93</v>
      </c>
    </row>
    <row r="21" spans="1:23" ht="15.75">
      <c r="A21" s="127" t="s">
        <v>26</v>
      </c>
    </row>
    <row r="22" spans="1:23" ht="15.75">
      <c r="A22" s="127" t="s">
        <v>60</v>
      </c>
    </row>
    <row r="23" spans="1:23" ht="15.75">
      <c r="A23" s="127" t="s">
        <v>66</v>
      </c>
    </row>
    <row r="24" spans="1:23" ht="15.75">
      <c r="A24" s="127" t="s">
        <v>48</v>
      </c>
    </row>
    <row r="25" spans="1:23" ht="15.75">
      <c r="A25" s="127" t="s">
        <v>87</v>
      </c>
    </row>
    <row r="26" spans="1:23" ht="15.75">
      <c r="A26" s="127" t="s">
        <v>61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2026-05-05T15:24:15Z</dcterms:modified>
</cp:coreProperties>
</file>