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77223E62-21B2-414A-A485-A469FAAFD3E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10" l="1"/>
  <c r="D29" i="10"/>
  <c r="D30" i="10"/>
  <c r="D31" i="10"/>
  <c r="E27" i="2"/>
  <c r="E28" i="2"/>
  <c r="E29" i="2"/>
  <c r="E30" i="2"/>
  <c r="C27" i="3"/>
  <c r="C28" i="3"/>
  <c r="C29" i="3"/>
  <c r="C30" i="3"/>
  <c r="A4" i="14" l="1"/>
  <c r="C28" i="10"/>
  <c r="C29" i="10"/>
  <c r="C30" i="10"/>
  <c r="C31" i="10"/>
  <c r="C27" i="2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F28" i="11" l="1"/>
  <c r="F29" i="11"/>
  <c r="F30" i="11"/>
  <c r="F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<sst xmlns="http://schemas.openxmlformats.org/spreadsheetml/2006/main" count="459" uniqueCount="128">
  <si>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</si>
  <si>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</si>
  <si>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</si>
  <si>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</si>
  <si>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</si>
  <si>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</si>
  <si>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</si>
  <si>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</si>
  <si>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</si>
  <si>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</si>
  <si>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</si>
  <si>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</si>
  <si>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</si>
  <si>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</si>
  <si>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</si>
  <si>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</si>
  <si>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</si>
  <si>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</si>
  <si>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</si>
  <si>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</si>
  <si>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</si>
  <si>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</si>
  <si>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</si>
  <si>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</si>
  <si>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</si>
  <si>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</si>
  <si>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</si>
  <si>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</si>
  <si>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</si>
  <si>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</si>
  <si>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</si>
  <si>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</si>
  <si>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</si>
  <si>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</si>
  <si>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</si>
  <si>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</si>
  <si>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</si>
  <si>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</si>
  <si>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</si>
  <si>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</si>
  <si>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</si>
  <si>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</si>
  <si>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</si>
  <si>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</si>
  <si>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</si>
  <si>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</si>
  <si>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</si>
  <si>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</si>
  <si>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</si>
  <si>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</si>
  <si>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</si>
  <si>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</si>
  <si>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</si>
  <si>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</si>
  <si>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</si>
  <si>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</si>
  <si>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</si>
  <si>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</si>
  <si>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</si>
  <si>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</si>
  <si>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</si>
  <si>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</si>
  <si>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</si>
  <si>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</si>
  <si>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</si>
  <si>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</si>
  <si>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</si>
  <si>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</si>
  <si>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</si>
  <si>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Lúcia da Saúde</t>
  </si>
  <si>
    <t>Ralfi Silva</t>
  </si>
  <si>
    <t>APROVADO</t>
  </si>
  <si>
    <t>pela ausência do autor, será pautada na próxima sessão.</t>
  </si>
  <si>
    <r>
      <rPr>
        <b/>
        <sz val="10"/>
        <color theme="1"/>
        <rFont val="Arial"/>
        <family val="2"/>
      </rPr>
      <t>4.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</si>
  <si>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</si>
  <si>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</si>
  <si>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</si>
  <si>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</si>
  <si>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</si>
  <si>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</si>
  <si>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</si>
  <si>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</si>
  <si>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</si>
  <si>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</si>
  <si>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</si>
  <si>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</si>
  <si>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</si>
  <si>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</si>
  <si>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</si>
  <si>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</si>
  <si>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</si>
  <si>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</si>
  <si>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</si>
  <si>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</si>
  <si>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</si>
  <si>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r>
      <t xml:space="preserve">MOÇÃO DE APLAUSOS Nº 504/2025 – GABRIEL SAÚDE – </t>
    </r>
    <r>
      <rPr>
        <sz val="11"/>
        <color theme="1"/>
        <rFont val="Arial"/>
        <family val="2"/>
      </rPr>
      <t>Ao atleta Marcelo Macedo, integrante da Equipe de Atletismo Master Brasil, em reconhecimento à sua brilhante trajetória esportiva.</t>
    </r>
  </si>
  <si>
    <t>na presidência</t>
  </si>
  <si>
    <r>
      <t xml:space="preserve">PROJETO DE LEI Nº 55/2025 - STEPHANE ROSSI – </t>
    </r>
    <r>
      <rPr>
        <sz val="11"/>
        <color theme="1"/>
        <rFont val="Arial"/>
        <family val="2"/>
      </rPr>
      <t xml:space="preserve">Institui o mês Maio Laranja. </t>
    </r>
  </si>
  <si>
    <t>pela ausência da autora, será pautado na próxima sessão.</t>
  </si>
  <si>
    <t>62ª SESSÃO ORDINÁRIA</t>
  </si>
  <si>
    <t>DIA 30 DE OUTUBRO DE 2025 - QUINTA-FEIRA</t>
  </si>
  <si>
    <t>Justificativa de ausência do Vereador Ralfi Silva.</t>
  </si>
  <si>
    <t>Decretos nº 14.861, 14.863, 14864, 14865, 14866, 14867, 14868 e 14870 de outubro de 2025. Prefeito do Município de Osasco - Dispõe sobre a abertura de créditos adicionais suplementares e especiais ao orçamento vigente.</t>
  </si>
  <si>
    <t>Projeto de Lei nº 202/2025 – Alexandre de Jesus Capriotti - Institui, no âmbito do Município de Osasco, a “Campanha de Combate à Esporotricose”, e dá outras providencias.</t>
  </si>
  <si>
    <t>Projeto de Lei nº 203/2025 – Elsa Oliveira - Institui o Dia das Artes Marciais no âmbito do Município.</t>
  </si>
  <si>
    <t>Projeto de Decreto Legislativo Nº 61/2025 – Laércio Mendonça – dispõe sobre a concessão de Cartão de Prata da Câmara Municipal de Osasco a empresa Rei dos Pisos e seu proprietário, Sr. Roberto Bocholgonian.</t>
  </si>
  <si>
    <t xml:space="preserve">Projeto de Lei Nº 135/2025 – Emerson Osasco – institui medidas de proteção à criança contra adultização, exposição indevida e exploração digital no Município de Osasco. </t>
  </si>
  <si>
    <t>Projeto de Lei Nº 196/2025 – Délbio Teruel – dispõe sobre a denominação de Viela Marlene Josefa da Silva, localizada na Rua Nova Goiânia, entre os números 279 e 400, no bairro Portal D’ Oeste.</t>
  </si>
  <si>
    <r>
      <t xml:space="preserve">MOÇÃO DE AGRADECIMENTO Nº 513/2025 – LÚCIA DA SAÚDE – </t>
    </r>
    <r>
      <rPr>
        <sz val="11"/>
        <color theme="1"/>
        <rFont val="Arial"/>
        <family val="2"/>
      </rPr>
      <t>Ao vereador Josias da Juco, extensiva à sua dedicada equipe, pela solidariedade e humanidade demonstrados no momento difícil da sua vida: a perda precoce e irreparável do seu neto Asafe.</t>
    </r>
  </si>
  <si>
    <t>pela ausência da autora, será pautada na próxima sessão.</t>
  </si>
  <si>
    <r>
      <t>MOÇÃO DE CONGRATULAÇÕES Nº 515/2025 – LÚCIA DA SAÚDE –</t>
    </r>
    <r>
      <rPr>
        <sz val="11"/>
        <color theme="1"/>
        <rFont val="Arial"/>
        <family val="2"/>
      </rPr>
      <t xml:space="preserve"> Ao Município de Cedro - CE pelos 105 anos de história, celebrados com orgulho e emoção por todos os filhos e filhas dessa terra querida.</t>
    </r>
  </si>
  <si>
    <r>
      <t xml:space="preserve">MOÇÃO DE PESAR Nº 517/2025 – LÚCIA DA SAÚDE – </t>
    </r>
    <r>
      <rPr>
        <sz val="11"/>
        <color theme="1"/>
        <rFont val="Arial"/>
        <family val="2"/>
      </rPr>
      <t>Pelo falecimento do Dr. Fernando Geraldo Batista em 22 de outubro.</t>
    </r>
  </si>
  <si>
    <r>
      <t>MOÇÃO DE REPÚDIO Nº 518/2025 – LÚCIA DA SAÚDE –</t>
    </r>
    <r>
      <rPr>
        <sz val="11"/>
        <color theme="1"/>
        <rFont val="Arial"/>
        <family val="2"/>
      </rPr>
      <t xml:space="preserve"> Pela conduta negligente de profissionais no caso do recém-nascido dado como morto e posteriormente encontrado com vida, em Rio Branco no Estado do Acre.</t>
    </r>
  </si>
  <si>
    <t>esgotado o tempo regimental, será pautada na próxima sessão.</t>
  </si>
  <si>
    <r>
      <t xml:space="preserve">MOÇÃO DE APLAUSOS Nº 519/2025 – JOSIAS DA JUCO – </t>
    </r>
    <r>
      <rPr>
        <sz val="11"/>
        <color theme="1"/>
        <rFont val="Arial"/>
        <family val="2"/>
      </rPr>
      <t>À Apóstola Ernestina Matias e sua comitiva para manifestar pela visita à cidade de Osasco.</t>
    </r>
  </si>
  <si>
    <r>
      <t>MOÇÃO DE APLAUSOS Nº 520/2025 – JOSIAS DA JUCO –</t>
    </r>
    <r>
      <rPr>
        <sz val="11"/>
        <color theme="1"/>
        <rFont val="Arial"/>
        <family val="2"/>
      </rPr>
      <t xml:space="preserve"> Ao Senhor Marcelo da Silva pelo excelente trabalho na condução da Secretaria de Educação.</t>
    </r>
  </si>
  <si>
    <r>
      <t>MOÇÃO DE APLAUSOS Nº 521/2025 – ELANIA SILVA –</t>
    </r>
    <r>
      <rPr>
        <sz val="11"/>
        <color theme="1"/>
        <rFont val="Arial"/>
        <family val="2"/>
      </rPr>
      <t xml:space="preserve"> Ao Grupo Medcin, representados pela Dra. Flávia Addor, Dr. Mauricio Addor, e Dr. Sérgio Schalka.</t>
    </r>
  </si>
  <si>
    <r>
      <t xml:space="preserve">MOÇÃO DE APLAUSOS Nº 523/2025 – DÉLBIO TERUEL – </t>
    </r>
    <r>
      <rPr>
        <sz val="11"/>
        <color theme="1"/>
        <rFont val="Arial"/>
        <family val="2"/>
      </rPr>
      <t>Ao Deputado Estadual Rogério Santos e a Frente Parlamentar em Prol da Vida e da Família da ALESP pela realização da Semana de Formação e Capacitação em Políticas Públicas Familiares.</t>
    </r>
  </si>
  <si>
    <r>
      <t xml:space="preserve">MOÇÃO DE APLAUSOS Nº 524/2025 – ELSA OLIVEIRA - </t>
    </r>
    <r>
      <rPr>
        <sz val="11"/>
        <color theme="1"/>
        <rFont val="Arial"/>
        <family val="2"/>
      </rPr>
      <t>Às Gerentes dos Centros de Referência de Assistência Social (CRAS), pelo trabalho essencial que realizam na promoção da justiça social e no fortalecimento das políticas públicas de assistência social.</t>
    </r>
  </si>
  <si>
    <r>
      <t xml:space="preserve">MOÇÃO DE RECONHECIMENTO Nº 525/2025 - LAÉRCIO MENDONÇA – </t>
    </r>
    <r>
      <rPr>
        <sz val="11"/>
        <color theme="1"/>
        <rFont val="Arial"/>
        <family val="2"/>
      </rPr>
      <t>À Associação Doar – Um Ato de Amor ao Próximo - que ao longo de mais de duas décadas tem se dedicado à promoção da solidariedade, ao incentivo ao voluntariado e ao atendimento de pessoas em situação de vulnerabilidade social.</t>
    </r>
  </si>
  <si>
    <r>
      <t>MOÇÃO DE RECONHECIMENTO Nº 527/2025 – GUILHERME PRADO –</t>
    </r>
    <r>
      <rPr>
        <sz val="11"/>
        <color theme="1"/>
        <rFont val="Arial"/>
        <family val="2"/>
      </rPr>
      <t xml:space="preserve"> À Professora Deise Martinelli Correa pelos relevantes serviços prestados à educação e pela dedicação exemplar à formação de crianças, adolescentes e jovens.</t>
    </r>
  </si>
  <si>
    <r>
      <t xml:space="preserve">MOÇÃO DE RECONHECIMENTO Nº 528/2025 - GUILHERME PRADO – </t>
    </r>
    <r>
      <rPr>
        <sz val="11"/>
        <color theme="1"/>
        <rFont val="Arial"/>
        <family val="2"/>
      </rPr>
      <t>À Professora Regina Lima Cardoso da Cunha por sua dedicação e compromisso com a educação no município de Osasco, conciliando sua trajetória profissional com a experiência transformadora de mãe atípica.</t>
    </r>
  </si>
  <si>
    <r>
      <t xml:space="preserve">MOÇÃO DE RECONHECIMENTO 529/2025 – GUILHERME PRADO – </t>
    </r>
    <r>
      <rPr>
        <sz val="11"/>
        <color theme="1"/>
        <rFont val="Arial"/>
        <family val="2"/>
      </rPr>
      <t>À Professora Sylvia Valentina Schutz Camillo por sua trajetória marcada pela dedicação à educação, ao atendimento educacional especializado e à inclusão das pessoas com deficiência, contribuindo de forma significativa para a construção de uma Osasco mais justa, acessível e inclusiva.</t>
    </r>
  </si>
  <si>
    <r>
      <t xml:space="preserve">MOÇÃO DE RECONHECIMENTO Nº 530/2025 - CANTOR GOLEIRO – </t>
    </r>
    <r>
      <rPr>
        <sz val="11"/>
        <color theme="1"/>
        <rFont val="Arial"/>
        <family val="2"/>
      </rPr>
      <t>Ao Padre Diego Medeiros, Pároco da Paróquia Santa Maria Mãe de Deus, no bairro Santa Maria, pelo seu trabalho pastoral e social em Osasco.</t>
    </r>
  </si>
  <si>
    <r>
      <t xml:space="preserve">PROJETO DE RESOLUÇÃO 12/2025 – MESA DIRETORA - </t>
    </r>
    <r>
      <rPr>
        <sz val="14"/>
        <color theme="1"/>
        <rFont val="Arial"/>
        <family val="2"/>
      </rPr>
      <t>Dispõe sobre a alteração da estrutura da Câmara Municipal de Osasco, altera dispositivos das Resoluções 10/2017, 05/2021, 08/2024, 01/2025, extingue e cria cargos e dá outras providências.</t>
    </r>
  </si>
  <si>
    <t>pela ausência do autor, será pautado na próxima sessão.</t>
  </si>
  <si>
    <r>
      <t>PROJETO DE DECRETO LEGISLATIVO Nº 56/2024 – JOSIAS DA JUCO -</t>
    </r>
    <r>
      <rPr>
        <sz val="11"/>
        <color theme="1"/>
        <rFont val="Arial"/>
        <family val="2"/>
      </rPr>
      <t xml:space="preserve"> Dispõe sobre a concessão de Cartão de Prata ao Sr. Luciano da Silva Bastos.</t>
    </r>
  </si>
  <si>
    <r>
      <t xml:space="preserve">PROJETO DE DECRETO LEGISLATIVO Nº 53/2025 – ALEXANDRE CAPRIOTTI - </t>
    </r>
    <r>
      <rPr>
        <sz val="11"/>
        <color theme="1"/>
        <rFont val="Arial"/>
        <family val="2"/>
      </rPr>
      <t>Dispõe sobre a concessão de Cartão de Prata Rogério Lins Wanderley.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</si>
</sst>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zoomScale="70" zoomScaleNormal="70" workbookViewId="0">
      <selection activeCell="A53" sqref="A53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4" t="s">
        <v>29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0"/>
      <c r="O1" s="70"/>
      <c r="P1" s="70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3" t="s">
        <v>99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0"/>
      <c r="O2" s="70"/>
      <c r="P2" s="70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3" t="s">
        <v>100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0"/>
      <c r="O3" s="70"/>
      <c r="P3" s="70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8"/>
      <c r="U4" s="148"/>
      <c r="V4" s="148"/>
      <c r="W4" s="148"/>
      <c r="X4" s="148"/>
      <c r="Y4" s="148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8"/>
      <c r="U5" s="148"/>
      <c r="V5" s="148"/>
      <c r="W5" s="148"/>
      <c r="X5" s="148"/>
      <c r="Y5" s="148"/>
    </row>
    <row r="6" spans="1:28" ht="18" customHeight="1">
      <c r="A6" s="46" t="s">
        <v>68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2</v>
      </c>
      <c r="K6" s="102" t="s">
        <v>53</v>
      </c>
      <c r="L6" s="67"/>
      <c r="M6" s="65"/>
      <c r="N6" s="63"/>
      <c r="O6" s="62"/>
      <c r="P6" s="63"/>
      <c r="Q6" s="63"/>
      <c r="R6" s="102"/>
      <c r="S6" s="89"/>
      <c r="T6" s="148"/>
      <c r="U6" s="148"/>
      <c r="V6" s="148"/>
      <c r="W6" s="148"/>
      <c r="X6" s="148"/>
      <c r="Y6" s="148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8"/>
      <c r="U7" s="148"/>
      <c r="V7" s="148"/>
      <c r="W7" s="148"/>
      <c r="X7" s="148"/>
      <c r="Y7" s="148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8"/>
      <c r="U8" s="148"/>
      <c r="V8" s="148"/>
      <c r="W8" s="148"/>
      <c r="X8" s="148"/>
      <c r="Y8" s="148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48"/>
      <c r="U9" s="148"/>
      <c r="V9" s="148"/>
      <c r="W9" s="148"/>
      <c r="X9" s="148"/>
      <c r="Y9" s="148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2</v>
      </c>
      <c r="G10" s="102" t="s">
        <v>53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1</v>
      </c>
      <c r="K12" s="62" t="s">
        <v>52</v>
      </c>
      <c r="L12" s="67"/>
      <c r="M12" s="65"/>
      <c r="N12" s="63"/>
      <c r="O12" s="62"/>
      <c r="P12" s="63"/>
      <c r="Q12" s="63"/>
      <c r="R12" s="102"/>
      <c r="S12" s="91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8"/>
      <c r="U13" s="148"/>
      <c r="V13" s="148"/>
      <c r="W13" s="148"/>
      <c r="X13" s="148"/>
      <c r="Y13" s="148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2</v>
      </c>
      <c r="K14" s="102" t="s">
        <v>53</v>
      </c>
      <c r="L14" s="67"/>
      <c r="M14" s="65"/>
      <c r="N14" s="63"/>
      <c r="O14" s="62"/>
      <c r="P14" s="63"/>
      <c r="Q14" s="63"/>
      <c r="R14" s="102"/>
      <c r="S14" s="91"/>
      <c r="T14" s="148"/>
      <c r="U14" s="148"/>
      <c r="V14" s="148"/>
      <c r="W14" s="148"/>
      <c r="X14" s="148"/>
      <c r="Y14" s="148"/>
    </row>
    <row r="15" spans="1:28" ht="18" customHeight="1">
      <c r="A15" s="46" t="s">
        <v>58</v>
      </c>
      <c r="B15" s="88">
        <v>1</v>
      </c>
      <c r="C15" s="62" t="s">
        <v>52</v>
      </c>
      <c r="D15" s="63"/>
      <c r="E15" s="62"/>
      <c r="F15" s="88">
        <v>1</v>
      </c>
      <c r="G15" s="62" t="s">
        <v>52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48"/>
      <c r="U15" s="148"/>
      <c r="V15" s="148"/>
      <c r="W15" s="148"/>
      <c r="X15" s="148"/>
      <c r="Y15" s="148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8"/>
      <c r="U16" s="148"/>
      <c r="V16" s="148"/>
      <c r="W16" s="148"/>
      <c r="X16" s="148"/>
      <c r="Y16" s="148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2</v>
      </c>
      <c r="G17" s="102" t="s">
        <v>53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48"/>
      <c r="U17" s="148"/>
      <c r="V17" s="148"/>
      <c r="W17" s="148"/>
      <c r="X17" s="148"/>
      <c r="Y17" s="148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8"/>
      <c r="U18" s="148"/>
      <c r="V18" s="148"/>
      <c r="W18" s="148"/>
      <c r="X18" s="148"/>
      <c r="Y18" s="148"/>
    </row>
    <row r="19" spans="1:28" ht="18" customHeight="1">
      <c r="A19" s="46" t="s">
        <v>69</v>
      </c>
      <c r="B19" s="88">
        <v>2</v>
      </c>
      <c r="C19" s="102" t="s">
        <v>53</v>
      </c>
      <c r="D19" s="63"/>
      <c r="E19" s="62"/>
      <c r="F19" s="88">
        <v>2</v>
      </c>
      <c r="G19" s="102" t="s">
        <v>53</v>
      </c>
      <c r="H19" s="63"/>
      <c r="I19" s="62"/>
      <c r="J19" s="63">
        <v>1</v>
      </c>
      <c r="K19" s="62" t="s">
        <v>52</v>
      </c>
      <c r="L19" s="67"/>
      <c r="M19" s="65"/>
      <c r="N19" s="63"/>
      <c r="O19" s="102"/>
      <c r="P19" s="63"/>
      <c r="Q19" s="63"/>
      <c r="R19" s="102"/>
      <c r="S19" s="91"/>
      <c r="T19" s="148"/>
      <c r="U19" s="148"/>
      <c r="V19" s="148"/>
      <c r="W19" s="148"/>
      <c r="X19" s="148"/>
      <c r="Y19" s="148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1</v>
      </c>
      <c r="G20" s="62" t="s">
        <v>52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48"/>
      <c r="U20" s="148"/>
      <c r="V20" s="148"/>
      <c r="W20" s="148"/>
      <c r="X20" s="148"/>
      <c r="Y20" s="148"/>
    </row>
    <row r="21" spans="1:28" ht="18.75" customHeight="1">
      <c r="A21" s="46" t="s">
        <v>61</v>
      </c>
      <c r="B21" s="88">
        <v>2</v>
      </c>
      <c r="C21" s="102" t="s">
        <v>53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8"/>
      <c r="U21" s="148"/>
      <c r="V21" s="148"/>
      <c r="W21" s="148"/>
      <c r="X21" s="148"/>
      <c r="Y21" s="148"/>
    </row>
    <row r="22" spans="1:28" ht="18" customHeight="1">
      <c r="A22" s="46" t="s">
        <v>70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48"/>
      <c r="U22" s="148"/>
      <c r="V22" s="148"/>
      <c r="W22" s="148"/>
      <c r="X22" s="148"/>
      <c r="Y22" s="148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2</v>
      </c>
      <c r="G23" s="102" t="s">
        <v>53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8"/>
      <c r="U23" s="148"/>
      <c r="V23" s="148"/>
      <c r="W23" s="148"/>
      <c r="X23" s="148"/>
      <c r="Y23" s="148"/>
    </row>
    <row r="24" spans="1:28" ht="20.25">
      <c r="A24" s="46" t="s">
        <v>94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8"/>
      <c r="U24" s="148"/>
      <c r="V24" s="148"/>
      <c r="W24" s="148"/>
      <c r="X24" s="148"/>
      <c r="Y24" s="148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8"/>
      <c r="U25" s="148"/>
      <c r="V25" s="148"/>
      <c r="W25" s="148"/>
      <c r="X25" s="148"/>
      <c r="Y25" s="148"/>
    </row>
    <row r="26" spans="1:28" ht="16.5" thickBot="1">
      <c r="A26" s="38" t="s">
        <v>13</v>
      </c>
      <c r="B26" s="98">
        <v>10</v>
      </c>
      <c r="C26" s="96" t="s">
        <v>46</v>
      </c>
      <c r="D26" s="98"/>
      <c r="E26" s="96" t="s">
        <v>46</v>
      </c>
      <c r="F26" s="98">
        <v>13</v>
      </c>
      <c r="G26" s="96" t="s">
        <v>46</v>
      </c>
      <c r="H26" s="100"/>
      <c r="I26" s="101"/>
      <c r="J26" s="98">
        <v>16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11</v>
      </c>
      <c r="C27" s="96" t="s">
        <v>47</v>
      </c>
      <c r="D27" s="98"/>
      <c r="E27" s="96" t="s">
        <v>47</v>
      </c>
      <c r="F27" s="98">
        <v>8</v>
      </c>
      <c r="G27" s="96" t="s">
        <v>47</v>
      </c>
      <c r="H27" s="100"/>
      <c r="I27" s="96"/>
      <c r="J27" s="98">
        <v>5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26</v>
      </c>
      <c r="V32" s="12"/>
      <c r="W32" s="12"/>
    </row>
    <row r="33" spans="1:23" ht="18">
      <c r="A33" s="34" t="s">
        <v>60</v>
      </c>
      <c r="V33" s="12"/>
      <c r="W33" s="12"/>
    </row>
    <row r="34" spans="1:23" ht="18">
      <c r="A34" s="34" t="s">
        <v>61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68</v>
      </c>
      <c r="V42" s="12"/>
      <c r="W42" s="12"/>
    </row>
    <row r="43" spans="1:23" ht="18">
      <c r="A43" s="34" t="s">
        <v>56</v>
      </c>
      <c r="V43" s="12"/>
      <c r="W43" s="12"/>
    </row>
    <row r="44" spans="1:23" ht="18">
      <c r="A44" s="34" t="s">
        <v>94</v>
      </c>
      <c r="V44" s="12"/>
      <c r="W44" s="12"/>
    </row>
    <row r="45" spans="1:23" ht="18">
      <c r="A45" s="34" t="s">
        <v>59</v>
      </c>
      <c r="V45" s="12"/>
      <c r="W45" s="12"/>
    </row>
    <row r="46" spans="1:23" ht="18">
      <c r="A46" s="34" t="s">
        <v>49</v>
      </c>
      <c r="B46" s="7"/>
      <c r="V46" s="12"/>
      <c r="W46" s="32"/>
    </row>
    <row r="47" spans="1:23" ht="18">
      <c r="A47" s="34" t="s">
        <v>23</v>
      </c>
      <c r="W47" s="12"/>
    </row>
    <row r="48" spans="1:23" ht="18">
      <c r="A48" s="34" t="s">
        <v>69</v>
      </c>
      <c r="W48" s="12"/>
    </row>
    <row r="49" spans="1:23" ht="18">
      <c r="A49" s="34" t="s">
        <v>25</v>
      </c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 t="s">
        <v>70</v>
      </c>
    </row>
    <row r="53" spans="1:23" ht="18">
      <c r="A53" s="34" t="s">
        <v>26</v>
      </c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A39"/>
  <sheetViews>
    <sheetView workbookViewId="0">
      <pane xSplit="1" topLeftCell="B1" activePane="topRight" state="frozen"/>
      <selection pane="topRight" activeCell="AD5" sqref="AD5"/>
    </sheetView>
  </sheetViews>
  <sheetFormatPr defaultColWidth="9.140625" defaultRowHeight="12.75"/>
  <cols>
    <col min="1" max="1" width="47.7109375" style="22" customWidth="1"/>
    <col min="2" max="9" width="23.7109375" style="22" customWidth="1"/>
    <col min="10" max="10" width="19" style="22" customWidth="1"/>
    <col min="11" max="11" width="26.28515625" style="22" customWidth="1"/>
    <col min="12" max="12" width="22.140625" style="22" customWidth="1"/>
    <col min="13" max="27" width="22.7109375" style="22" customWidth="1"/>
    <col min="28" max="16384" width="9.140625" style="22"/>
  </cols>
  <sheetData>
    <row r="1" spans="1:27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27" ht="15">
      <c r="A2" s="76" t="s">
        <v>99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27" ht="17.25" customHeight="1">
      <c r="A3" s="76" t="s">
        <v>100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27" ht="63" customHeight="1">
      <c r="A4" s="51" t="str">
        <f>'[1]MOÇÃO E REQUERIMENTO'!B7</f>
        <v>EXPEDIENTE</v>
      </c>
      <c r="B4" s="50" t="s">
        <v>45</v>
      </c>
      <c r="C4" s="117" t="s">
        <v>101</v>
      </c>
      <c r="D4" s="117" t="s">
        <v>102</v>
      </c>
      <c r="E4" s="117" t="s">
        <v>103</v>
      </c>
      <c r="F4" s="117" t="s">
        <v>104</v>
      </c>
      <c r="G4" s="117" t="s">
        <v>105</v>
      </c>
      <c r="H4" s="117" t="s">
        <v>106</v>
      </c>
      <c r="I4" s="117" t="s">
        <v>107</v>
      </c>
      <c r="J4" s="112" t="s">
        <v>34</v>
      </c>
      <c r="K4" s="124"/>
      <c r="L4" s="50" t="s">
        <v>27</v>
      </c>
      <c r="M4" s="84" t="s">
        <v>95</v>
      </c>
      <c r="N4" s="84" t="s">
        <v>108</v>
      </c>
      <c r="O4" s="84" t="s">
        <v>110</v>
      </c>
      <c r="P4" s="84" t="s">
        <v>111</v>
      </c>
      <c r="Q4" s="84" t="s">
        <v>112</v>
      </c>
      <c r="R4" s="84" t="s">
        <v>114</v>
      </c>
      <c r="S4" s="84" t="s">
        <v>115</v>
      </c>
      <c r="T4" s="84" t="s">
        <v>116</v>
      </c>
      <c r="U4" s="84" t="s">
        <v>117</v>
      </c>
      <c r="V4" s="84" t="s">
        <v>118</v>
      </c>
      <c r="W4" s="84" t="s">
        <v>119</v>
      </c>
      <c r="X4" s="84" t="s">
        <v>120</v>
      </c>
      <c r="Y4" s="84" t="s">
        <v>121</v>
      </c>
      <c r="Z4" s="84" t="s">
        <v>122</v>
      </c>
      <c r="AA4" s="84" t="s">
        <v>123</v>
      </c>
    </row>
    <row r="5" spans="1:27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113"/>
      <c r="M5" s="113" t="s">
        <v>65</v>
      </c>
      <c r="N5" s="118" t="s">
        <v>109</v>
      </c>
      <c r="O5" s="113" t="s">
        <v>65</v>
      </c>
      <c r="P5" s="118" t="s">
        <v>109</v>
      </c>
      <c r="Q5" s="118" t="s">
        <v>113</v>
      </c>
      <c r="R5" s="113" t="s">
        <v>65</v>
      </c>
      <c r="S5" s="118" t="s">
        <v>72</v>
      </c>
      <c r="T5" s="113" t="s">
        <v>65</v>
      </c>
      <c r="U5" s="118" t="s">
        <v>113</v>
      </c>
      <c r="V5" s="118" t="s">
        <v>109</v>
      </c>
      <c r="W5" s="113" t="s">
        <v>65</v>
      </c>
      <c r="X5" s="113" t="s">
        <v>65</v>
      </c>
      <c r="Y5" s="113" t="s">
        <v>65</v>
      </c>
      <c r="Z5" s="113" t="s">
        <v>65</v>
      </c>
      <c r="AA5" s="113" t="s">
        <v>65</v>
      </c>
    </row>
    <row r="6" spans="1:27" ht="15.75">
      <c r="A6" s="127" t="s">
        <v>51</v>
      </c>
      <c r="L6" s="23"/>
    </row>
    <row r="7" spans="1:27" ht="15.75">
      <c r="A7" s="127" t="s">
        <v>68</v>
      </c>
      <c r="L7" s="23"/>
    </row>
    <row r="8" spans="1:27" ht="15.75">
      <c r="A8" s="127" t="s">
        <v>54</v>
      </c>
      <c r="L8" s="23"/>
    </row>
    <row r="9" spans="1:27" ht="15.75">
      <c r="A9" s="128" t="s">
        <v>55</v>
      </c>
      <c r="L9" s="23"/>
    </row>
    <row r="10" spans="1:27" ht="15.75">
      <c r="A10" s="127" t="s">
        <v>28</v>
      </c>
      <c r="L10" s="23"/>
    </row>
    <row r="11" spans="1:27" ht="15.75">
      <c r="A11" s="127" t="s">
        <v>56</v>
      </c>
      <c r="L11" s="23"/>
    </row>
    <row r="12" spans="1:27" ht="15.75">
      <c r="A12" s="127" t="s">
        <v>22</v>
      </c>
      <c r="L12" s="23"/>
    </row>
    <row r="13" spans="1:27" ht="15.75">
      <c r="A13" s="127" t="s">
        <v>23</v>
      </c>
      <c r="L13" s="23"/>
    </row>
    <row r="14" spans="1:27" ht="15.75">
      <c r="A14" s="127" t="s">
        <v>24</v>
      </c>
      <c r="L14" s="23"/>
    </row>
    <row r="15" spans="1:27" ht="15.75">
      <c r="A15" s="127" t="s">
        <v>57</v>
      </c>
      <c r="L15" s="23"/>
    </row>
    <row r="16" spans="1:27" ht="15.75">
      <c r="A16" s="127" t="s">
        <v>58</v>
      </c>
      <c r="L16" s="23"/>
    </row>
    <row r="17" spans="1:12" ht="15.75">
      <c r="A17" s="127" t="s">
        <v>59</v>
      </c>
      <c r="L17" s="23"/>
    </row>
    <row r="18" spans="1:12" ht="15.75">
      <c r="A18" s="127" t="s">
        <v>25</v>
      </c>
      <c r="L18" s="23"/>
    </row>
    <row r="19" spans="1:12" ht="15.75">
      <c r="A19" s="127" t="s">
        <v>60</v>
      </c>
      <c r="L19" s="23"/>
    </row>
    <row r="20" spans="1:12" ht="15.75">
      <c r="A20" s="127" t="s">
        <v>69</v>
      </c>
      <c r="L20" s="23"/>
    </row>
    <row r="21" spans="1:12" ht="15.75">
      <c r="A21" s="127" t="s">
        <v>26</v>
      </c>
      <c r="L21" s="23"/>
    </row>
    <row r="22" spans="1:12" ht="15.75">
      <c r="A22" s="127" t="s">
        <v>61</v>
      </c>
      <c r="L22" s="23"/>
    </row>
    <row r="23" spans="1:12" ht="15.75">
      <c r="A23" s="127" t="s">
        <v>70</v>
      </c>
      <c r="L23" s="23"/>
    </row>
    <row r="24" spans="1:12" ht="15.75">
      <c r="A24" s="127" t="s">
        <v>49</v>
      </c>
      <c r="L24" s="23"/>
    </row>
    <row r="25" spans="1:12" ht="15.75">
      <c r="A25" s="127" t="s">
        <v>94</v>
      </c>
      <c r="L25" s="23"/>
    </row>
    <row r="26" spans="1:12" ht="15.75">
      <c r="A26" s="127" t="s">
        <v>62</v>
      </c>
      <c r="L26" s="23"/>
    </row>
    <row r="27" spans="1:12" s="25" customFormat="1">
      <c r="A27" s="24" t="s">
        <v>18</v>
      </c>
    </row>
    <row r="28" spans="1:12" s="27" customFormat="1">
      <c r="A28" s="26" t="s">
        <v>19</v>
      </c>
    </row>
    <row r="29" spans="1:12">
      <c r="A29" s="28" t="s">
        <v>11</v>
      </c>
    </row>
    <row r="30" spans="1:12" s="30" customFormat="1">
      <c r="A30" s="29" t="s">
        <v>20</v>
      </c>
    </row>
    <row r="32" spans="1:12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4" sqref="E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99</v>
      </c>
      <c r="B2" s="49"/>
      <c r="C2" s="74"/>
    </row>
    <row r="3" spans="1:45" ht="17.25" customHeight="1">
      <c r="A3" s="76" t="s">
        <v>100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124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13"/>
      <c r="D5" s="79"/>
      <c r="E5" s="142" t="s">
        <v>71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 t="s">
        <v>66</v>
      </c>
    </row>
    <row r="7" spans="1:45" ht="20.25">
      <c r="A7" s="46" t="s">
        <v>68</v>
      </c>
      <c r="C7" s="107"/>
      <c r="E7" s="114" t="s">
        <v>53</v>
      </c>
    </row>
    <row r="8" spans="1:45" ht="20.25">
      <c r="A8" s="46" t="s">
        <v>54</v>
      </c>
      <c r="C8" s="107"/>
      <c r="E8" s="107" t="s">
        <v>66</v>
      </c>
    </row>
    <row r="9" spans="1:45" ht="20.25">
      <c r="A9" s="82" t="s">
        <v>55</v>
      </c>
      <c r="C9" s="114"/>
      <c r="E9" s="114" t="s">
        <v>96</v>
      </c>
    </row>
    <row r="10" spans="1:45" ht="20.25">
      <c r="A10" s="46" t="s">
        <v>28</v>
      </c>
      <c r="C10" s="107"/>
      <c r="E10" s="107" t="s">
        <v>66</v>
      </c>
    </row>
    <row r="11" spans="1:45" ht="20.25">
      <c r="A11" s="46" t="s">
        <v>56</v>
      </c>
      <c r="C11" s="107"/>
      <c r="E11" s="107" t="s">
        <v>66</v>
      </c>
    </row>
    <row r="12" spans="1:45" ht="20.25">
      <c r="A12" s="46" t="s">
        <v>22</v>
      </c>
      <c r="C12" s="107"/>
      <c r="E12" s="107" t="s">
        <v>66</v>
      </c>
    </row>
    <row r="13" spans="1:45" ht="20.25">
      <c r="A13" s="46" t="s">
        <v>23</v>
      </c>
      <c r="C13" s="107"/>
      <c r="E13" s="107" t="s">
        <v>66</v>
      </c>
    </row>
    <row r="14" spans="1:45" ht="20.25">
      <c r="A14" s="46" t="s">
        <v>24</v>
      </c>
      <c r="C14" s="107"/>
      <c r="E14" s="107" t="s">
        <v>66</v>
      </c>
    </row>
    <row r="15" spans="1:45" ht="20.25">
      <c r="A15" s="46" t="s">
        <v>57</v>
      </c>
      <c r="C15" s="114"/>
      <c r="E15" s="107" t="s">
        <v>66</v>
      </c>
    </row>
    <row r="16" spans="1:45" ht="20.25">
      <c r="A16" s="46" t="s">
        <v>58</v>
      </c>
      <c r="C16" s="107"/>
      <c r="E16" s="107" t="s">
        <v>66</v>
      </c>
    </row>
    <row r="17" spans="1:130" ht="20.25">
      <c r="A17" s="46" t="s">
        <v>59</v>
      </c>
      <c r="C17" s="114"/>
      <c r="E17" s="107" t="s">
        <v>66</v>
      </c>
    </row>
    <row r="18" spans="1:130" ht="20.25">
      <c r="A18" s="46" t="s">
        <v>25</v>
      </c>
      <c r="C18" s="107"/>
      <c r="E18" s="114" t="s">
        <v>53</v>
      </c>
    </row>
    <row r="19" spans="1:130" ht="20.25">
      <c r="A19" s="46" t="s">
        <v>60</v>
      </c>
      <c r="C19" s="107"/>
      <c r="E19" s="107" t="s">
        <v>66</v>
      </c>
    </row>
    <row r="20" spans="1:130" ht="20.25">
      <c r="A20" s="46" t="s">
        <v>69</v>
      </c>
      <c r="C20" s="114"/>
      <c r="E20" s="107" t="s">
        <v>66</v>
      </c>
    </row>
    <row r="21" spans="1:130" ht="20.25">
      <c r="A21" s="46" t="s">
        <v>26</v>
      </c>
      <c r="C21" s="114"/>
      <c r="E21" s="114" t="s">
        <v>53</v>
      </c>
    </row>
    <row r="22" spans="1:130" ht="20.25">
      <c r="A22" s="46" t="s">
        <v>61</v>
      </c>
      <c r="C22" s="107"/>
      <c r="E22" s="107" t="s">
        <v>66</v>
      </c>
    </row>
    <row r="23" spans="1:130" ht="20.25">
      <c r="A23" s="46" t="s">
        <v>70</v>
      </c>
      <c r="C23" s="107"/>
      <c r="E23" s="114" t="s">
        <v>53</v>
      </c>
    </row>
    <row r="24" spans="1:130" ht="20.25">
      <c r="A24" s="46" t="s">
        <v>49</v>
      </c>
      <c r="C24" s="107"/>
      <c r="E24" s="107" t="s">
        <v>66</v>
      </c>
    </row>
    <row r="25" spans="1:130" ht="20.25">
      <c r="A25" s="46" t="s">
        <v>94</v>
      </c>
      <c r="C25" s="107"/>
      <c r="E25" s="107" t="s">
        <v>66</v>
      </c>
    </row>
    <row r="26" spans="1:130" ht="20.25">
      <c r="A26" s="46" t="s">
        <v>62</v>
      </c>
      <c r="C26" s="107"/>
      <c r="E26" s="107" t="s">
        <v>66</v>
      </c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4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5" sqref="C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97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43" t="s">
        <v>98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51</v>
      </c>
      <c r="C6" s="107"/>
      <c r="U6" s="7"/>
      <c r="V6" s="7"/>
    </row>
    <row r="7" spans="1:29" ht="18">
      <c r="A7" s="129" t="s">
        <v>68</v>
      </c>
      <c r="C7" s="107"/>
      <c r="U7" s="7"/>
      <c r="V7" s="7"/>
    </row>
    <row r="8" spans="1:29" ht="18">
      <c r="A8" s="129" t="s">
        <v>54</v>
      </c>
      <c r="C8" s="107"/>
      <c r="U8" s="7"/>
      <c r="V8" s="7"/>
    </row>
    <row r="9" spans="1:29" ht="18">
      <c r="A9" s="130" t="s">
        <v>55</v>
      </c>
      <c r="C9" s="114"/>
      <c r="U9" s="7"/>
      <c r="V9" s="7"/>
    </row>
    <row r="10" spans="1:29" ht="18">
      <c r="A10" s="129" t="s">
        <v>28</v>
      </c>
      <c r="C10" s="107"/>
      <c r="U10" s="7"/>
      <c r="V10" s="7"/>
    </row>
    <row r="11" spans="1:29" ht="18">
      <c r="A11" s="129" t="s">
        <v>56</v>
      </c>
      <c r="C11" s="107"/>
      <c r="U11" s="7"/>
      <c r="V11" s="7"/>
    </row>
    <row r="12" spans="1:29" ht="18">
      <c r="A12" s="129" t="s">
        <v>22</v>
      </c>
      <c r="C12" s="107"/>
      <c r="U12" s="7"/>
      <c r="V12" s="7"/>
    </row>
    <row r="13" spans="1:29" ht="18">
      <c r="A13" s="129" t="s">
        <v>23</v>
      </c>
      <c r="C13" s="107"/>
      <c r="U13" s="7"/>
      <c r="V13" s="7"/>
    </row>
    <row r="14" spans="1:29" ht="18">
      <c r="A14" s="129" t="s">
        <v>24</v>
      </c>
      <c r="C14" s="107"/>
      <c r="U14" s="7"/>
      <c r="V14" s="7"/>
    </row>
    <row r="15" spans="1:29" ht="18">
      <c r="A15" s="129" t="s">
        <v>57</v>
      </c>
      <c r="C15" s="107"/>
      <c r="U15" s="7"/>
      <c r="V15" s="7"/>
    </row>
    <row r="16" spans="1:29" ht="18">
      <c r="A16" s="129" t="s">
        <v>58</v>
      </c>
      <c r="C16" s="107"/>
      <c r="U16" s="7"/>
      <c r="V16" s="7"/>
    </row>
    <row r="17" spans="1:123" ht="15" customHeight="1">
      <c r="A17" s="129" t="s">
        <v>59</v>
      </c>
      <c r="C17" s="107"/>
      <c r="T17" s="8"/>
      <c r="U17" s="7"/>
      <c r="V17" s="7"/>
    </row>
    <row r="18" spans="1:123" ht="18">
      <c r="A18" s="129" t="s">
        <v>25</v>
      </c>
      <c r="C18" s="107"/>
      <c r="U18" s="7"/>
      <c r="V18" s="7"/>
    </row>
    <row r="19" spans="1:123" ht="18">
      <c r="A19" s="129" t="s">
        <v>60</v>
      </c>
      <c r="C19" s="107"/>
      <c r="U19" s="7"/>
      <c r="V19" s="7"/>
    </row>
    <row r="20" spans="1:123" ht="18">
      <c r="A20" s="129" t="s">
        <v>69</v>
      </c>
      <c r="C20" s="107"/>
      <c r="U20" s="7"/>
      <c r="V20" s="7"/>
    </row>
    <row r="21" spans="1:123" ht="18">
      <c r="A21" s="129" t="s">
        <v>26</v>
      </c>
      <c r="C21" s="114"/>
      <c r="U21" s="7"/>
      <c r="V21" s="7"/>
    </row>
    <row r="22" spans="1:123" ht="18">
      <c r="A22" s="129" t="s">
        <v>61</v>
      </c>
      <c r="C22" s="107"/>
      <c r="U22" s="7"/>
      <c r="V22" s="7"/>
    </row>
    <row r="23" spans="1:123" ht="18">
      <c r="A23" s="129" t="s">
        <v>70</v>
      </c>
      <c r="C23" s="107"/>
      <c r="U23" s="7"/>
      <c r="V23" s="7"/>
    </row>
    <row r="24" spans="1:123" ht="18">
      <c r="A24" s="129" t="s">
        <v>49</v>
      </c>
      <c r="C24" s="114"/>
      <c r="U24" s="7"/>
      <c r="V24" s="7"/>
    </row>
    <row r="25" spans="1:123" ht="18">
      <c r="A25" s="129" t="s">
        <v>94</v>
      </c>
      <c r="C25" s="107"/>
      <c r="U25" s="7"/>
      <c r="V25" s="7"/>
    </row>
    <row r="26" spans="1:123" ht="18">
      <c r="A26" s="129" t="s">
        <v>62</v>
      </c>
      <c r="C26" s="114"/>
      <c r="U26" s="7"/>
      <c r="V26" s="7"/>
    </row>
    <row r="27" spans="1:123" s="16" customFormat="1" ht="15.75">
      <c r="A27" s="15" t="s">
        <v>18</v>
      </c>
      <c r="B27" s="16">
        <f t="shared" ref="B27:C27" si="0">COUNTIF(B6:B26,"sim")</f>
        <v>0</v>
      </c>
      <c r="C27" s="103">
        <f t="shared" si="0"/>
        <v>0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8">
        <f t="shared" ref="B28:C28" si="5">COUNTIF(B6:B26,"não")</f>
        <v>0</v>
      </c>
      <c r="C28" s="104">
        <f t="shared" si="5"/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>
        <f t="shared" ref="B29:C29" si="10">COUNTIF(B6:B26,"ausente")</f>
        <v>0</v>
      </c>
      <c r="C29" s="40">
        <f t="shared" si="10"/>
        <v>0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20">
        <f t="shared" ref="B30:C30" si="15">COUNTIF(B6:B26,"abstenção")</f>
        <v>0</v>
      </c>
      <c r="C30" s="105">
        <f t="shared" si="15"/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H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ref="BI30:DS30" si="18">COUNTIF(BI10:BI29,"abstenção")</f>
        <v>0</v>
      </c>
      <c r="BJ30" s="20">
        <f t="shared" si="18"/>
        <v>0</v>
      </c>
      <c r="BK30" s="20">
        <f t="shared" si="18"/>
        <v>0</v>
      </c>
      <c r="BL30" s="20">
        <f t="shared" si="18"/>
        <v>0</v>
      </c>
      <c r="BM30" s="20">
        <f t="shared" si="18"/>
        <v>0</v>
      </c>
      <c r="BN30" s="20">
        <f t="shared" si="18"/>
        <v>0</v>
      </c>
      <c r="BO30" s="20">
        <f t="shared" si="18"/>
        <v>0</v>
      </c>
      <c r="BP30" s="20">
        <f t="shared" si="18"/>
        <v>0</v>
      </c>
      <c r="BQ30" s="20">
        <f t="shared" si="18"/>
        <v>0</v>
      </c>
      <c r="BR30" s="20">
        <f t="shared" si="18"/>
        <v>0</v>
      </c>
      <c r="BS30" s="20">
        <f t="shared" si="18"/>
        <v>0</v>
      </c>
      <c r="BT30" s="20">
        <f t="shared" si="18"/>
        <v>0</v>
      </c>
      <c r="BU30" s="20">
        <f t="shared" si="18"/>
        <v>0</v>
      </c>
      <c r="BV30" s="20">
        <f t="shared" si="18"/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si="18"/>
        <v>0</v>
      </c>
      <c r="DE30" s="20">
        <f t="shared" si="18"/>
        <v>0</v>
      </c>
      <c r="DF30" s="20">
        <f t="shared" si="18"/>
        <v>0</v>
      </c>
      <c r="DG30" s="20">
        <f t="shared" si="18"/>
        <v>0</v>
      </c>
      <c r="DH30" s="20">
        <f t="shared" si="18"/>
        <v>0</v>
      </c>
      <c r="DI30" s="20">
        <f t="shared" si="18"/>
        <v>0</v>
      </c>
      <c r="DJ30" s="20">
        <f t="shared" si="18"/>
        <v>0</v>
      </c>
      <c r="DK30" s="20">
        <f t="shared" si="18"/>
        <v>0</v>
      </c>
      <c r="DL30" s="20">
        <f t="shared" si="18"/>
        <v>0</v>
      </c>
      <c r="DM30" s="20">
        <f t="shared" si="18"/>
        <v>0</v>
      </c>
      <c r="DN30" s="20">
        <f t="shared" si="18"/>
        <v>0</v>
      </c>
      <c r="DO30" s="20">
        <f t="shared" si="18"/>
        <v>0</v>
      </c>
      <c r="DP30" s="20">
        <f t="shared" si="18"/>
        <v>0</v>
      </c>
      <c r="DQ30" s="20">
        <f t="shared" si="18"/>
        <v>0</v>
      </c>
      <c r="DR30" s="20">
        <f t="shared" si="18"/>
        <v>0</v>
      </c>
      <c r="DS30" s="20">
        <f t="shared" si="18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tabSelected="1" workbookViewId="0">
      <pane xSplit="1" topLeftCell="B1" activePane="topRight" state="frozen"/>
      <selection pane="topRight" activeCell="K5" sqref="K5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99</v>
      </c>
      <c r="B2" s="2"/>
    </row>
    <row r="3" spans="1:4" ht="15.75" thickBot="1">
      <c r="A3" s="121" t="s">
        <v>100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126</v>
      </c>
      <c r="D4" s="139" t="s">
        <v>127</v>
      </c>
    </row>
    <row r="5" spans="1:4" s="6" customFormat="1" ht="60.75" customHeight="1">
      <c r="A5" s="122"/>
      <c r="B5" s="111"/>
      <c r="C5" s="118" t="s">
        <v>125</v>
      </c>
      <c r="D5" s="113" t="s">
        <v>71</v>
      </c>
    </row>
    <row r="6" spans="1:4" ht="15.75">
      <c r="A6" s="127" t="s">
        <v>51</v>
      </c>
      <c r="C6" s="107"/>
      <c r="D6" s="107" t="s">
        <v>66</v>
      </c>
    </row>
    <row r="7" spans="1:4" ht="15.75">
      <c r="A7" s="127" t="s">
        <v>68</v>
      </c>
      <c r="C7" s="107"/>
      <c r="D7" s="114" t="s">
        <v>53</v>
      </c>
    </row>
    <row r="8" spans="1:4" ht="15.75">
      <c r="A8" s="127" t="s">
        <v>54</v>
      </c>
      <c r="C8" s="107"/>
      <c r="D8" s="107" t="s">
        <v>66</v>
      </c>
    </row>
    <row r="9" spans="1:4" ht="15.75">
      <c r="A9" s="128" t="s">
        <v>55</v>
      </c>
      <c r="C9" s="107"/>
      <c r="D9" s="107" t="s">
        <v>66</v>
      </c>
    </row>
    <row r="10" spans="1:4" ht="15.75">
      <c r="A10" s="127" t="s">
        <v>28</v>
      </c>
      <c r="C10" s="114"/>
      <c r="D10" s="107" t="s">
        <v>66</v>
      </c>
    </row>
    <row r="11" spans="1:4" ht="15.75">
      <c r="A11" s="127" t="s">
        <v>56</v>
      </c>
      <c r="C11" s="114"/>
      <c r="D11" s="107" t="s">
        <v>66</v>
      </c>
    </row>
    <row r="12" spans="1:4" ht="15.75">
      <c r="A12" s="127" t="s">
        <v>22</v>
      </c>
      <c r="C12" s="114"/>
      <c r="D12" s="107" t="s">
        <v>66</v>
      </c>
    </row>
    <row r="13" spans="1:4" ht="15.75">
      <c r="A13" s="127" t="s">
        <v>23</v>
      </c>
      <c r="B13" s="138"/>
      <c r="C13" s="107"/>
      <c r="D13" s="107" t="s">
        <v>66</v>
      </c>
    </row>
    <row r="14" spans="1:4" ht="15.75">
      <c r="A14" s="127" t="s">
        <v>24</v>
      </c>
      <c r="C14" s="107"/>
      <c r="D14" s="107" t="s">
        <v>66</v>
      </c>
    </row>
    <row r="15" spans="1:4" ht="15.75">
      <c r="A15" s="127" t="s">
        <v>57</v>
      </c>
      <c r="C15" s="107"/>
      <c r="D15" s="114" t="s">
        <v>53</v>
      </c>
    </row>
    <row r="16" spans="1:4" ht="15.75">
      <c r="A16" s="127" t="s">
        <v>58</v>
      </c>
      <c r="C16" s="107"/>
      <c r="D16" s="107" t="s">
        <v>66</v>
      </c>
    </row>
    <row r="17" spans="1:4" ht="15.75">
      <c r="A17" s="127" t="s">
        <v>59</v>
      </c>
      <c r="C17" s="107"/>
      <c r="D17" s="107" t="s">
        <v>66</v>
      </c>
    </row>
    <row r="18" spans="1:4" ht="15.75">
      <c r="A18" s="127" t="s">
        <v>25</v>
      </c>
      <c r="C18" s="107"/>
      <c r="D18" s="114" t="s">
        <v>53</v>
      </c>
    </row>
    <row r="19" spans="1:4" ht="15.75">
      <c r="A19" s="127" t="s">
        <v>60</v>
      </c>
      <c r="C19" s="107"/>
      <c r="D19" s="107" t="s">
        <v>66</v>
      </c>
    </row>
    <row r="20" spans="1:4" ht="15.75">
      <c r="A20" s="127" t="s">
        <v>69</v>
      </c>
      <c r="C20" s="114"/>
      <c r="D20" s="107" t="s">
        <v>66</v>
      </c>
    </row>
    <row r="21" spans="1:4" ht="15.75">
      <c r="A21" s="127" t="s">
        <v>26</v>
      </c>
      <c r="C21" s="107"/>
      <c r="D21" s="114" t="s">
        <v>53</v>
      </c>
    </row>
    <row r="22" spans="1:4" ht="15.75">
      <c r="A22" s="127" t="s">
        <v>61</v>
      </c>
      <c r="C22" s="107"/>
      <c r="D22" s="107" t="s">
        <v>66</v>
      </c>
    </row>
    <row r="23" spans="1:4" ht="15.75">
      <c r="A23" s="127" t="s">
        <v>70</v>
      </c>
      <c r="C23" s="107"/>
      <c r="D23" s="114" t="s">
        <v>53</v>
      </c>
    </row>
    <row r="24" spans="1:4" ht="15.75">
      <c r="A24" s="127" t="s">
        <v>49</v>
      </c>
      <c r="C24" s="107"/>
      <c r="D24" s="107" t="s">
        <v>66</v>
      </c>
    </row>
    <row r="25" spans="1:4" ht="15.75">
      <c r="A25" s="127" t="s">
        <v>94</v>
      </c>
      <c r="C25" s="107"/>
      <c r="D25" s="107" t="s">
        <v>66</v>
      </c>
    </row>
    <row r="26" spans="1:4" ht="15.75">
      <c r="A26" s="127" t="s">
        <v>62</v>
      </c>
      <c r="C26" s="114"/>
      <c r="D26" s="107" t="s">
        <v>66</v>
      </c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  <c r="D28" s="103">
        <f t="shared" ref="D28" si="1">COUNTIF(D6:D26,"sim")</f>
        <v>16</v>
      </c>
    </row>
    <row r="29" spans="1:4" ht="15.75">
      <c r="A29" s="17" t="s">
        <v>19</v>
      </c>
      <c r="B29" s="18">
        <f>COUNTIF(B6:B26,"não")</f>
        <v>0</v>
      </c>
      <c r="C29" s="104">
        <f t="shared" ref="C29" si="2">COUNTIF(C6:C26,"não")</f>
        <v>0</v>
      </c>
      <c r="D29" s="104">
        <f t="shared" ref="D29" si="3">COUNTIF(D6:D26,"não")</f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" si="4">COUNTIF(C6:C26,"ausente")</f>
        <v>0</v>
      </c>
      <c r="D30" s="40">
        <f t="shared" ref="D30" si="5">COUNTIF(D6:D26,"ausente")</f>
        <v>5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" si="6">COUNTIF(C6:C26,"abstenção")</f>
        <v>0</v>
      </c>
      <c r="D31" s="105">
        <f t="shared" ref="D31" si="7">COUNTIF(D6:D26,"abstenção")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F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5.5703125" customWidth="1"/>
    <col min="7" max="7" width="18.28515625" customWidth="1"/>
  </cols>
  <sheetData>
    <row r="1" spans="1:6">
      <c r="A1" s="76" t="s">
        <v>8</v>
      </c>
      <c r="B1" s="2"/>
      <c r="C1" s="54"/>
      <c r="D1" s="54"/>
      <c r="E1" s="54"/>
    </row>
    <row r="2" spans="1:6">
      <c r="A2" s="76" t="s">
        <v>99</v>
      </c>
      <c r="B2" s="2"/>
      <c r="C2" s="54"/>
      <c r="D2" s="54"/>
      <c r="E2" s="54"/>
    </row>
    <row r="3" spans="1:6" ht="15.75" thickBot="1">
      <c r="A3" s="121" t="s">
        <v>100</v>
      </c>
      <c r="B3" s="2"/>
      <c r="C3" s="54"/>
      <c r="D3" s="54"/>
      <c r="E3" s="54"/>
    </row>
    <row r="4" spans="1:6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31" t="s">
        <v>73</v>
      </c>
    </row>
    <row r="5" spans="1:6" ht="60.75" customHeight="1">
      <c r="A5" s="48"/>
      <c r="B5" s="10"/>
      <c r="C5" s="132"/>
      <c r="D5" s="131"/>
      <c r="E5" s="131"/>
      <c r="F5" s="40"/>
    </row>
    <row r="6" spans="1:6" ht="18">
      <c r="A6" s="129" t="s">
        <v>51</v>
      </c>
      <c r="C6" s="133"/>
      <c r="D6" s="133"/>
      <c r="E6" s="133"/>
      <c r="F6" s="40"/>
    </row>
    <row r="7" spans="1:6" ht="18">
      <c r="A7" s="129" t="s">
        <v>68</v>
      </c>
      <c r="C7" s="133"/>
      <c r="D7" s="133"/>
      <c r="E7" s="133"/>
      <c r="F7" s="40"/>
    </row>
    <row r="8" spans="1:6" ht="18">
      <c r="A8" s="129" t="s">
        <v>54</v>
      </c>
      <c r="C8" s="133"/>
      <c r="D8" s="133"/>
      <c r="E8" s="133"/>
      <c r="F8" s="40"/>
    </row>
    <row r="9" spans="1:6" ht="18">
      <c r="A9" s="130" t="s">
        <v>55</v>
      </c>
      <c r="C9" s="133"/>
      <c r="D9" s="133"/>
      <c r="E9" s="133"/>
      <c r="F9" s="40"/>
    </row>
    <row r="10" spans="1:6" ht="18">
      <c r="A10" s="129" t="s">
        <v>28</v>
      </c>
      <c r="C10" s="133"/>
      <c r="D10" s="133"/>
      <c r="E10" s="133"/>
      <c r="F10" s="40"/>
    </row>
    <row r="11" spans="1:6" ht="18">
      <c r="A11" s="129" t="s">
        <v>56</v>
      </c>
      <c r="C11" s="133"/>
      <c r="D11" s="133"/>
      <c r="E11" s="133"/>
      <c r="F11" s="40"/>
    </row>
    <row r="12" spans="1:6" ht="18">
      <c r="A12" s="129" t="s">
        <v>22</v>
      </c>
      <c r="C12" s="133"/>
      <c r="D12" s="133"/>
      <c r="E12" s="133"/>
      <c r="F12" s="40"/>
    </row>
    <row r="13" spans="1:6" ht="18">
      <c r="A13" s="129" t="s">
        <v>23</v>
      </c>
      <c r="C13" s="133"/>
      <c r="D13" s="133"/>
      <c r="E13" s="133"/>
      <c r="F13" s="40"/>
    </row>
    <row r="14" spans="1:6" ht="18">
      <c r="A14" s="129" t="s">
        <v>24</v>
      </c>
      <c r="C14" s="133"/>
      <c r="D14" s="133"/>
      <c r="E14" s="133"/>
      <c r="F14" s="40"/>
    </row>
    <row r="15" spans="1:6" ht="18">
      <c r="A15" s="129" t="s">
        <v>57</v>
      </c>
      <c r="C15" s="133"/>
      <c r="D15" s="133"/>
      <c r="E15" s="133"/>
      <c r="F15" s="40"/>
    </row>
    <row r="16" spans="1:6" ht="18">
      <c r="A16" s="129" t="s">
        <v>58</v>
      </c>
      <c r="C16" s="133"/>
      <c r="D16" s="133"/>
      <c r="E16" s="133"/>
      <c r="F16" s="40"/>
    </row>
    <row r="17" spans="1:6" ht="18">
      <c r="A17" s="129" t="s">
        <v>59</v>
      </c>
      <c r="C17" s="133"/>
      <c r="D17" s="133"/>
      <c r="E17" s="133"/>
      <c r="F17" s="40"/>
    </row>
    <row r="18" spans="1:6" ht="18">
      <c r="A18" s="129" t="s">
        <v>25</v>
      </c>
      <c r="C18" s="133"/>
      <c r="D18" s="133"/>
      <c r="E18" s="133"/>
      <c r="F18" s="40"/>
    </row>
    <row r="19" spans="1:6" ht="18">
      <c r="A19" s="129" t="s">
        <v>60</v>
      </c>
      <c r="C19" s="133"/>
      <c r="D19" s="133"/>
      <c r="E19" s="133"/>
      <c r="F19" s="40"/>
    </row>
    <row r="20" spans="1:6" ht="18">
      <c r="A20" s="129" t="s">
        <v>69</v>
      </c>
      <c r="C20" s="133"/>
      <c r="D20" s="133"/>
      <c r="E20" s="133"/>
      <c r="F20" s="40"/>
    </row>
    <row r="21" spans="1:6" ht="18">
      <c r="A21" s="129" t="s">
        <v>26</v>
      </c>
      <c r="C21" s="133"/>
      <c r="D21" s="133"/>
      <c r="E21" s="133"/>
      <c r="F21" s="40"/>
    </row>
    <row r="22" spans="1:6" ht="18">
      <c r="A22" s="129" t="s">
        <v>61</v>
      </c>
      <c r="C22" s="133"/>
      <c r="D22" s="133"/>
      <c r="E22" s="133"/>
      <c r="F22" s="40"/>
    </row>
    <row r="23" spans="1:6" ht="18">
      <c r="A23" s="129" t="s">
        <v>70</v>
      </c>
      <c r="C23" s="133"/>
      <c r="D23" s="133"/>
      <c r="E23" s="133"/>
      <c r="F23" s="40"/>
    </row>
    <row r="24" spans="1:6" ht="18">
      <c r="A24" s="129" t="s">
        <v>49</v>
      </c>
      <c r="C24" s="133"/>
      <c r="D24" s="133"/>
      <c r="E24" s="133"/>
      <c r="F24" s="40"/>
    </row>
    <row r="25" spans="1:6" ht="18">
      <c r="A25" s="129" t="s">
        <v>94</v>
      </c>
      <c r="C25" s="133"/>
      <c r="D25" s="133"/>
      <c r="E25" s="133"/>
      <c r="F25" s="40"/>
    </row>
    <row r="26" spans="1:6" ht="18">
      <c r="A26" s="129" t="s">
        <v>62</v>
      </c>
      <c r="C26" s="133"/>
      <c r="D26" s="133"/>
      <c r="E26" s="133"/>
      <c r="F26" s="40"/>
    </row>
    <row r="27" spans="1:6">
      <c r="C27" s="133"/>
      <c r="D27" s="133"/>
      <c r="E27" s="133"/>
      <c r="F27" s="40"/>
    </row>
    <row r="28" spans="1:6" ht="15.75">
      <c r="A28" s="15" t="s">
        <v>18</v>
      </c>
      <c r="B28" s="16"/>
      <c r="C28" s="134">
        <f t="shared" ref="C28:F28" si="0">COUNTIF(C6:C26,"sim")</f>
        <v>0</v>
      </c>
      <c r="D28" s="134">
        <f t="shared" si="0"/>
        <v>0</v>
      </c>
      <c r="E28" s="134">
        <f t="shared" si="0"/>
        <v>0</v>
      </c>
      <c r="F28" s="134">
        <f t="shared" si="0"/>
        <v>0</v>
      </c>
    </row>
    <row r="29" spans="1:6" ht="15.75">
      <c r="A29" s="17" t="s">
        <v>19</v>
      </c>
      <c r="B29" s="18"/>
      <c r="C29" s="135">
        <f t="shared" ref="C29:F29" si="1">COUNTIF(C6:C26,"não")</f>
        <v>0</v>
      </c>
      <c r="D29" s="135">
        <f t="shared" si="1"/>
        <v>0</v>
      </c>
      <c r="E29" s="135">
        <f t="shared" si="1"/>
        <v>0</v>
      </c>
      <c r="F29" s="135">
        <f t="shared" si="1"/>
        <v>0</v>
      </c>
    </row>
    <row r="30" spans="1:6" ht="15.75">
      <c r="A30" s="14" t="s">
        <v>11</v>
      </c>
      <c r="C30" s="133">
        <f t="shared" ref="C30:F30" si="2">COUNTIF(C6:C26,"ausente")</f>
        <v>0</v>
      </c>
      <c r="D30" s="133">
        <f t="shared" si="2"/>
        <v>0</v>
      </c>
      <c r="E30" s="133">
        <f t="shared" si="2"/>
        <v>0</v>
      </c>
      <c r="F30" s="133">
        <f t="shared" si="2"/>
        <v>0</v>
      </c>
    </row>
    <row r="31" spans="1:6" ht="15.75">
      <c r="A31" s="19" t="s">
        <v>20</v>
      </c>
      <c r="B31" s="20"/>
      <c r="C31" s="136">
        <f t="shared" ref="C31:F31" si="3">COUNTIF(C6:C26,"abstenção")</f>
        <v>0</v>
      </c>
      <c r="D31" s="136">
        <f t="shared" si="3"/>
        <v>0</v>
      </c>
      <c r="E31" s="136">
        <f t="shared" si="3"/>
        <v>0</v>
      </c>
      <c r="F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99</v>
      </c>
      <c r="B2" s="2"/>
    </row>
    <row r="3" spans="1:23">
      <c r="A3" s="76" t="s">
        <v>100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74</v>
      </c>
      <c r="E4" s="106" t="s">
        <v>75</v>
      </c>
      <c r="F4" s="106" t="s">
        <v>76</v>
      </c>
      <c r="G4" s="106" t="s">
        <v>77</v>
      </c>
      <c r="H4" s="106" t="s">
        <v>78</v>
      </c>
      <c r="I4" s="106" t="s">
        <v>79</v>
      </c>
      <c r="J4" s="106" t="s">
        <v>80</v>
      </c>
      <c r="K4" s="106" t="s">
        <v>81</v>
      </c>
      <c r="L4" s="106" t="s">
        <v>82</v>
      </c>
      <c r="M4" s="106" t="s">
        <v>83</v>
      </c>
      <c r="N4" s="106" t="s">
        <v>84</v>
      </c>
      <c r="O4" s="106" t="s">
        <v>85</v>
      </c>
      <c r="P4" s="106" t="s">
        <v>86</v>
      </c>
      <c r="Q4" s="106" t="s">
        <v>87</v>
      </c>
      <c r="R4" s="106" t="s">
        <v>88</v>
      </c>
      <c r="S4" s="106" t="s">
        <v>89</v>
      </c>
      <c r="T4" s="106" t="s">
        <v>90</v>
      </c>
      <c r="U4" s="106" t="s">
        <v>91</v>
      </c>
      <c r="V4" s="106" t="s">
        <v>92</v>
      </c>
      <c r="W4" s="106" t="s">
        <v>93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69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70</v>
      </c>
    </row>
    <row r="24" spans="1:23" ht="15.75">
      <c r="A24" s="127" t="s">
        <v>49</v>
      </c>
    </row>
    <row r="25" spans="1:23" ht="15.75">
      <c r="A25" s="127" t="s">
        <v>94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2025-11-03T20:43:25Z</dcterms:modified>
</cp:coreProperties>
</file>