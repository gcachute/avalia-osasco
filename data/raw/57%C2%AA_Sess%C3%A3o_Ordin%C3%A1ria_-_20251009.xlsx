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9302332F-EC0E-4C27-A5AB-27F31F6A7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4" l="1"/>
  <c r="C28" i="10"/>
  <c r="C29" i="10"/>
  <c r="C30" i="10"/>
  <c r="C31" i="10"/>
  <c r="E28" i="10"/>
  <c r="E29" i="10"/>
  <c r="E30" i="10"/>
  <c r="E31" i="10"/>
  <c r="C27" i="2"/>
  <c r="C28" i="2"/>
  <c r="C29" i="2"/>
  <c r="C30" i="2"/>
  <c r="E27" i="2"/>
  <c r="E28" i="2"/>
  <c r="E29" i="2"/>
  <c r="E30" i="2"/>
  <c r="D28" i="10"/>
  <c r="F28" i="10"/>
  <c r="D29" i="10"/>
  <c r="F29" i="10"/>
  <c r="D30" i="10"/>
  <c r="F30" i="10"/>
  <c r="D31" i="10"/>
  <c r="F31" i="10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<sst xmlns="http://schemas.openxmlformats.org/spreadsheetml/2006/main" count="493" uniqueCount="123">
  <si>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</si>
  <si>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</si>
  <si>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</si>
  <si>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</si>
  <si>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</si>
  <si>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</si>
  <si>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</si>
  <si>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</si>
  <si>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</si>
  <si>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</si>
  <si>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</si>
  <si>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</si>
  <si>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</si>
  <si>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</si>
  <si>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</si>
  <si>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</si>
  <si>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</si>
  <si>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</si>
  <si>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</si>
  <si>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</si>
  <si>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</si>
  <si>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</si>
  <si>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</si>
  <si>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</si>
  <si>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</si>
  <si>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</si>
  <si>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</si>
  <si>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</si>
  <si>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</si>
  <si>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</si>
  <si>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</si>
  <si>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</si>
  <si>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</si>
  <si>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</si>
  <si>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</si>
  <si>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</si>
  <si>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</si>
  <si>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</si>
  <si>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</si>
  <si>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</si>
  <si>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</si>
  <si>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</si>
  <si>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</si>
  <si>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</si>
  <si>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</si>
  <si>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</si>
  <si>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</si>
  <si>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</si>
  <si>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</si>
  <si>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</si>
  <si>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</si>
  <si>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</si>
  <si>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</si>
  <si>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</si>
  <si>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</si>
  <si>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</si>
  <si>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</si>
  <si>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</si>
  <si>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</si>
  <si>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</si>
  <si>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</si>
  <si>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</si>
  <si>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</si>
  <si>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</si>
  <si>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</si>
  <si>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</si>
  <si>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</si>
  <si>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</si>
  <si>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</si>
  <si>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</si>
  <si>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</si>
  <si>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</si>
  <si>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pela ausência do autor, será pautada na próxima sessão.</t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</si>
  <si>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</si>
  <si>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</si>
  <si>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</si>
  <si>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</si>
  <si>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</si>
  <si>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</si>
  <si>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</si>
  <si>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</si>
  <si>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</si>
  <si>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</si>
  <si>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</si>
  <si>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</si>
  <si>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</si>
  <si>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</si>
  <si>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</si>
  <si>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</si>
  <si>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</si>
  <si>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</si>
  <si>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</si>
  <si>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</si>
  <si>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</si>
  <si>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pela ausência da autora, será pautada na próxima sessão.</t>
  </si>
  <si>
    <r>
      <t xml:space="preserve">MOÇÃO DE CONGRATULAÇÕES Nº 467/2025 – STEPHANE ROSSI – </t>
    </r>
    <r>
      <rPr>
        <sz val="11"/>
        <color theme="1"/>
        <rFont val="Arial"/>
        <family val="2"/>
      </rPr>
      <t>À atleta osasquense Beatriz de Araujo Flausino, pela brilhante conquista da Medalha de Ouro nos 100 metros peito, classe SB14, no Mundial de Natação Paralímpica, realizado em Singapura.</t>
    </r>
  </si>
  <si>
    <r>
      <t>MOÇÃO DE APOIO Nº 422/2025 – LÚCIA DA SAÚDE –</t>
    </r>
    <r>
      <rPr>
        <sz val="11"/>
        <color theme="1"/>
        <rFont val="Arial"/>
        <family val="2"/>
      </rPr>
      <t xml:space="preserve"> À campanha Outubro Rosa, movimento mundial que visa a conscientização da importância da prevenção e do diagnóstico precoce do câncer de mama.</t>
    </r>
  </si>
  <si>
    <r>
      <t xml:space="preserve">MOÇÃO DE RECONHECIMENTO Nº 478/2025 – GUILHERME PRADO – </t>
    </r>
    <r>
      <rPr>
        <sz val="11"/>
        <color theme="1"/>
        <rFont val="Arial"/>
        <family val="2"/>
      </rPr>
      <t>Ao senhor Eronaldo José da Silva, Gerente Executivo do INSS em Osasco, e ao senhor Marcos Chaves de Lima, Assessor da Gerência Executiva do INSS em Osasco, em homenagem à relevante atuação de ambos na gestão e no fortalecimento dos serviços previdenciários no município.</t>
    </r>
  </si>
  <si>
    <r>
      <t xml:space="preserve">MOÇÃO DE RECONHECIMENTO Nº 481/2025 – ELSA OLIVEIRA – </t>
    </r>
    <r>
      <rPr>
        <sz val="11"/>
        <color theme="1"/>
        <rFont val="Arial"/>
        <family val="2"/>
      </rPr>
      <t>Ao trabalho da Diretoria Geral dos Serviços Funerários e dos sepultadores da cidade de Osasco.</t>
    </r>
  </si>
  <si>
    <r>
      <t xml:space="preserve">MOÇÃO DE RECONHECIMENTO Nº 483/2025 – LAÉRCIO MENDONÇA – </t>
    </r>
    <r>
      <rPr>
        <sz val="11"/>
        <color theme="1"/>
        <rFont val="Arial"/>
        <family val="2"/>
      </rPr>
      <t>À Sra. Lucilia Montemagni, por sua trajetória profissional, marcada pela dedicação, compromisso com a educação e contribuição para a transformação da sociedade.</t>
    </r>
  </si>
  <si>
    <t>Sergio Fontellas</t>
  </si>
  <si>
    <t>57ª SESSÃO ORDINÁRIA</t>
  </si>
  <si>
    <t>DIA 9 DE OUTUBRO DE 2025 - QUINTA-FEIRA</t>
  </si>
  <si>
    <t xml:space="preserve"> 2ª chamada abertura da sessão </t>
  </si>
  <si>
    <t>Justificativa de ausência do Vereador Fábio Chirinhan.</t>
  </si>
  <si>
    <t>Justificativa de ausência do Vereador Emerson Osasco.</t>
  </si>
  <si>
    <t>Ofício Prolegis nº 202503195669– Prefeito do Município de Osasco – Informa a sanção da Lei nº 5.426, de 3 de outubro de 2025, referente ao Projeto de Lei nº 132/2025, de autoria da vereadora Elania Silva, que institui no Calendário Oficial do Município de Osasco, a Semana de Conscientização da Manobra de Heimlich e dá outras providências.</t>
  </si>
  <si>
    <t>Ofício Prolegis nº 202503197507– Prefeito do Município de Osasco – Informa a sanção da Lei nº 5.427, de 6 de outubro de 2025, referente ao Projeto de Lei nº 177/2025, que dispõe sobre abertura de crédito adicional especial ao orçamento vigente e dá outras providências.</t>
  </si>
  <si>
    <t>Projeto de Lei Complementar nº 15/2025– Prefeito do Município de Osasco – Dispõe sobre a regularização edilícia no Município de Osasco.</t>
  </si>
  <si>
    <t>Substitutivo nº 3/2025 ao Projeto de Lei nº 72/2025 – Alexandre Capriotti e Elsa Oliveira – Institui no calendário oficial do Município o Dia do Desafio Menos Tela.</t>
  </si>
  <si>
    <t>Projeto de Lei nº 106/2025 – Lúcia da Saúde – Institui o Dia das Unidades Básicas de Saúde – UBS de Osasco.</t>
  </si>
  <si>
    <r>
      <t>MOÇÃO DE CONGRATULAÇÕES Nº 476/2025 – DELBIO TERUEL –</t>
    </r>
    <r>
      <rPr>
        <sz val="11"/>
        <color theme="1"/>
        <rFont val="Arial"/>
        <family val="2"/>
      </rPr>
      <t xml:space="preserve"> À Associação Comunitária de Idosos do Município de Osasco – ACIMO, estendendo a homenagem a todas as pessoas idosas da cidade pela passagem do Dia Nacional e Internacional da Pessoa Idosa, celebrado em 1º de outubro.</t>
    </r>
  </si>
  <si>
    <r>
      <t xml:space="preserve">MOÇÃO DE APLAUSOS Nº 484/2025 – CARMÔNIO BASTOS – </t>
    </r>
    <r>
      <rPr>
        <sz val="11"/>
        <color theme="1"/>
        <rFont val="Arial"/>
        <family val="2"/>
      </rPr>
      <t>Ao jovem tenista Juan Pietro Braun Luck Silva, atleta do programa Bolsa Atleta da Prefeitura de Osasco, pelo brilhante desempenho no tênis, com destaque para o título da Copa Play Tennis Infantojuvenil Morumby.</t>
    </r>
  </si>
  <si>
    <r>
      <t xml:space="preserve">MOÇÃO DE CONGRATULAÇÕES Nº 486/2025 – RODRIGO GANSINHO – </t>
    </r>
    <r>
      <rPr>
        <sz val="11"/>
        <color theme="1"/>
        <rFont val="Arial"/>
        <family val="2"/>
      </rPr>
      <t>À Equipe Técnica e aos Atletas de Futebol de Salão da Seleção de Osasco, por representarem a Cidade de Osasco com campanhas brilhantes na conquista dos troféus de Campeão na categoria Sub-12 e Vice-Campeão na categoria Sub-10 do Campeonato de Futsal do Circuito Cioeste 2025.</t>
    </r>
  </si>
  <si>
    <r>
      <t>MOÇÃO DE CONGRATULAÇÕES Nº 487/2025 – GABRIEL SAÚDE –</t>
    </r>
    <r>
      <rPr>
        <sz val="11"/>
        <color theme="1"/>
        <rFont val="Arial"/>
        <family val="2"/>
      </rPr>
      <t xml:space="preserve"> À Sra. Simone de Carvalho, por sua luta, coragem e dedicação, cuja trajetória se confunde com a história de resistência e transformação social de nossa cidade.</t>
    </r>
  </si>
  <si>
    <r>
      <t>MOÇÃO DE RECONHECIMENTO Nº 488/2025 – ELSA OLIVEIRA –</t>
    </r>
    <r>
      <rPr>
        <sz val="11"/>
        <color theme="1"/>
        <rFont val="Arial"/>
        <family val="2"/>
      </rPr>
      <t xml:space="preserve"> Aos professores da rede pública e privada de ensino da cidade de Osasco, pela passagem do “Dia dos Professores” em 15 de outubro.</t>
    </r>
  </si>
  <si>
    <r>
      <t xml:space="preserve">10.	MOÇÃO DE APLAUSOS Nº 489/2025 – JOSIAS DA JUCO – </t>
    </r>
    <r>
      <rPr>
        <sz val="11"/>
        <color theme="1"/>
        <rFont val="Arial"/>
        <family val="2"/>
      </rPr>
      <t>Ao Tenente-Coronel PM Edson Garnica Mota, pelo exercício do Comando do 14º Batalhão da Polícia Militar Metropolitano de Osasco.</t>
    </r>
  </si>
  <si>
    <r>
      <t xml:space="preserve">PROJETO DE LEI Nº 93/2025 - LÚCIA DA SAÚDE – </t>
    </r>
    <r>
      <rPr>
        <sz val="14"/>
        <color theme="1"/>
        <rFont val="Arial"/>
        <family val="2"/>
      </rPr>
      <t>Institui a Semana de Prevenção e Apoio à Ansiedade no Município de Osasco.</t>
    </r>
  </si>
  <si>
    <r>
      <t>PROJETO DE LEI Nº 118/2025 - LÚCIA DA SAÚDE –</t>
    </r>
    <r>
      <rPr>
        <sz val="11"/>
        <color theme="1"/>
        <rFont val="Arial"/>
        <family val="2"/>
      </rPr>
      <t xml:space="preserve"> Institui o “Mês de Conscientização sobre as Doenças Cardiovasculares” no Município de Osasco. </t>
    </r>
  </si>
  <si>
    <r>
      <t>PROJETO DE DECRETO LEGISLATIVO Nº 13/2025 – ELÂNIA SILVA -</t>
    </r>
    <r>
      <rPr>
        <sz val="11"/>
        <color theme="1"/>
        <rFont val="Arial"/>
        <family val="2"/>
      </rPr>
      <t xml:space="preserve"> Dispõe sobre a concessão de Placa de Inclusão Social e Combate ao Racismo à Transportadora Translima.</t>
    </r>
  </si>
  <si>
    <r>
      <t>PROJETO DE DECRETO LEGISLATIVO Nº 24/2025 – JOSIAS DA JUCO -</t>
    </r>
    <r>
      <rPr>
        <sz val="11"/>
        <color theme="1"/>
        <rFont val="Arial"/>
        <family val="2"/>
      </rPr>
      <t xml:space="preserve"> Dispõe sobre a concessão de Título de Cidadão Osasquense ao Senhor Sebastião Bognar.</t>
    </r>
  </si>
  <si>
    <t>Emenda 1 ao PROJETO DE DECRETO LEGISLATIVO Nº 38/2025 – LAÉRCIO MENDONÇA.</t>
  </si>
  <si>
    <r>
      <t xml:space="preserve">PROJETO DE DECRETO LEGISLATIVO Nº 38/2025 – LAÉRCIO MENDONÇA - </t>
    </r>
    <r>
      <rPr>
        <sz val="11"/>
        <color theme="1"/>
        <rFont val="Arial"/>
        <family val="2"/>
      </rPr>
      <t xml:space="preserve">Dispõe sobre a concessão de Título de Cidadão Osasquense ao Senhor Luciano Camandoni.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</si>
</sst>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K19" sqref="K19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3" t="s">
        <v>29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0"/>
      <c r="O1" s="70"/>
      <c r="P1" s="70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3" t="s">
        <v>101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0"/>
      <c r="O2" s="70"/>
      <c r="P2" s="70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3" t="s">
        <v>102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0"/>
      <c r="O3" s="70"/>
      <c r="P3" s="70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7"/>
      <c r="C4" s="92" t="s">
        <v>64</v>
      </c>
      <c r="D4" s="92"/>
      <c r="E4" s="92" t="s">
        <v>103</v>
      </c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7"/>
      <c r="U4" s="147"/>
      <c r="V4" s="147"/>
      <c r="W4" s="147"/>
      <c r="X4" s="147"/>
      <c r="Y4" s="147"/>
    </row>
    <row r="5" spans="1:28" ht="18" customHeight="1">
      <c r="A5" s="46" t="s">
        <v>51</v>
      </c>
      <c r="B5" s="88">
        <v>1</v>
      </c>
      <c r="C5" s="62" t="s">
        <v>52</v>
      </c>
      <c r="D5" s="63">
        <v>1</v>
      </c>
      <c r="E5" s="62" t="s">
        <v>52</v>
      </c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7"/>
      <c r="U5" s="147"/>
      <c r="V5" s="147"/>
      <c r="W5" s="147"/>
      <c r="X5" s="147"/>
      <c r="Y5" s="147"/>
    </row>
    <row r="6" spans="1:28" ht="18" customHeight="1">
      <c r="A6" s="46" t="s">
        <v>68</v>
      </c>
      <c r="B6" s="88">
        <v>2</v>
      </c>
      <c r="C6" s="102" t="s">
        <v>53</v>
      </c>
      <c r="D6" s="63">
        <v>2</v>
      </c>
      <c r="E6" s="102" t="s">
        <v>53</v>
      </c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7"/>
      <c r="U6" s="147"/>
      <c r="V6" s="147"/>
      <c r="W6" s="147"/>
      <c r="X6" s="147"/>
      <c r="Y6" s="147"/>
    </row>
    <row r="7" spans="1:28" ht="18" customHeight="1">
      <c r="A7" s="46" t="s">
        <v>54</v>
      </c>
      <c r="B7" s="88">
        <v>1</v>
      </c>
      <c r="C7" s="62" t="s">
        <v>52</v>
      </c>
      <c r="D7" s="63">
        <v>1</v>
      </c>
      <c r="E7" s="62" t="s">
        <v>52</v>
      </c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7"/>
      <c r="U7" s="147"/>
      <c r="V7" s="147"/>
      <c r="W7" s="147"/>
      <c r="X7" s="147"/>
      <c r="Y7" s="147"/>
    </row>
    <row r="8" spans="1:28" ht="18" customHeight="1">
      <c r="A8" s="82" t="s">
        <v>55</v>
      </c>
      <c r="B8" s="88">
        <v>1</v>
      </c>
      <c r="C8" s="62" t="s">
        <v>52</v>
      </c>
      <c r="D8" s="63">
        <v>1</v>
      </c>
      <c r="E8" s="62" t="s">
        <v>52</v>
      </c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7"/>
      <c r="U8" s="147"/>
      <c r="V8" s="147"/>
      <c r="W8" s="147"/>
      <c r="X8" s="147"/>
      <c r="Y8" s="147"/>
    </row>
    <row r="9" spans="1:28" ht="18" customHeight="1">
      <c r="A9" s="46" t="s">
        <v>28</v>
      </c>
      <c r="B9" s="88">
        <v>2</v>
      </c>
      <c r="C9" s="102" t="s">
        <v>53</v>
      </c>
      <c r="D9" s="63">
        <v>2</v>
      </c>
      <c r="E9" s="102" t="s">
        <v>53</v>
      </c>
      <c r="F9" s="88">
        <v>2</v>
      </c>
      <c r="G9" s="102" t="s">
        <v>53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47"/>
      <c r="U9" s="147"/>
      <c r="V9" s="147"/>
      <c r="W9" s="147"/>
      <c r="X9" s="147"/>
      <c r="Y9" s="147"/>
    </row>
    <row r="10" spans="1:28" ht="18" customHeight="1">
      <c r="A10" s="46" t="s">
        <v>56</v>
      </c>
      <c r="B10" s="88">
        <v>2</v>
      </c>
      <c r="C10" s="102" t="s">
        <v>53</v>
      </c>
      <c r="D10" s="63">
        <v>1</v>
      </c>
      <c r="E10" s="62" t="s">
        <v>52</v>
      </c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102"/>
      <c r="P10" s="63"/>
      <c r="Q10" s="63"/>
      <c r="R10" s="62"/>
      <c r="S10" s="89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8">
        <v>1</v>
      </c>
      <c r="C11" s="62" t="s">
        <v>52</v>
      </c>
      <c r="D11" s="63">
        <v>1</v>
      </c>
      <c r="E11" s="62" t="s">
        <v>52</v>
      </c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8">
        <v>2</v>
      </c>
      <c r="C12" s="102" t="s">
        <v>53</v>
      </c>
      <c r="D12" s="63">
        <v>2</v>
      </c>
      <c r="E12" s="102" t="s">
        <v>53</v>
      </c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>
        <v>2</v>
      </c>
      <c r="E13" s="102" t="s">
        <v>53</v>
      </c>
      <c r="F13" s="88">
        <v>2</v>
      </c>
      <c r="G13" s="102" t="s">
        <v>53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47"/>
      <c r="U13" s="147"/>
      <c r="V13" s="147"/>
      <c r="W13" s="147"/>
      <c r="X13" s="147"/>
      <c r="Y13" s="147"/>
    </row>
    <row r="14" spans="1:28" ht="18" customHeight="1">
      <c r="A14" s="46" t="s">
        <v>57</v>
      </c>
      <c r="B14" s="88">
        <v>2</v>
      </c>
      <c r="C14" s="102" t="s">
        <v>53</v>
      </c>
      <c r="D14" s="63">
        <v>2</v>
      </c>
      <c r="E14" s="102" t="s">
        <v>53</v>
      </c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47"/>
      <c r="U14" s="147"/>
      <c r="V14" s="147"/>
      <c r="W14" s="147"/>
      <c r="X14" s="147"/>
      <c r="Y14" s="147"/>
    </row>
    <row r="15" spans="1:28" ht="18" customHeight="1">
      <c r="A15" s="46" t="s">
        <v>58</v>
      </c>
      <c r="B15" s="88">
        <v>2</v>
      </c>
      <c r="C15" s="102" t="s">
        <v>53</v>
      </c>
      <c r="D15" s="63">
        <v>1</v>
      </c>
      <c r="E15" s="62" t="s">
        <v>52</v>
      </c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47"/>
      <c r="U15" s="147"/>
      <c r="V15" s="147"/>
      <c r="W15" s="147"/>
      <c r="X15" s="147"/>
      <c r="Y15" s="147"/>
    </row>
    <row r="16" spans="1:28" ht="18" customHeight="1">
      <c r="A16" s="46" t="s">
        <v>59</v>
      </c>
      <c r="B16" s="88">
        <v>2</v>
      </c>
      <c r="C16" s="102" t="s">
        <v>53</v>
      </c>
      <c r="D16" s="63">
        <v>2</v>
      </c>
      <c r="E16" s="102" t="s">
        <v>53</v>
      </c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7"/>
      <c r="U16" s="147"/>
      <c r="V16" s="147"/>
      <c r="W16" s="147"/>
      <c r="X16" s="147"/>
      <c r="Y16" s="147"/>
    </row>
    <row r="17" spans="1:28" ht="18.75" customHeight="1">
      <c r="A17" s="46" t="s">
        <v>25</v>
      </c>
      <c r="B17" s="88">
        <v>1</v>
      </c>
      <c r="C17" s="62" t="s">
        <v>52</v>
      </c>
      <c r="D17" s="63">
        <v>2</v>
      </c>
      <c r="E17" s="102" t="s">
        <v>53</v>
      </c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7"/>
      <c r="U17" s="147"/>
      <c r="V17" s="147"/>
      <c r="W17" s="147"/>
      <c r="X17" s="147"/>
      <c r="Y17" s="147"/>
    </row>
    <row r="18" spans="1:28" ht="17.25" customHeight="1">
      <c r="A18" s="46" t="s">
        <v>60</v>
      </c>
      <c r="B18" s="88">
        <v>2</v>
      </c>
      <c r="C18" s="102" t="s">
        <v>53</v>
      </c>
      <c r="D18" s="63">
        <v>1</v>
      </c>
      <c r="E18" s="62" t="s">
        <v>52</v>
      </c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47"/>
      <c r="U18" s="147"/>
      <c r="V18" s="147"/>
      <c r="W18" s="147"/>
      <c r="X18" s="147"/>
      <c r="Y18" s="147"/>
    </row>
    <row r="19" spans="1:28" ht="18" customHeight="1">
      <c r="A19" s="46" t="s">
        <v>69</v>
      </c>
      <c r="B19" s="88">
        <v>2</v>
      </c>
      <c r="C19" s="102" t="s">
        <v>53</v>
      </c>
      <c r="D19" s="63">
        <v>1</v>
      </c>
      <c r="E19" s="62" t="s">
        <v>52</v>
      </c>
      <c r="F19" s="88">
        <v>1</v>
      </c>
      <c r="G19" s="62" t="s">
        <v>52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7"/>
      <c r="U19" s="147"/>
      <c r="V19" s="147"/>
      <c r="W19" s="147"/>
      <c r="X19" s="147"/>
      <c r="Y19" s="147"/>
    </row>
    <row r="20" spans="1:28" ht="18" customHeight="1">
      <c r="A20" s="46" t="s">
        <v>26</v>
      </c>
      <c r="B20" s="88">
        <v>2</v>
      </c>
      <c r="C20" s="102" t="s">
        <v>53</v>
      </c>
      <c r="D20" s="63">
        <v>2</v>
      </c>
      <c r="E20" s="102" t="s">
        <v>53</v>
      </c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7"/>
      <c r="U20" s="147"/>
      <c r="V20" s="147"/>
      <c r="W20" s="147"/>
      <c r="X20" s="147"/>
      <c r="Y20" s="147"/>
    </row>
    <row r="21" spans="1:28" ht="18.75" customHeight="1">
      <c r="A21" s="46" t="s">
        <v>61</v>
      </c>
      <c r="B21" s="88">
        <v>2</v>
      </c>
      <c r="C21" s="102" t="s">
        <v>53</v>
      </c>
      <c r="D21" s="63">
        <v>1</v>
      </c>
      <c r="E21" s="62" t="s">
        <v>52</v>
      </c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7"/>
      <c r="U21" s="147"/>
      <c r="V21" s="147"/>
      <c r="W21" s="147"/>
      <c r="X21" s="147"/>
      <c r="Y21" s="147"/>
    </row>
    <row r="22" spans="1:28" ht="18" customHeight="1">
      <c r="A22" s="46" t="s">
        <v>70</v>
      </c>
      <c r="B22" s="88">
        <v>2</v>
      </c>
      <c r="C22" s="102" t="s">
        <v>53</v>
      </c>
      <c r="D22" s="63">
        <v>1</v>
      </c>
      <c r="E22" s="62" t="s">
        <v>52</v>
      </c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47"/>
      <c r="U22" s="147"/>
      <c r="V22" s="147"/>
      <c r="W22" s="147"/>
      <c r="X22" s="147"/>
      <c r="Y22" s="147"/>
    </row>
    <row r="23" spans="1:28" ht="18" customHeight="1">
      <c r="A23" s="46" t="s">
        <v>49</v>
      </c>
      <c r="B23" s="88">
        <v>2</v>
      </c>
      <c r="C23" s="102" t="s">
        <v>53</v>
      </c>
      <c r="D23" s="63">
        <v>1</v>
      </c>
      <c r="E23" s="62" t="s">
        <v>52</v>
      </c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47"/>
      <c r="U23" s="147"/>
      <c r="V23" s="147"/>
      <c r="W23" s="147"/>
      <c r="X23" s="147"/>
      <c r="Y23" s="147"/>
    </row>
    <row r="24" spans="1:28" ht="20.25">
      <c r="A24" s="46" t="s">
        <v>100</v>
      </c>
      <c r="B24" s="88">
        <v>2</v>
      </c>
      <c r="C24" s="102" t="s">
        <v>53</v>
      </c>
      <c r="D24" s="63">
        <v>1</v>
      </c>
      <c r="E24" s="62" t="s">
        <v>52</v>
      </c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7"/>
      <c r="U24" s="147"/>
      <c r="V24" s="147"/>
      <c r="W24" s="147"/>
      <c r="X24" s="147"/>
      <c r="Y24" s="147"/>
    </row>
    <row r="25" spans="1:28" ht="18" customHeight="1" thickBot="1">
      <c r="A25" s="46" t="s">
        <v>62</v>
      </c>
      <c r="B25" s="88">
        <v>1</v>
      </c>
      <c r="C25" s="62" t="s">
        <v>52</v>
      </c>
      <c r="D25" s="63">
        <v>1</v>
      </c>
      <c r="E25" s="62" t="s">
        <v>52</v>
      </c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47"/>
      <c r="U25" s="147"/>
      <c r="V25" s="147"/>
      <c r="W25" s="147"/>
      <c r="X25" s="147"/>
      <c r="Y25" s="147"/>
    </row>
    <row r="26" spans="1:28" ht="16.5" thickBot="1">
      <c r="A26" s="38" t="s">
        <v>13</v>
      </c>
      <c r="B26" s="98">
        <v>6</v>
      </c>
      <c r="C26" s="96" t="s">
        <v>46</v>
      </c>
      <c r="D26" s="98">
        <v>13</v>
      </c>
      <c r="E26" s="96" t="s">
        <v>46</v>
      </c>
      <c r="F26" s="98">
        <v>16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15</v>
      </c>
      <c r="C27" s="96" t="s">
        <v>47</v>
      </c>
      <c r="D27" s="98">
        <v>8</v>
      </c>
      <c r="E27" s="96" t="s">
        <v>47</v>
      </c>
      <c r="F27" s="98">
        <v>5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57</v>
      </c>
      <c r="V32" s="12"/>
      <c r="W32" s="12"/>
    </row>
    <row r="33" spans="1:23" ht="18">
      <c r="A33" s="34" t="s">
        <v>59</v>
      </c>
      <c r="V33" s="12"/>
      <c r="W33" s="12"/>
    </row>
    <row r="34" spans="1:23" ht="18">
      <c r="A34" s="34" t="s">
        <v>68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 t="s">
        <v>25</v>
      </c>
      <c r="V41" s="12"/>
      <c r="W41" s="12"/>
    </row>
    <row r="42" spans="1:23" ht="18">
      <c r="A42" s="34" t="s">
        <v>26</v>
      </c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56</v>
      </c>
    </row>
    <row r="52" spans="1:23" ht="18">
      <c r="A52" s="34" t="s">
        <v>58</v>
      </c>
    </row>
    <row r="53" spans="1:23" ht="18">
      <c r="A53" s="34" t="s">
        <v>25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W39"/>
  <sheetViews>
    <sheetView workbookViewId="0">
      <pane xSplit="1" topLeftCell="B1" activePane="topRight" state="frozen"/>
      <selection pane="topRight" activeCell="V5" sqref="V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3" width="22.7109375" style="22" customWidth="1"/>
    <col min="24" max="16384" width="9.140625" style="22"/>
  </cols>
  <sheetData>
    <row r="1" spans="1:23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3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3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3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104</v>
      </c>
      <c r="E4" s="117" t="s">
        <v>106</v>
      </c>
      <c r="F4" s="117" t="s">
        <v>107</v>
      </c>
      <c r="G4" s="117" t="s">
        <v>108</v>
      </c>
      <c r="H4" s="117" t="s">
        <v>109</v>
      </c>
      <c r="I4" s="117" t="s">
        <v>110</v>
      </c>
      <c r="J4" s="112" t="s">
        <v>34</v>
      </c>
      <c r="K4" s="124"/>
      <c r="L4" s="50" t="s">
        <v>27</v>
      </c>
      <c r="M4" s="84" t="s">
        <v>95</v>
      </c>
      <c r="N4" s="84" t="s">
        <v>96</v>
      </c>
      <c r="O4" s="84" t="s">
        <v>111</v>
      </c>
      <c r="P4" s="84" t="s">
        <v>97</v>
      </c>
      <c r="Q4" s="84" t="s">
        <v>98</v>
      </c>
      <c r="R4" s="84" t="s">
        <v>99</v>
      </c>
      <c r="S4" s="84" t="s">
        <v>112</v>
      </c>
      <c r="T4" s="84" t="s">
        <v>113</v>
      </c>
      <c r="U4" s="84" t="s">
        <v>114</v>
      </c>
      <c r="V4" s="84" t="s">
        <v>115</v>
      </c>
      <c r="W4" s="84" t="s">
        <v>116</v>
      </c>
    </row>
    <row r="5" spans="1:23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65</v>
      </c>
      <c r="N5" s="113" t="s">
        <v>65</v>
      </c>
      <c r="O5" s="118" t="s">
        <v>72</v>
      </c>
      <c r="P5" s="113" t="s">
        <v>65</v>
      </c>
      <c r="Q5" s="113" t="s">
        <v>65</v>
      </c>
      <c r="R5" s="118" t="s">
        <v>72</v>
      </c>
      <c r="S5" s="113" t="s">
        <v>65</v>
      </c>
      <c r="T5" s="118" t="s">
        <v>72</v>
      </c>
      <c r="U5" s="118" t="s">
        <v>72</v>
      </c>
      <c r="V5" s="118" t="s">
        <v>94</v>
      </c>
      <c r="W5" s="118" t="s">
        <v>72</v>
      </c>
    </row>
    <row r="6" spans="1:23" ht="15.75">
      <c r="A6" s="127" t="s">
        <v>51</v>
      </c>
      <c r="L6" s="23"/>
    </row>
    <row r="7" spans="1:23" ht="15.75">
      <c r="A7" s="127" t="s">
        <v>68</v>
      </c>
      <c r="L7" s="23"/>
    </row>
    <row r="8" spans="1:23" ht="15.75">
      <c r="A8" s="127" t="s">
        <v>54</v>
      </c>
      <c r="L8" s="23"/>
    </row>
    <row r="9" spans="1:23" ht="15.75">
      <c r="A9" s="128" t="s">
        <v>55</v>
      </c>
      <c r="L9" s="23"/>
    </row>
    <row r="10" spans="1:23" ht="15.75">
      <c r="A10" s="127" t="s">
        <v>28</v>
      </c>
      <c r="L10" s="23"/>
    </row>
    <row r="11" spans="1:23" ht="15.75">
      <c r="A11" s="127" t="s">
        <v>56</v>
      </c>
      <c r="L11" s="23"/>
    </row>
    <row r="12" spans="1:23" ht="15.75">
      <c r="A12" s="127" t="s">
        <v>22</v>
      </c>
      <c r="L12" s="23"/>
    </row>
    <row r="13" spans="1:23" ht="15.75">
      <c r="A13" s="127" t="s">
        <v>23</v>
      </c>
      <c r="L13" s="23"/>
    </row>
    <row r="14" spans="1:23" ht="15.75">
      <c r="A14" s="127" t="s">
        <v>24</v>
      </c>
      <c r="L14" s="23"/>
    </row>
    <row r="15" spans="1:23" ht="15.75">
      <c r="A15" s="127" t="s">
        <v>57</v>
      </c>
      <c r="L15" s="23"/>
    </row>
    <row r="16" spans="1:23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69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70</v>
      </c>
      <c r="L23" s="23"/>
    </row>
    <row r="24" spans="1:12" ht="15.75">
      <c r="A24" s="127" t="s">
        <v>49</v>
      </c>
      <c r="L24" s="23"/>
    </row>
    <row r="25" spans="1:12" ht="15.75">
      <c r="A25" s="127" t="s">
        <v>100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5" sqref="E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117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13"/>
      <c r="D5" s="79"/>
      <c r="E5" s="148" t="s">
        <v>94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/>
    </row>
    <row r="7" spans="1:45" ht="20.25">
      <c r="A7" s="46" t="s">
        <v>68</v>
      </c>
      <c r="C7" s="107"/>
      <c r="E7" s="107"/>
    </row>
    <row r="8" spans="1:45" ht="20.25">
      <c r="A8" s="46" t="s">
        <v>54</v>
      </c>
      <c r="C8" s="107"/>
      <c r="E8" s="107"/>
    </row>
    <row r="9" spans="1:45" ht="20.25">
      <c r="A9" s="82" t="s">
        <v>55</v>
      </c>
      <c r="C9" s="114"/>
      <c r="E9" s="114"/>
    </row>
    <row r="10" spans="1:45" ht="20.25">
      <c r="A10" s="46" t="s">
        <v>28</v>
      </c>
      <c r="C10" s="107"/>
      <c r="E10" s="107"/>
    </row>
    <row r="11" spans="1:45" ht="20.25">
      <c r="A11" s="46" t="s">
        <v>56</v>
      </c>
      <c r="C11" s="107"/>
      <c r="E11" s="107"/>
    </row>
    <row r="12" spans="1:45" ht="20.25">
      <c r="A12" s="46" t="s">
        <v>22</v>
      </c>
      <c r="C12" s="107"/>
      <c r="E12" s="107"/>
    </row>
    <row r="13" spans="1:45" ht="20.25">
      <c r="A13" s="46" t="s">
        <v>23</v>
      </c>
      <c r="C13" s="107"/>
      <c r="E13" s="107"/>
    </row>
    <row r="14" spans="1:45" ht="20.25">
      <c r="A14" s="46" t="s">
        <v>24</v>
      </c>
      <c r="C14" s="107"/>
      <c r="E14" s="107"/>
    </row>
    <row r="15" spans="1:45" ht="20.25">
      <c r="A15" s="46" t="s">
        <v>57</v>
      </c>
      <c r="C15" s="114"/>
      <c r="E15" s="107"/>
    </row>
    <row r="16" spans="1:45" ht="20.25">
      <c r="A16" s="46" t="s">
        <v>58</v>
      </c>
      <c r="C16" s="107"/>
      <c r="E16" s="107"/>
    </row>
    <row r="17" spans="1:130" ht="20.25">
      <c r="A17" s="46" t="s">
        <v>59</v>
      </c>
      <c r="C17" s="114"/>
      <c r="E17" s="107"/>
    </row>
    <row r="18" spans="1:130" ht="20.25">
      <c r="A18" s="46" t="s">
        <v>25</v>
      </c>
      <c r="C18" s="107"/>
      <c r="E18" s="107"/>
    </row>
    <row r="19" spans="1:130" ht="20.25">
      <c r="A19" s="46" t="s">
        <v>60</v>
      </c>
      <c r="C19" s="107"/>
      <c r="E19" s="107"/>
    </row>
    <row r="20" spans="1:130" ht="20.25">
      <c r="A20" s="46" t="s">
        <v>69</v>
      </c>
      <c r="C20" s="114"/>
      <c r="E20" s="114"/>
    </row>
    <row r="21" spans="1:130" ht="20.25">
      <c r="A21" s="46" t="s">
        <v>26</v>
      </c>
      <c r="C21" s="114"/>
      <c r="E21" s="107"/>
    </row>
    <row r="22" spans="1:130" ht="20.25">
      <c r="A22" s="46" t="s">
        <v>61</v>
      </c>
      <c r="C22" s="107"/>
      <c r="E22" s="107"/>
    </row>
    <row r="23" spans="1:130" ht="20.25">
      <c r="A23" s="46" t="s">
        <v>70</v>
      </c>
      <c r="C23" s="107"/>
      <c r="E23" s="107"/>
    </row>
    <row r="24" spans="1:130" ht="20.25">
      <c r="A24" s="46" t="s">
        <v>49</v>
      </c>
      <c r="C24" s="107"/>
      <c r="E24" s="107"/>
    </row>
    <row r="25" spans="1:130" ht="20.25">
      <c r="A25" s="46" t="s">
        <v>100</v>
      </c>
      <c r="C25" s="107"/>
      <c r="E25" s="107"/>
    </row>
    <row r="26" spans="1:130" ht="20.25">
      <c r="A26" s="46" t="s">
        <v>62</v>
      </c>
      <c r="C26" s="107"/>
      <c r="E26" s="107"/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0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118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9" t="s">
        <v>94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68</v>
      </c>
      <c r="C7" s="114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14"/>
      <c r="U15" s="7"/>
      <c r="V15" s="7"/>
    </row>
    <row r="16" spans="1:29" ht="18">
      <c r="A16" s="129" t="s">
        <v>58</v>
      </c>
      <c r="C16" s="107"/>
      <c r="U16" s="7"/>
      <c r="V16" s="7"/>
    </row>
    <row r="17" spans="1:123" ht="15" customHeight="1">
      <c r="A17" s="129" t="s">
        <v>59</v>
      </c>
      <c r="C17" s="141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69</v>
      </c>
      <c r="C20" s="114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70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100</v>
      </c>
      <c r="C25" s="107"/>
      <c r="U25" s="7"/>
      <c r="V25" s="7"/>
    </row>
    <row r="26" spans="1:123" ht="18">
      <c r="A26" s="129" t="s">
        <v>62</v>
      </c>
      <c r="C26" s="114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/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" si="5">COUNTIF(B6:B26,"não")</f>
        <v>0</v>
      </c>
      <c r="C28" s="104"/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" si="10">COUNTIF(B6:B26,"ausente")</f>
        <v>0</v>
      </c>
      <c r="C29" s="40"/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" si="15">COUNTIF(B6:B26,"abstenção")</f>
        <v>0</v>
      </c>
      <c r="C30" s="105"/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I9" sqref="I9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101</v>
      </c>
      <c r="B2" s="2"/>
    </row>
    <row r="3" spans="1:6" ht="15.75" thickBot="1">
      <c r="A3" s="121" t="s">
        <v>102</v>
      </c>
      <c r="B3" s="2"/>
    </row>
    <row r="4" spans="1:6" ht="78.75" customHeight="1" thickBot="1">
      <c r="A4" s="120" t="s">
        <v>5</v>
      </c>
      <c r="B4" s="111" t="s">
        <v>21</v>
      </c>
      <c r="C4" s="139" t="s">
        <v>119</v>
      </c>
      <c r="D4" s="139" t="s">
        <v>120</v>
      </c>
      <c r="E4" s="139" t="s">
        <v>122</v>
      </c>
      <c r="F4" s="139" t="s">
        <v>121</v>
      </c>
    </row>
    <row r="5" spans="1:6" s="6" customFormat="1" ht="60.75" customHeight="1">
      <c r="A5" s="122"/>
      <c r="B5" s="111"/>
      <c r="C5" s="113" t="s">
        <v>71</v>
      </c>
      <c r="D5" s="118" t="s">
        <v>72</v>
      </c>
      <c r="E5" s="113" t="s">
        <v>71</v>
      </c>
      <c r="F5" s="113" t="s">
        <v>71</v>
      </c>
    </row>
    <row r="6" spans="1:6" ht="15.75">
      <c r="A6" s="127" t="s">
        <v>51</v>
      </c>
      <c r="C6" s="107" t="s">
        <v>66</v>
      </c>
      <c r="D6" s="114"/>
      <c r="E6" s="107" t="s">
        <v>66</v>
      </c>
      <c r="F6" s="107" t="s">
        <v>66</v>
      </c>
    </row>
    <row r="7" spans="1:6" ht="15.75">
      <c r="A7" s="127" t="s">
        <v>68</v>
      </c>
      <c r="C7" s="107" t="s">
        <v>66</v>
      </c>
      <c r="D7" s="107"/>
      <c r="E7" s="107" t="s">
        <v>66</v>
      </c>
      <c r="F7" s="107" t="s">
        <v>66</v>
      </c>
    </row>
    <row r="8" spans="1:6" ht="15.75">
      <c r="A8" s="127" t="s">
        <v>54</v>
      </c>
      <c r="C8" s="107" t="s">
        <v>66</v>
      </c>
      <c r="D8" s="107"/>
      <c r="E8" s="107" t="s">
        <v>66</v>
      </c>
      <c r="F8" s="107" t="s">
        <v>66</v>
      </c>
    </row>
    <row r="9" spans="1:6" ht="15.75">
      <c r="A9" s="128" t="s">
        <v>55</v>
      </c>
      <c r="C9" s="107" t="s">
        <v>66</v>
      </c>
      <c r="D9" s="107"/>
      <c r="E9" s="107" t="s">
        <v>66</v>
      </c>
      <c r="F9" s="107" t="s">
        <v>66</v>
      </c>
    </row>
    <row r="10" spans="1:6" ht="15.75">
      <c r="A10" s="127" t="s">
        <v>28</v>
      </c>
      <c r="C10" s="114" t="s">
        <v>53</v>
      </c>
      <c r="D10" s="114"/>
      <c r="E10" s="114" t="s">
        <v>53</v>
      </c>
      <c r="F10" s="114" t="s">
        <v>53</v>
      </c>
    </row>
    <row r="11" spans="1:6" ht="15.75">
      <c r="A11" s="127" t="s">
        <v>56</v>
      </c>
      <c r="C11" s="107" t="s">
        <v>66</v>
      </c>
      <c r="D11" s="107"/>
      <c r="E11" s="107" t="s">
        <v>66</v>
      </c>
      <c r="F11" s="107" t="s">
        <v>66</v>
      </c>
    </row>
    <row r="12" spans="1:6" ht="15.75">
      <c r="A12" s="127" t="s">
        <v>22</v>
      </c>
      <c r="C12" s="107" t="s">
        <v>66</v>
      </c>
      <c r="D12" s="107"/>
      <c r="E12" s="107" t="s">
        <v>66</v>
      </c>
      <c r="F12" s="107" t="s">
        <v>66</v>
      </c>
    </row>
    <row r="13" spans="1:6" ht="15.75">
      <c r="A13" s="127" t="s">
        <v>23</v>
      </c>
      <c r="B13" s="138"/>
      <c r="C13" s="114" t="s">
        <v>53</v>
      </c>
      <c r="D13" s="114"/>
      <c r="E13" s="114" t="s">
        <v>53</v>
      </c>
      <c r="F13" s="114" t="s">
        <v>53</v>
      </c>
    </row>
    <row r="14" spans="1:6" ht="15.75">
      <c r="A14" s="127" t="s">
        <v>24</v>
      </c>
      <c r="C14" s="114" t="s">
        <v>53</v>
      </c>
      <c r="D14" s="107"/>
      <c r="E14" s="114" t="s">
        <v>53</v>
      </c>
      <c r="F14" s="114" t="s">
        <v>53</v>
      </c>
    </row>
    <row r="15" spans="1:6" ht="15.75">
      <c r="A15" s="127" t="s">
        <v>57</v>
      </c>
      <c r="C15" s="107" t="s">
        <v>66</v>
      </c>
      <c r="D15" s="107"/>
      <c r="E15" s="107" t="s">
        <v>66</v>
      </c>
      <c r="F15" s="107" t="s">
        <v>66</v>
      </c>
    </row>
    <row r="16" spans="1:6" ht="15.75">
      <c r="A16" s="127" t="s">
        <v>58</v>
      </c>
      <c r="C16" s="107" t="s">
        <v>66</v>
      </c>
      <c r="D16" s="107"/>
      <c r="E16" s="107" t="s">
        <v>66</v>
      </c>
      <c r="F16" s="107" t="s">
        <v>66</v>
      </c>
    </row>
    <row r="17" spans="1:6" ht="15.75">
      <c r="A17" s="127" t="s">
        <v>59</v>
      </c>
      <c r="C17" s="107" t="s">
        <v>66</v>
      </c>
      <c r="D17" s="107"/>
      <c r="E17" s="107" t="s">
        <v>66</v>
      </c>
      <c r="F17" s="107" t="s">
        <v>66</v>
      </c>
    </row>
    <row r="18" spans="1:6" ht="15.75">
      <c r="A18" s="127" t="s">
        <v>25</v>
      </c>
      <c r="C18" s="114" t="s">
        <v>53</v>
      </c>
      <c r="D18" s="114"/>
      <c r="E18" s="107" t="s">
        <v>66</v>
      </c>
      <c r="F18" s="107" t="s">
        <v>66</v>
      </c>
    </row>
    <row r="19" spans="1:6" ht="15.75">
      <c r="A19" s="127" t="s">
        <v>60</v>
      </c>
      <c r="C19" s="107" t="s">
        <v>66</v>
      </c>
      <c r="D19" s="107"/>
      <c r="E19" s="107" t="s">
        <v>66</v>
      </c>
      <c r="F19" s="107" t="s">
        <v>66</v>
      </c>
    </row>
    <row r="20" spans="1:6" ht="15.75">
      <c r="A20" s="127" t="s">
        <v>69</v>
      </c>
      <c r="C20" s="114" t="s">
        <v>53</v>
      </c>
      <c r="D20" s="107"/>
      <c r="E20" s="114" t="s">
        <v>53</v>
      </c>
      <c r="F20" s="114" t="s">
        <v>53</v>
      </c>
    </row>
    <row r="21" spans="1:6" ht="15.75">
      <c r="A21" s="127" t="s">
        <v>26</v>
      </c>
      <c r="C21" s="107" t="s">
        <v>66</v>
      </c>
      <c r="D21" s="107"/>
      <c r="E21" s="107" t="s">
        <v>66</v>
      </c>
      <c r="F21" s="107" t="s">
        <v>66</v>
      </c>
    </row>
    <row r="22" spans="1:6" ht="15.75">
      <c r="A22" s="127" t="s">
        <v>61</v>
      </c>
      <c r="C22" s="107" t="s">
        <v>66</v>
      </c>
      <c r="D22" s="107"/>
      <c r="E22" s="107" t="s">
        <v>66</v>
      </c>
      <c r="F22" s="107" t="s">
        <v>66</v>
      </c>
    </row>
    <row r="23" spans="1:6" ht="15.75">
      <c r="A23" s="127" t="s">
        <v>70</v>
      </c>
      <c r="C23" s="107" t="s">
        <v>66</v>
      </c>
      <c r="D23" s="107"/>
      <c r="E23" s="107" t="s">
        <v>66</v>
      </c>
      <c r="F23" s="107" t="s">
        <v>66</v>
      </c>
    </row>
    <row r="24" spans="1:6" ht="15.75">
      <c r="A24" s="127" t="s">
        <v>49</v>
      </c>
      <c r="C24" s="107" t="s">
        <v>66</v>
      </c>
      <c r="D24" s="107"/>
      <c r="E24" s="107" t="s">
        <v>66</v>
      </c>
      <c r="F24" s="107" t="s">
        <v>66</v>
      </c>
    </row>
    <row r="25" spans="1:6" ht="15.75">
      <c r="A25" s="127" t="s">
        <v>100</v>
      </c>
      <c r="C25" s="107" t="s">
        <v>66</v>
      </c>
      <c r="D25" s="107"/>
      <c r="E25" s="107" t="s">
        <v>66</v>
      </c>
      <c r="F25" s="107" t="s">
        <v>66</v>
      </c>
    </row>
    <row r="26" spans="1:6" ht="15.75">
      <c r="A26" s="127" t="s">
        <v>62</v>
      </c>
      <c r="C26" s="107" t="s">
        <v>66</v>
      </c>
      <c r="D26" s="107"/>
      <c r="E26" s="107" t="s">
        <v>66</v>
      </c>
      <c r="F26" s="107" t="s">
        <v>66</v>
      </c>
    </row>
    <row r="27" spans="1:6">
      <c r="C27" s="107"/>
      <c r="D27" s="107"/>
      <c r="E27" s="107"/>
      <c r="F27" s="107"/>
    </row>
    <row r="28" spans="1:6" ht="15.75">
      <c r="A28" s="15" t="s">
        <v>18</v>
      </c>
      <c r="B28" s="16">
        <f>COUNTIF(B6:B26,"sim")</f>
        <v>0</v>
      </c>
      <c r="C28" s="103">
        <f t="shared" ref="C28" si="0">COUNTIF(C6:C26,"sim")</f>
        <v>16</v>
      </c>
      <c r="D28" s="103">
        <f t="shared" ref="D28:F28" si="1">COUNTIF(D6:D26,"sim")</f>
        <v>0</v>
      </c>
      <c r="E28" s="103">
        <f t="shared" ref="E28" si="2">COUNTIF(E6:E26,"sim")</f>
        <v>17</v>
      </c>
      <c r="F28" s="103">
        <f t="shared" si="1"/>
        <v>17</v>
      </c>
    </row>
    <row r="29" spans="1:6" ht="15.75">
      <c r="A29" s="17" t="s">
        <v>19</v>
      </c>
      <c r="B29" s="18">
        <f>COUNTIF(B6:B26,"não")</f>
        <v>0</v>
      </c>
      <c r="C29" s="104">
        <f t="shared" ref="C29" si="3">COUNTIF(C6:C26,"não")</f>
        <v>0</v>
      </c>
      <c r="D29" s="104">
        <f t="shared" ref="D29:F29" si="4">COUNTIF(D6:D26,"não")</f>
        <v>0</v>
      </c>
      <c r="E29" s="104">
        <f t="shared" ref="E29" si="5">COUNTIF(E6:E26,"não")</f>
        <v>0</v>
      </c>
      <c r="F29" s="104">
        <f t="shared" si="4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" si="6">COUNTIF(C6:C26,"ausente")</f>
        <v>5</v>
      </c>
      <c r="D30" s="40">
        <f t="shared" ref="D30:F30" si="7">COUNTIF(D6:D26,"ausente")</f>
        <v>0</v>
      </c>
      <c r="E30" s="40">
        <f t="shared" ref="E30" si="8">COUNTIF(E6:E26,"ausente")</f>
        <v>4</v>
      </c>
      <c r="F30" s="40">
        <f t="shared" si="7"/>
        <v>4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" si="9">COUNTIF(C6:C26,"abstenção")</f>
        <v>0</v>
      </c>
      <c r="D31" s="105">
        <f t="shared" ref="D31:F31" si="10">COUNTIF(D6:D26,"abstenção")</f>
        <v>0</v>
      </c>
      <c r="E31" s="105">
        <f t="shared" ref="E31" si="11">COUNTIF(E6:E26,"abstenção")</f>
        <v>0</v>
      </c>
      <c r="F31" s="105">
        <f t="shared" si="1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101</v>
      </c>
      <c r="B2" s="2"/>
      <c r="C2" s="54"/>
      <c r="D2" s="54"/>
      <c r="E2" s="54"/>
    </row>
    <row r="3" spans="1:6" ht="15.75" thickBot="1">
      <c r="A3" s="121" t="s">
        <v>102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73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100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74</v>
      </c>
      <c r="E4" s="106" t="s">
        <v>75</v>
      </c>
      <c r="F4" s="106" t="s">
        <v>76</v>
      </c>
      <c r="G4" s="106" t="s">
        <v>77</v>
      </c>
      <c r="H4" s="106" t="s">
        <v>78</v>
      </c>
      <c r="I4" s="106" t="s">
        <v>79</v>
      </c>
      <c r="J4" s="106" t="s">
        <v>80</v>
      </c>
      <c r="K4" s="106" t="s">
        <v>81</v>
      </c>
      <c r="L4" s="106" t="s">
        <v>82</v>
      </c>
      <c r="M4" s="106" t="s">
        <v>83</v>
      </c>
      <c r="N4" s="106" t="s">
        <v>84</v>
      </c>
      <c r="O4" s="106" t="s">
        <v>85</v>
      </c>
      <c r="P4" s="106" t="s">
        <v>86</v>
      </c>
      <c r="Q4" s="106" t="s">
        <v>87</v>
      </c>
      <c r="R4" s="106" t="s">
        <v>88</v>
      </c>
      <c r="S4" s="106" t="s">
        <v>89</v>
      </c>
      <c r="T4" s="106" t="s">
        <v>90</v>
      </c>
      <c r="U4" s="106" t="s">
        <v>91</v>
      </c>
      <c r="V4" s="106" t="s">
        <v>92</v>
      </c>
      <c r="W4" s="106" t="s">
        <v>93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100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2025-10-13T17:45:30Z</dcterms:modified>
</cp:coreProperties>
</file>