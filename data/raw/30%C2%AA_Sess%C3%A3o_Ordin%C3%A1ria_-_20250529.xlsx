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F9BE60F8-F12D-48C4-B1D8-BD7327834F2C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F27" i="2"/>
  <c r="E28" i="2"/>
  <c r="F28" i="2"/>
  <c r="E29" i="2"/>
  <c r="F29" i="2"/>
  <c r="E30" i="2"/>
  <c r="F30" i="2"/>
  <c r="C27" i="3"/>
  <c r="D27" i="3"/>
  <c r="C28" i="3"/>
  <c r="D28" i="3"/>
  <c r="C29" i="3"/>
  <c r="D29" i="3"/>
  <c r="C30" i="3"/>
  <c r="D30" i="3"/>
  <c r="C28" i="10"/>
  <c r="C29" i="10"/>
  <c r="C30" i="10"/>
  <c r="C31" i="10"/>
  <c r="G27" i="2"/>
  <c r="G28" i="2"/>
  <c r="G29" i="2"/>
  <c r="G30" i="2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T27" i="3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<sst xmlns="http://schemas.openxmlformats.org/spreadsheetml/2006/main" count="439" uniqueCount="128">
  <si>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</si>
  <si>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</si>
  <si>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</si>
  <si>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</si>
  <si>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</si>
  <si>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</si>
  <si>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</si>
  <si>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</si>
  <si>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</si>
  <si>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</si>
  <si>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</si>
  <si>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</si>
  <si>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</si>
  <si>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</si>
  <si>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</si>
  <si>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</si>
  <si>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</si>
  <si>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</si>
  <si>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</si>
  <si>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</si>
  <si>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</si>
  <si>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</si>
  <si>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</si>
  <si>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</si>
  <si>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</si>
  <si>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</si>
  <si>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</si>
  <si>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</si>
  <si>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</si>
  <si>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</si>
  <si>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</si>
  <si>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</si>
  <si>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</si>
  <si>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</si>
  <si>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</si>
  <si>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</si>
  <si>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</si>
  <si>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</si>
  <si>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</si>
  <si>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</si>
  <si>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</si>
  <si>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</si>
  <si>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</si>
  <si>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</si>
  <si>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</si>
  <si>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</si>
  <si>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</si>
  <si>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</si>
  <si>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</si>
  <si>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</si>
  <si>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</si>
  <si>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</si>
  <si>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</si>
  <si>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</si>
  <si>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</si>
  <si>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</si>
  <si>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</si>
  <si>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</si>
  <si>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</si>
  <si>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</si>
  <si>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</si>
  <si>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</si>
  <si>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</si>
  <si>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</si>
  <si>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</si>
  <si>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</si>
  <si>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</si>
  <si>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</si>
  <si>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</si>
  <si>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</si>
  <si>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</si>
  <si>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</si>
  <si>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</si>
  <si>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</si>
  <si>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</si>
  <si>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</si>
  <si>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</si>
  <si>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</si>
  <si>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</si>
  <si>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</si>
  <si>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</si>
  <si>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</si>
  <si>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</si>
  <si>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</si>
  <si>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</si>
  <si>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</si>
  <si>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</si>
  <si>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</si>
  <si>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</si>
  <si>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</si>
  <si>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</si>
  <si>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</si>
  <si>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</si>
  <si>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</si>
  <si>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</si>
  <si>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Rodolfo Cara</t>
  </si>
  <si>
    <t>Guiga</t>
  </si>
  <si>
    <t>APROVADO</t>
  </si>
  <si>
    <t>sim</t>
  </si>
  <si>
    <t>APROVADO
VOTAÇÃO SIMBÓLICA</t>
  </si>
  <si>
    <r>
      <t xml:space="preserve">MOÇÃO DE RECONHECIMENTO Nº 138/2025 – PEDRINHO CANTEGESSI - </t>
    </r>
    <r>
      <rPr>
        <sz val="11"/>
        <color theme="1"/>
        <rFont val="Arial"/>
        <family val="2"/>
      </rPr>
      <t>À Associação de Mulheres de Osasco (AMOS), pela sua contribuição no crescimento e desenvolvimento do Jardim Rochdale, bairro que completa 74 anos de lutas, conquistas e muito desenvolvimento.</t>
    </r>
  </si>
  <si>
    <t>na presidência</t>
  </si>
  <si>
    <t>30ª SESSÃO ORDINÁRIA</t>
  </si>
  <si>
    <t>DIA 29 DE MAIO DE 2025 - QUINTA-FEIRA</t>
  </si>
  <si>
    <t>DIA 29 DE MAIO DE 2025 - QUINTA–FEIRA</t>
  </si>
  <si>
    <r>
      <t xml:space="preserve">Decretos nº 14.655 e 14.656 de 27 de maio de 2025 - Prefeito do Município de Osasco -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</si>
  <si>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Ofício Prolegis nº 12/2025 – Prefeito do Município de Osasco – </t>
    </r>
    <r>
      <rPr>
        <sz val="12"/>
        <color rgb="FF000000"/>
        <rFont val="Calibri"/>
        <family val="2"/>
      </rPr>
      <t>Informa a sanção da Lei nº 5.394, de 26 de maio de 2025, referente ao projeto de lei nº 34/2025, que Institui a Festa da Família no Calendário Oficial, de autoria do vereador Carmônio Bastos.</t>
    </r>
  </si>
  <si>
    <r>
      <t xml:space="preserve">Processo eletrônico eTC-7336/989/20-7 – Tribunal de Contas do Estado de São Paulo - </t>
    </r>
    <r>
      <rPr>
        <sz val="12"/>
        <color rgb="FF000000"/>
        <rFont val="Calibri"/>
        <family val="2"/>
      </rPr>
      <t>Referente à prestação de contas da Prefeitura Municipal de Osasco, exercício de 2021, para os fins previstos no artigo 31, § 2º, da Constituição Federal, combinado com o artigo 150 da Constituição do Estado de São Paulo.</t>
    </r>
  </si>
  <si>
    <r>
      <t xml:space="preserve">Projeto de Lei nº 72/2025 – Elsa Natal de Oliveira -  </t>
    </r>
    <r>
      <rPr>
        <sz val="12"/>
        <color rgb="FF000000"/>
        <rFont val="Calibri"/>
        <family val="2"/>
      </rPr>
      <t xml:space="preserve"> Institui a Semana da Comunidade Surda.</t>
    </r>
  </si>
  <si>
    <r>
      <t>MOÇÃO DE RECONHECIMENTO Nº 229/2025 – LAÉRCIO MENDONÇA –</t>
    </r>
    <r>
      <rPr>
        <sz val="11"/>
        <color theme="1"/>
        <rFont val="Arial"/>
        <family val="2"/>
      </rPr>
      <t xml:space="preserve"> À Paróquia São José e seus representes legais pelo evento Festa da Família que ocorreu nos dias 24 e 25 de maio na Arena Concha Acústica da FITO.</t>
    </r>
  </si>
  <si>
    <r>
      <t>MOÇÃO DE RECONHECIMENTO Nº 231/2025 – RALFI SILVA -</t>
    </r>
    <r>
      <rPr>
        <sz val="11"/>
        <color theme="1"/>
        <rFont val="Arial"/>
        <family val="2"/>
      </rPr>
      <t xml:space="preserve"> À Papa Mike Saúde, pela realização do 1º Congresso de Enfermagem de Osasco.</t>
    </r>
  </si>
  <si>
    <r>
      <t xml:space="preserve">MOÇÃO DE CONGRATULAÇÕES Nº 235/2025 – DÉLBIO TERUEL - </t>
    </r>
    <r>
      <rPr>
        <sz val="11"/>
        <color theme="1"/>
        <rFont val="Arial"/>
        <family val="2"/>
      </rPr>
      <t>Pelo aniversário do Pastor Jairo Lucas Sacramento - Presidente da Assembleia de Deus Ministério Missão Internacional, destacando sua liderança espiritual e a atuação transformadora da Igreja.</t>
    </r>
  </si>
  <si>
    <r>
      <t xml:space="preserve">MOÇÃO DE APLAUSOS Nº 238/2025 – LAÉRCIO MENDONÇA - </t>
    </r>
    <r>
      <rPr>
        <sz val="11"/>
        <color theme="1"/>
        <rFont val="Arial"/>
        <family val="2"/>
      </rPr>
      <t>À Associação Atlética Vila Izabel por um dos maiores campeonatos de várzea do Brasil a Copa Do Busão.</t>
    </r>
  </si>
  <si>
    <r>
      <t xml:space="preserve">MOÇÃO DE APELO Nº 239/2025 – RALFI SILVA - </t>
    </r>
    <r>
      <rPr>
        <sz val="11"/>
        <color theme="1"/>
        <rFont val="Arial"/>
        <family val="2"/>
      </rPr>
      <t>À TAP por se recusar a cumprir uma decisão judicial que determinava o transporte de um cão de serviço.</t>
    </r>
  </si>
  <si>
    <r>
      <t xml:space="preserve">MOÇÃO DE APLAUSOS Nº 240/2025 – EMERSON OSASCO - </t>
    </r>
    <r>
      <rPr>
        <sz val="11"/>
        <color theme="1"/>
        <rFont val="Arial"/>
        <family val="2"/>
      </rPr>
      <t>À Escola Estadual de Educação Integral “Professor João Baptista de Brito” pelo importante trabalho antirracista desenvolvido e que tem promovido a valorização da diversidade, o respeito às diferenças e a construção de uma sociedade mais justa e igualitária.</t>
    </r>
  </si>
  <si>
    <r>
      <t>MOÇÃO DE APLAUSOS Nº 241/2025 – EMERSON OSASCO -</t>
    </r>
    <r>
      <rPr>
        <sz val="11"/>
        <color theme="1"/>
        <rFont val="Arial"/>
        <family val="2"/>
      </rPr>
      <t xml:space="preserve"> À Coordenadora de Gestão Pedagógica da Área de Ciências Humanas, Carolina Pereira, pela coordenação do Projeto Clube Antirracista na Escola Estadual de Educação Integral Professor João Baptista de Brito.</t>
    </r>
  </si>
  <si>
    <r>
      <t xml:space="preserve">MOÇÃO DE APLAUSOS Nº 242/2025 – EMERSON OSASCO - </t>
    </r>
    <r>
      <rPr>
        <sz val="11"/>
        <color theme="1"/>
        <rFont val="Arial"/>
        <family val="2"/>
      </rPr>
      <t>Ao Clube Antirracista da Escola de Educação Integral Professor João Baptista de Brito, clube que vem trabalhando pontualmente no fortalecimento da ancestralidade e no combate à discriminação racial no ambiente escolar.</t>
    </r>
  </si>
  <si>
    <r>
      <t xml:space="preserve">MOÇÃO DE APLAUSOS Nº 243/2025 – GUIGA - </t>
    </r>
    <r>
      <rPr>
        <sz val="11"/>
        <color theme="1"/>
        <rFont val="Arial"/>
        <family val="2"/>
      </rPr>
      <t>Ao Projeto “Escola, No Olhar De Quem Cuida”, pelo trabalho realizado no Município de Osasco.</t>
    </r>
  </si>
  <si>
    <r>
      <t>MOÇÃO DE APLAUSOS Nº 244/2025 – ALEXANDRE CAPRIOTTI –</t>
    </r>
    <r>
      <rPr>
        <sz val="11"/>
        <color theme="1"/>
        <rFont val="Arial"/>
        <family val="2"/>
      </rPr>
      <t xml:space="preserve"> Ao Técnico de voleibol, Daniel José Polidoro, por sua belíssima trajetória e relevante contribuição ao voleibol de Osasco.</t>
    </r>
  </si>
  <si>
    <r>
      <t xml:space="preserve">MOÇÃO DE APLAUSOS Nº 245/2025 – RALFI SILVA - </t>
    </r>
    <r>
      <rPr>
        <sz val="11"/>
        <color theme="1"/>
        <rFont val="Arial"/>
        <family val="2"/>
      </rPr>
      <t>À Nailma Paixão, pelo lançamento do livro “Libras para Bebês: 50 sinais para começar a conversar”.</t>
    </r>
  </si>
  <si>
    <r>
      <t xml:space="preserve">MOÇÃO DE PESAR Nº 246/2025 – JOSIAS JUCO - </t>
    </r>
    <r>
      <rPr>
        <sz val="11"/>
        <color theme="1"/>
        <rFont val="Arial"/>
        <family val="2"/>
      </rPr>
      <t>À Família de Alexandre Yague, falecido em 27 de maio de 2025.</t>
    </r>
  </si>
  <si>
    <r>
      <t xml:space="preserve">MOÇÃO DE RECONHECIMENTO Nº 249/2025 – GABRIEL SAÚDE - </t>
    </r>
    <r>
      <rPr>
        <sz val="11"/>
        <color theme="1"/>
        <rFont val="Arial"/>
        <family val="2"/>
      </rPr>
      <t>À Clínica Amor de Giulia, em nome de seu
fundador Carlos Rogério dos Santos, por sua excelência, compromisso humanizado e atuação
transformadora no cuidado de pessoas com transtornos do neurodesenvolvimento, no município de
Osasco.</t>
    </r>
  </si>
  <si>
    <r>
      <t xml:space="preserve">MOÇÃO DE APLAUSOS Nº 190/2025 – RODOLFO CARA - </t>
    </r>
    <r>
      <rPr>
        <sz val="11"/>
        <color theme="1"/>
        <rFont val="Arial"/>
        <family val="2"/>
      </rPr>
      <t>À Luciano Camandoni por motivo de seu trabalho em prol
do nosso Governo e da população de nossa cidade.</t>
    </r>
  </si>
  <si>
    <r>
      <t xml:space="preserve">PROJETO DE LEI Nº 63/2025 – GUIGA – </t>
    </r>
    <r>
      <rPr>
        <sz val="14"/>
        <color theme="1"/>
        <rFont val="Arial"/>
        <family val="2"/>
      </rPr>
      <t>Institui o Dia da Paz e Gentileza nas Escolas.</t>
    </r>
  </si>
  <si>
    <r>
      <t>PROJETO DE LEI Nº 65/2025 – GUIGA –</t>
    </r>
    <r>
      <rPr>
        <sz val="14"/>
        <color theme="1"/>
        <rFont val="Arial"/>
        <family val="2"/>
      </rPr>
      <t xml:space="preserve"> Institui a Semana Municipal de Conscientização sobre a Segurança Digital a Proteção de Dados.</t>
    </r>
  </si>
  <si>
    <r>
      <t>PROJETO DE LEI Nº 67/2025 – GUIGA –</t>
    </r>
    <r>
      <rPr>
        <sz val="14"/>
        <color theme="1"/>
        <rFont val="Arial"/>
        <family val="2"/>
      </rPr>
      <t xml:space="preserve"> Institui a Semana Municipal do Bem-Estar. </t>
    </r>
  </si>
  <si>
    <r>
      <t>PROJETO DE LEI Nº 87/2022 – JOSIAS DA JUCO -</t>
    </r>
    <r>
      <rPr>
        <sz val="11"/>
        <color theme="1"/>
        <rFont val="Arial"/>
        <family val="2"/>
      </rPr>
      <t xml:space="preserve"> Institui a semana da conscientização e combate à aporofobia.</t>
    </r>
  </si>
  <si>
    <r>
      <t xml:space="preserve">PROJETO DE LEI Nº 69/2024 – CARMÔNIO BASTOS – </t>
    </r>
    <r>
      <rPr>
        <sz val="11"/>
        <color theme="1"/>
        <rFont val="Arial"/>
        <family val="2"/>
      </rPr>
      <t>Dispõe sobre a concessão de Título de Utilidade Pública ao Instituto Divertere.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</si>
</sst>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A52" sqref="A5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30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102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103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92</v>
      </c>
      <c r="D4" s="93"/>
      <c r="E4" s="93"/>
      <c r="F4" s="44"/>
      <c r="G4" s="43" t="s">
        <v>54</v>
      </c>
      <c r="H4" s="43"/>
      <c r="I4" s="70" t="s">
        <v>52</v>
      </c>
      <c r="J4" s="45"/>
      <c r="K4" s="43" t="s">
        <v>31</v>
      </c>
      <c r="L4" s="45"/>
      <c r="M4" s="43" t="s">
        <v>31</v>
      </c>
      <c r="N4" s="45"/>
      <c r="O4" s="43" t="s">
        <v>48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55</v>
      </c>
      <c r="B5" s="89">
        <v>2</v>
      </c>
      <c r="C5" s="103" t="s">
        <v>57</v>
      </c>
      <c r="D5" s="63"/>
      <c r="E5" s="103"/>
      <c r="F5" s="89">
        <v>1</v>
      </c>
      <c r="G5" s="62" t="s">
        <v>56</v>
      </c>
      <c r="H5" s="63"/>
      <c r="I5" s="62"/>
      <c r="J5" s="63">
        <v>1</v>
      </c>
      <c r="K5" s="62" t="s">
        <v>56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95</v>
      </c>
      <c r="B6" s="89">
        <v>1</v>
      </c>
      <c r="C6" s="62" t="s">
        <v>56</v>
      </c>
      <c r="D6" s="63"/>
      <c r="E6" s="103"/>
      <c r="F6" s="89">
        <v>1</v>
      </c>
      <c r="G6" s="62" t="s">
        <v>56</v>
      </c>
      <c r="H6" s="63"/>
      <c r="I6" s="62"/>
      <c r="J6" s="63">
        <v>2</v>
      </c>
      <c r="K6" s="103" t="s">
        <v>57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58</v>
      </c>
      <c r="B7" s="89">
        <v>1</v>
      </c>
      <c r="C7" s="62" t="s">
        <v>56</v>
      </c>
      <c r="D7" s="63"/>
      <c r="E7" s="62"/>
      <c r="F7" s="89">
        <v>1</v>
      </c>
      <c r="G7" s="62" t="s">
        <v>56</v>
      </c>
      <c r="H7" s="63"/>
      <c r="I7" s="62"/>
      <c r="J7" s="63">
        <v>1</v>
      </c>
      <c r="K7" s="62" t="s">
        <v>56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59</v>
      </c>
      <c r="B8" s="89">
        <v>1</v>
      </c>
      <c r="C8" s="62" t="s">
        <v>56</v>
      </c>
      <c r="D8" s="63"/>
      <c r="E8" s="62"/>
      <c r="F8" s="89">
        <v>1</v>
      </c>
      <c r="G8" s="62" t="s">
        <v>56</v>
      </c>
      <c r="H8" s="63"/>
      <c r="I8" s="62"/>
      <c r="J8" s="63">
        <v>1</v>
      </c>
      <c r="K8" s="62" t="s">
        <v>56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29</v>
      </c>
      <c r="B9" s="89">
        <v>2</v>
      </c>
      <c r="C9" s="103" t="s">
        <v>57</v>
      </c>
      <c r="D9" s="63"/>
      <c r="E9" s="62"/>
      <c r="F9" s="89">
        <v>2</v>
      </c>
      <c r="G9" s="103" t="s">
        <v>57</v>
      </c>
      <c r="H9" s="63"/>
      <c r="I9" s="62"/>
      <c r="J9" s="63">
        <v>2</v>
      </c>
      <c r="K9" s="103" t="s">
        <v>57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60</v>
      </c>
      <c r="B10" s="89">
        <v>2</v>
      </c>
      <c r="C10" s="103" t="s">
        <v>57</v>
      </c>
      <c r="D10" s="63"/>
      <c r="E10" s="62"/>
      <c r="F10" s="89">
        <v>1</v>
      </c>
      <c r="G10" s="62" t="s">
        <v>56</v>
      </c>
      <c r="H10" s="63"/>
      <c r="I10" s="62"/>
      <c r="J10" s="63">
        <v>1</v>
      </c>
      <c r="K10" s="62" t="s">
        <v>56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56</v>
      </c>
      <c r="D11" s="63"/>
      <c r="E11" s="62"/>
      <c r="F11" s="89">
        <v>1</v>
      </c>
      <c r="G11" s="62" t="s">
        <v>56</v>
      </c>
      <c r="H11" s="63"/>
      <c r="I11" s="62"/>
      <c r="J11" s="63">
        <v>1</v>
      </c>
      <c r="K11" s="62" t="s">
        <v>56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57</v>
      </c>
      <c r="D12" s="63"/>
      <c r="E12" s="103"/>
      <c r="F12" s="89">
        <v>2</v>
      </c>
      <c r="G12" s="103" t="s">
        <v>57</v>
      </c>
      <c r="H12" s="63"/>
      <c r="I12" s="68"/>
      <c r="J12" s="63">
        <v>2</v>
      </c>
      <c r="K12" s="103" t="s">
        <v>57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57</v>
      </c>
      <c r="D13" s="63"/>
      <c r="E13" s="62"/>
      <c r="F13" s="89">
        <v>2</v>
      </c>
      <c r="G13" s="103" t="s">
        <v>57</v>
      </c>
      <c r="H13" s="63"/>
      <c r="I13" s="62"/>
      <c r="J13" s="63">
        <v>1</v>
      </c>
      <c r="K13" s="62" t="s">
        <v>56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61</v>
      </c>
      <c r="B14" s="89">
        <v>2</v>
      </c>
      <c r="C14" s="103" t="s">
        <v>57</v>
      </c>
      <c r="D14" s="63"/>
      <c r="E14" s="62"/>
      <c r="F14" s="89">
        <v>2</v>
      </c>
      <c r="G14" s="103" t="s">
        <v>57</v>
      </c>
      <c r="H14" s="63"/>
      <c r="I14" s="62"/>
      <c r="J14" s="63">
        <v>1</v>
      </c>
      <c r="K14" s="62" t="s">
        <v>56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62</v>
      </c>
      <c r="B15" s="89">
        <v>1</v>
      </c>
      <c r="C15" s="62" t="s">
        <v>56</v>
      </c>
      <c r="D15" s="63"/>
      <c r="E15" s="62"/>
      <c r="F15" s="89">
        <v>1</v>
      </c>
      <c r="G15" s="62" t="s">
        <v>56</v>
      </c>
      <c r="H15" s="63"/>
      <c r="I15" s="62"/>
      <c r="J15" s="63">
        <v>1</v>
      </c>
      <c r="K15" s="62" t="s">
        <v>56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63</v>
      </c>
      <c r="B16" s="89">
        <v>2</v>
      </c>
      <c r="C16" s="103" t="s">
        <v>57</v>
      </c>
      <c r="D16" s="63"/>
      <c r="E16" s="62"/>
      <c r="F16" s="89">
        <v>2</v>
      </c>
      <c r="G16" s="103" t="s">
        <v>57</v>
      </c>
      <c r="H16" s="63"/>
      <c r="I16" s="62"/>
      <c r="J16" s="63">
        <v>2</v>
      </c>
      <c r="K16" s="103" t="s">
        <v>57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5" ht="18.75" customHeight="1">
      <c r="A17" s="46" t="s">
        <v>25</v>
      </c>
      <c r="B17" s="89">
        <v>2</v>
      </c>
      <c r="C17" s="103" t="s">
        <v>57</v>
      </c>
      <c r="D17" s="63"/>
      <c r="E17" s="62"/>
      <c r="F17" s="89">
        <v>2</v>
      </c>
      <c r="G17" s="103" t="s">
        <v>57</v>
      </c>
      <c r="H17" s="63"/>
      <c r="I17" s="68"/>
      <c r="J17" s="63">
        <v>2</v>
      </c>
      <c r="K17" s="103" t="s">
        <v>57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5" ht="17.25" customHeight="1">
      <c r="A18" s="46" t="s">
        <v>64</v>
      </c>
      <c r="B18" s="89">
        <v>1</v>
      </c>
      <c r="C18" s="62" t="s">
        <v>56</v>
      </c>
      <c r="D18" s="63"/>
      <c r="E18" s="62"/>
      <c r="F18" s="89">
        <v>1</v>
      </c>
      <c r="G18" s="62" t="s">
        <v>56</v>
      </c>
      <c r="H18" s="63"/>
      <c r="I18" s="62"/>
      <c r="J18" s="63">
        <v>1</v>
      </c>
      <c r="K18" s="62" t="s">
        <v>56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5" ht="18" customHeight="1">
      <c r="A19" s="46" t="s">
        <v>96</v>
      </c>
      <c r="B19" s="89">
        <v>1</v>
      </c>
      <c r="C19" s="62" t="s">
        <v>56</v>
      </c>
      <c r="D19" s="63"/>
      <c r="E19" s="103"/>
      <c r="F19" s="89">
        <v>1</v>
      </c>
      <c r="G19" s="62" t="s">
        <v>56</v>
      </c>
      <c r="H19" s="63"/>
      <c r="I19" s="62"/>
      <c r="J19" s="63">
        <v>1</v>
      </c>
      <c r="K19" s="62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5" ht="18" customHeight="1">
      <c r="A20" s="46" t="s">
        <v>26</v>
      </c>
      <c r="B20" s="89">
        <v>2</v>
      </c>
      <c r="C20" s="103" t="s">
        <v>57</v>
      </c>
      <c r="D20" s="63"/>
      <c r="E20" s="62"/>
      <c r="F20" s="89">
        <v>2</v>
      </c>
      <c r="G20" s="103" t="s">
        <v>57</v>
      </c>
      <c r="H20" s="63"/>
      <c r="I20" s="68"/>
      <c r="J20" s="63">
        <v>1</v>
      </c>
      <c r="K20" s="62" t="s">
        <v>56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5" ht="18.75" customHeight="1">
      <c r="A21" s="46" t="s">
        <v>65</v>
      </c>
      <c r="B21" s="89">
        <v>1</v>
      </c>
      <c r="C21" s="62" t="s">
        <v>56</v>
      </c>
      <c r="D21" s="63"/>
      <c r="E21" s="62"/>
      <c r="F21" s="89">
        <v>1</v>
      </c>
      <c r="G21" s="62" t="s">
        <v>56</v>
      </c>
      <c r="H21" s="63"/>
      <c r="I21" s="62"/>
      <c r="J21" s="63">
        <v>1</v>
      </c>
      <c r="K21" s="62" t="s">
        <v>56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5" ht="18" customHeight="1">
      <c r="A22" s="46" t="s">
        <v>27</v>
      </c>
      <c r="B22" s="89">
        <v>2</v>
      </c>
      <c r="C22" s="103" t="s">
        <v>57</v>
      </c>
      <c r="D22" s="63"/>
      <c r="E22" s="103"/>
      <c r="F22" s="89">
        <v>1</v>
      </c>
      <c r="G22" s="62" t="s">
        <v>56</v>
      </c>
      <c r="H22" s="63"/>
      <c r="I22" s="68"/>
      <c r="J22" s="63">
        <v>1</v>
      </c>
      <c r="K22" s="62" t="s">
        <v>56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5" ht="18" customHeight="1">
      <c r="A23" s="46" t="s">
        <v>53</v>
      </c>
      <c r="B23" s="89">
        <v>1</v>
      </c>
      <c r="C23" s="62" t="s">
        <v>56</v>
      </c>
      <c r="D23" s="63"/>
      <c r="E23" s="62"/>
      <c r="F23" s="89">
        <v>1</v>
      </c>
      <c r="G23" s="62" t="s">
        <v>56</v>
      </c>
      <c r="H23" s="63"/>
      <c r="I23" s="62"/>
      <c r="J23" s="63">
        <v>1</v>
      </c>
      <c r="K23" s="62" t="s">
        <v>56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5" ht="20.25">
      <c r="A24" s="46" t="s">
        <v>66</v>
      </c>
      <c r="B24" s="89">
        <v>2</v>
      </c>
      <c r="C24" s="103" t="s">
        <v>57</v>
      </c>
      <c r="D24" s="63"/>
      <c r="E24" s="62"/>
      <c r="F24" s="89">
        <v>2</v>
      </c>
      <c r="G24" s="103" t="s">
        <v>57</v>
      </c>
      <c r="H24" s="63"/>
      <c r="I24" s="62"/>
      <c r="J24" s="63">
        <v>1</v>
      </c>
      <c r="K24" s="62" t="s">
        <v>56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5" ht="18" customHeight="1" thickBot="1">
      <c r="A25" s="46" t="s">
        <v>67</v>
      </c>
      <c r="B25" s="89">
        <v>1</v>
      </c>
      <c r="C25" s="62" t="s">
        <v>56</v>
      </c>
      <c r="D25" s="63"/>
      <c r="E25" s="62"/>
      <c r="F25" s="89">
        <v>1</v>
      </c>
      <c r="G25" s="62" t="s">
        <v>56</v>
      </c>
      <c r="H25" s="63"/>
      <c r="I25" s="68"/>
      <c r="J25" s="63">
        <v>1</v>
      </c>
      <c r="K25" s="62" t="s">
        <v>56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5" ht="16.5" thickBot="1">
      <c r="A26" s="38" t="s">
        <v>13</v>
      </c>
      <c r="B26" s="99">
        <v>10</v>
      </c>
      <c r="C26" s="97" t="s">
        <v>50</v>
      </c>
      <c r="D26" s="99"/>
      <c r="E26" s="97"/>
      <c r="F26" s="99">
        <v>13</v>
      </c>
      <c r="G26" s="97" t="s">
        <v>50</v>
      </c>
      <c r="H26" s="101"/>
      <c r="I26" s="102"/>
      <c r="J26" s="99">
        <v>16</v>
      </c>
      <c r="K26" s="96" t="s">
        <v>50</v>
      </c>
      <c r="L26" s="86"/>
      <c r="M26" s="95"/>
      <c r="N26" s="99"/>
      <c r="O26" s="97" t="s">
        <v>50</v>
      </c>
      <c r="P26" s="99"/>
      <c r="Q26" s="99"/>
      <c r="R26" s="98" t="s">
        <v>50</v>
      </c>
      <c r="S26" s="87"/>
      <c r="V26" s="12"/>
      <c r="W26" s="12"/>
    </row>
    <row r="27" spans="1:25" ht="16.5" thickBot="1">
      <c r="A27" s="39" t="s">
        <v>14</v>
      </c>
      <c r="B27" s="99">
        <v>11</v>
      </c>
      <c r="C27" s="97" t="s">
        <v>51</v>
      </c>
      <c r="D27" s="99"/>
      <c r="E27" s="97"/>
      <c r="F27" s="99">
        <v>8</v>
      </c>
      <c r="G27" s="97" t="s">
        <v>51</v>
      </c>
      <c r="H27" s="101"/>
      <c r="I27" s="97"/>
      <c r="J27" s="99">
        <v>5</v>
      </c>
      <c r="K27" s="96" t="s">
        <v>51</v>
      </c>
      <c r="L27" s="86"/>
      <c r="M27" s="95"/>
      <c r="N27" s="99"/>
      <c r="O27" s="97" t="s">
        <v>51</v>
      </c>
      <c r="P27" s="99"/>
      <c r="Q27" s="99"/>
      <c r="R27" s="96" t="s">
        <v>51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55</v>
      </c>
      <c r="V32" s="12"/>
      <c r="W32" s="12"/>
    </row>
    <row r="33" spans="1:23" ht="18">
      <c r="A33" s="34" t="s">
        <v>27</v>
      </c>
      <c r="V33" s="12"/>
      <c r="W33" s="12"/>
    </row>
    <row r="34" spans="1:23" ht="18">
      <c r="A34" s="34" t="s">
        <v>60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91</v>
      </c>
      <c r="V40" s="12"/>
      <c r="W40" s="12"/>
    </row>
    <row r="41" spans="1:23" ht="18">
      <c r="A41" s="34" t="s">
        <v>29</v>
      </c>
      <c r="V41" s="12"/>
      <c r="W41" s="12"/>
    </row>
    <row r="42" spans="1:23" ht="18">
      <c r="A42" s="34" t="s">
        <v>66</v>
      </c>
      <c r="V42" s="12"/>
      <c r="W42" s="12"/>
    </row>
    <row r="43" spans="1:23" ht="18">
      <c r="A43" s="34" t="s">
        <v>61</v>
      </c>
      <c r="V43" s="12"/>
      <c r="W43" s="12"/>
    </row>
    <row r="44" spans="1:23" ht="18">
      <c r="A44" s="34" t="s">
        <v>23</v>
      </c>
      <c r="V44" s="12"/>
      <c r="W44" s="12"/>
    </row>
    <row r="45" spans="1:23" ht="18">
      <c r="A45" s="34" t="s">
        <v>63</v>
      </c>
      <c r="B45" s="7"/>
      <c r="V45" s="12"/>
      <c r="W45" s="32"/>
    </row>
    <row r="46" spans="1:23" ht="18">
      <c r="A46" s="34" t="s">
        <v>24</v>
      </c>
      <c r="W46" s="12"/>
    </row>
    <row r="47" spans="1:23" ht="18">
      <c r="A47" s="34" t="s">
        <v>25</v>
      </c>
      <c r="W47" s="12"/>
    </row>
    <row r="48" spans="1:23" ht="18">
      <c r="A48" s="34" t="s">
        <v>26</v>
      </c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95</v>
      </c>
    </row>
    <row r="52" spans="1:23" ht="18">
      <c r="A52" s="34" t="s">
        <v>25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workbookViewId="0">
      <pane xSplit="1" topLeftCell="B1" activePane="topRight" state="frozen"/>
      <selection pane="topRight" activeCell="J5" sqref="J5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24" width="22.7109375" style="22" customWidth="1"/>
    <col min="25" max="16384" width="9.140625" style="22"/>
  </cols>
  <sheetData>
    <row r="1" spans="1:24" ht="15">
      <c r="A1" s="77" t="s">
        <v>8</v>
      </c>
      <c r="B1" s="21"/>
      <c r="C1" s="21"/>
      <c r="D1" s="21"/>
      <c r="E1" s="21"/>
      <c r="F1" s="21"/>
      <c r="G1" s="21"/>
      <c r="H1" s="21"/>
    </row>
    <row r="2" spans="1:24" ht="15">
      <c r="A2" s="77" t="s">
        <v>102</v>
      </c>
      <c r="B2" s="21"/>
      <c r="C2" s="21"/>
      <c r="D2" s="21"/>
      <c r="E2" s="21"/>
      <c r="F2" s="21"/>
      <c r="G2" s="21"/>
      <c r="H2" s="21"/>
    </row>
    <row r="3" spans="1:24" ht="17.25" customHeight="1">
      <c r="A3" s="77" t="s">
        <v>104</v>
      </c>
      <c r="B3" s="21"/>
      <c r="C3" s="21"/>
      <c r="D3" s="21"/>
      <c r="E3" s="21"/>
      <c r="F3" s="21"/>
      <c r="G3" s="21"/>
      <c r="H3" s="21"/>
    </row>
    <row r="4" spans="1:24" ht="63" customHeight="1">
      <c r="A4" s="51" t="str">
        <f>'[1]MOÇÃO E REQUERIMENTO'!B7</f>
        <v>EXPEDIENTE</v>
      </c>
      <c r="B4" s="50" t="s">
        <v>49</v>
      </c>
      <c r="C4" s="118" t="s">
        <v>105</v>
      </c>
      <c r="D4" s="118" t="s">
        <v>106</v>
      </c>
      <c r="E4" s="118" t="s">
        <v>107</v>
      </c>
      <c r="F4" s="118" t="s">
        <v>108</v>
      </c>
      <c r="G4" s="113" t="s">
        <v>35</v>
      </c>
      <c r="H4" s="125"/>
      <c r="I4" s="50" t="s">
        <v>28</v>
      </c>
      <c r="J4" s="85" t="s">
        <v>100</v>
      </c>
      <c r="K4" s="85" t="s">
        <v>109</v>
      </c>
      <c r="L4" s="85" t="s">
        <v>110</v>
      </c>
      <c r="M4" s="85" t="s">
        <v>111</v>
      </c>
      <c r="N4" s="85" t="s">
        <v>112</v>
      </c>
      <c r="O4" s="69" t="s">
        <v>113</v>
      </c>
      <c r="P4" s="69" t="s">
        <v>114</v>
      </c>
      <c r="Q4" s="69" t="s">
        <v>115</v>
      </c>
      <c r="R4" s="69" t="s">
        <v>116</v>
      </c>
      <c r="S4" s="69" t="s">
        <v>117</v>
      </c>
      <c r="T4" s="69" t="s">
        <v>118</v>
      </c>
      <c r="U4" s="69" t="s">
        <v>119</v>
      </c>
      <c r="V4" s="69" t="s">
        <v>120</v>
      </c>
      <c r="W4" s="69" t="s">
        <v>121</v>
      </c>
      <c r="X4" s="69" t="s">
        <v>122</v>
      </c>
    </row>
    <row r="5" spans="1:24" s="59" customFormat="1" ht="48" customHeight="1">
      <c r="A5" s="57" t="s">
        <v>46</v>
      </c>
      <c r="B5" s="55"/>
      <c r="C5" s="55"/>
      <c r="D5" s="55"/>
      <c r="E5" s="55"/>
      <c r="F5" s="55"/>
      <c r="G5" s="55"/>
      <c r="H5" s="114"/>
      <c r="J5" s="114" t="s">
        <v>93</v>
      </c>
      <c r="K5" s="119" t="s">
        <v>94</v>
      </c>
      <c r="L5" s="114" t="s">
        <v>93</v>
      </c>
      <c r="M5" s="119" t="s">
        <v>94</v>
      </c>
      <c r="N5" s="114" t="s">
        <v>93</v>
      </c>
      <c r="O5" s="114" t="s">
        <v>93</v>
      </c>
      <c r="P5" s="119" t="s">
        <v>94</v>
      </c>
      <c r="Q5" s="119" t="s">
        <v>94</v>
      </c>
      <c r="R5" s="119" t="s">
        <v>94</v>
      </c>
      <c r="S5" s="114" t="s">
        <v>93</v>
      </c>
      <c r="T5" s="114" t="s">
        <v>93</v>
      </c>
      <c r="U5" s="114" t="s">
        <v>93</v>
      </c>
      <c r="V5" s="114" t="s">
        <v>93</v>
      </c>
      <c r="W5" s="114" t="s">
        <v>93</v>
      </c>
      <c r="X5" s="114" t="s">
        <v>93</v>
      </c>
    </row>
    <row r="6" spans="1:24" ht="15.75">
      <c r="A6" s="128" t="s">
        <v>55</v>
      </c>
      <c r="I6" s="23"/>
    </row>
    <row r="7" spans="1:24" ht="15.75">
      <c r="A7" s="128" t="s">
        <v>95</v>
      </c>
      <c r="I7" s="23"/>
    </row>
    <row r="8" spans="1:24" ht="15.75">
      <c r="A8" s="128" t="s">
        <v>58</v>
      </c>
      <c r="I8" s="23"/>
    </row>
    <row r="9" spans="1:24" ht="15.75">
      <c r="A9" s="129" t="s">
        <v>59</v>
      </c>
      <c r="I9" s="23"/>
    </row>
    <row r="10" spans="1:24" ht="15.75">
      <c r="A10" s="128" t="s">
        <v>29</v>
      </c>
      <c r="I10" s="23"/>
    </row>
    <row r="11" spans="1:24" ht="15.75">
      <c r="A11" s="128" t="s">
        <v>60</v>
      </c>
      <c r="I11" s="23"/>
    </row>
    <row r="12" spans="1:24" ht="15.75">
      <c r="A12" s="128" t="s">
        <v>22</v>
      </c>
      <c r="I12" s="23"/>
    </row>
    <row r="13" spans="1:24" ht="15.75">
      <c r="A13" s="128" t="s">
        <v>23</v>
      </c>
      <c r="I13" s="23"/>
    </row>
    <row r="14" spans="1:24" ht="15.75">
      <c r="A14" s="128" t="s">
        <v>24</v>
      </c>
      <c r="I14" s="23"/>
    </row>
    <row r="15" spans="1:24" ht="15.75">
      <c r="A15" s="128" t="s">
        <v>61</v>
      </c>
      <c r="I15" s="23"/>
    </row>
    <row r="16" spans="1:24" ht="15.75">
      <c r="A16" s="128" t="s">
        <v>62</v>
      </c>
      <c r="I16" s="23"/>
    </row>
    <row r="17" spans="1:9" ht="15.75">
      <c r="A17" s="128" t="s">
        <v>63</v>
      </c>
      <c r="I17" s="23"/>
    </row>
    <row r="18" spans="1:9" ht="15.75">
      <c r="A18" s="128" t="s">
        <v>25</v>
      </c>
      <c r="I18" s="23"/>
    </row>
    <row r="19" spans="1:9" ht="15.75">
      <c r="A19" s="128" t="s">
        <v>64</v>
      </c>
      <c r="I19" s="23"/>
    </row>
    <row r="20" spans="1:9" ht="15.75">
      <c r="A20" s="128" t="s">
        <v>96</v>
      </c>
      <c r="I20" s="23"/>
    </row>
    <row r="21" spans="1:9" ht="15.75">
      <c r="A21" s="128" t="s">
        <v>26</v>
      </c>
      <c r="I21" s="23"/>
    </row>
    <row r="22" spans="1:9" ht="15.75">
      <c r="A22" s="128" t="s">
        <v>65</v>
      </c>
      <c r="I22" s="23"/>
    </row>
    <row r="23" spans="1:9" ht="15.75">
      <c r="A23" s="128" t="s">
        <v>27</v>
      </c>
      <c r="I23" s="23"/>
    </row>
    <row r="24" spans="1:9" ht="15.75">
      <c r="A24" s="128" t="s">
        <v>53</v>
      </c>
      <c r="I24" s="23"/>
    </row>
    <row r="25" spans="1:9" ht="15.75">
      <c r="A25" s="128" t="s">
        <v>66</v>
      </c>
      <c r="I25" s="23"/>
    </row>
    <row r="26" spans="1:9" ht="15.75">
      <c r="A26" s="128" t="s">
        <v>67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I9" sqref="I9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7" t="s">
        <v>8</v>
      </c>
      <c r="B1" s="49"/>
      <c r="C1" s="75"/>
    </row>
    <row r="2" spans="1:47" ht="18" customHeight="1">
      <c r="A2" s="77" t="s">
        <v>102</v>
      </c>
      <c r="B2" s="49"/>
      <c r="C2" s="75"/>
    </row>
    <row r="3" spans="1:47" ht="17.25" customHeight="1">
      <c r="A3" s="77" t="s">
        <v>104</v>
      </c>
      <c r="B3" s="49"/>
      <c r="C3" s="75"/>
      <c r="E3" s="117"/>
      <c r="F3" s="117"/>
      <c r="G3" s="117"/>
    </row>
    <row r="4" spans="1:47" ht="90.75" customHeight="1" thickBot="1">
      <c r="A4" s="52" t="s">
        <v>5</v>
      </c>
      <c r="B4" s="109" t="s">
        <v>32</v>
      </c>
      <c r="C4" s="140"/>
      <c r="D4" s="110" t="s">
        <v>6</v>
      </c>
      <c r="E4" s="143" t="s">
        <v>123</v>
      </c>
      <c r="F4" s="143" t="s">
        <v>124</v>
      </c>
      <c r="G4" s="143" t="s">
        <v>125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2" customFormat="1" ht="48" customHeight="1">
      <c r="A5" s="100" t="s">
        <v>38</v>
      </c>
      <c r="B5" s="79"/>
      <c r="C5" s="114"/>
      <c r="D5" s="80"/>
      <c r="E5" s="114" t="s">
        <v>99</v>
      </c>
      <c r="F5" s="114" t="s">
        <v>99</v>
      </c>
      <c r="G5" s="114" t="s">
        <v>99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</row>
    <row r="6" spans="1:47" ht="20.25">
      <c r="A6" s="46" t="s">
        <v>55</v>
      </c>
      <c r="C6" s="108"/>
      <c r="E6" s="108"/>
      <c r="F6" s="108"/>
      <c r="G6" s="108"/>
    </row>
    <row r="7" spans="1:47" ht="20.25">
      <c r="A7" s="46" t="s">
        <v>95</v>
      </c>
      <c r="C7" s="115"/>
      <c r="E7" s="108"/>
      <c r="F7" s="108"/>
      <c r="G7" s="108"/>
    </row>
    <row r="8" spans="1:47" ht="20.25">
      <c r="A8" s="46" t="s">
        <v>58</v>
      </c>
      <c r="C8" s="108"/>
      <c r="E8" s="108"/>
      <c r="F8" s="108"/>
      <c r="G8" s="108"/>
    </row>
    <row r="9" spans="1:47" ht="20.25">
      <c r="A9" s="83" t="s">
        <v>59</v>
      </c>
      <c r="C9" s="115"/>
      <c r="E9" s="115"/>
      <c r="F9" s="115"/>
      <c r="G9" s="115"/>
    </row>
    <row r="10" spans="1:47" ht="20.25">
      <c r="A10" s="46" t="s">
        <v>29</v>
      </c>
      <c r="C10" s="115"/>
      <c r="E10" s="108"/>
      <c r="F10" s="108"/>
      <c r="G10" s="108"/>
    </row>
    <row r="11" spans="1:47" ht="20.25">
      <c r="A11" s="46" t="s">
        <v>60</v>
      </c>
      <c r="C11" s="115"/>
      <c r="E11" s="115"/>
      <c r="F11" s="115"/>
      <c r="G11" s="115"/>
    </row>
    <row r="12" spans="1:47" ht="20.25">
      <c r="A12" s="46" t="s">
        <v>22</v>
      </c>
      <c r="C12" s="115"/>
      <c r="E12" s="108"/>
      <c r="F12" s="108"/>
      <c r="G12" s="108"/>
    </row>
    <row r="13" spans="1:47" ht="20.25">
      <c r="A13" s="46" t="s">
        <v>23</v>
      </c>
      <c r="C13" s="115"/>
      <c r="E13" s="108"/>
      <c r="F13" s="108"/>
      <c r="G13" s="108"/>
    </row>
    <row r="14" spans="1:47" ht="20.25">
      <c r="A14" s="46" t="s">
        <v>24</v>
      </c>
      <c r="C14" s="108"/>
      <c r="E14" s="108"/>
      <c r="F14" s="108"/>
      <c r="G14" s="108"/>
    </row>
    <row r="15" spans="1:47" ht="20.25">
      <c r="A15" s="46" t="s">
        <v>61</v>
      </c>
      <c r="C15" s="108"/>
      <c r="E15" s="108"/>
      <c r="F15" s="108"/>
      <c r="G15" s="108"/>
    </row>
    <row r="16" spans="1:47" ht="20.25">
      <c r="A16" s="46" t="s">
        <v>62</v>
      </c>
      <c r="C16" s="108"/>
      <c r="E16" s="108"/>
      <c r="F16" s="108"/>
      <c r="G16" s="108"/>
    </row>
    <row r="17" spans="1:132" ht="20.25">
      <c r="A17" s="46" t="s">
        <v>63</v>
      </c>
      <c r="C17" s="108"/>
      <c r="E17" s="108"/>
      <c r="F17" s="108"/>
      <c r="G17" s="108"/>
    </row>
    <row r="18" spans="1:132" ht="20.25">
      <c r="A18" s="46" t="s">
        <v>25</v>
      </c>
      <c r="C18" s="108"/>
      <c r="E18" s="115"/>
      <c r="F18" s="115"/>
      <c r="G18" s="115"/>
    </row>
    <row r="19" spans="1:132" ht="20.25">
      <c r="A19" s="46" t="s">
        <v>64</v>
      </c>
      <c r="C19" s="108"/>
      <c r="E19" s="108"/>
      <c r="F19" s="108"/>
      <c r="G19" s="108"/>
    </row>
    <row r="20" spans="1:132" ht="20.25">
      <c r="A20" s="46" t="s">
        <v>96</v>
      </c>
      <c r="C20" s="108"/>
      <c r="E20" s="108"/>
      <c r="F20" s="108"/>
      <c r="G20" s="108"/>
    </row>
    <row r="21" spans="1:132" ht="20.25">
      <c r="A21" s="46" t="s">
        <v>26</v>
      </c>
      <c r="C21" s="115"/>
      <c r="E21" s="108"/>
      <c r="F21" s="108"/>
      <c r="G21" s="108"/>
    </row>
    <row r="22" spans="1:132" ht="20.25">
      <c r="A22" s="46" t="s">
        <v>65</v>
      </c>
      <c r="C22" s="108"/>
      <c r="E22" s="108"/>
      <c r="F22" s="108"/>
      <c r="G22" s="108"/>
    </row>
    <row r="23" spans="1:132" ht="20.25">
      <c r="A23" s="46" t="s">
        <v>27</v>
      </c>
      <c r="C23" s="108"/>
      <c r="E23" s="108"/>
      <c r="F23" s="108"/>
      <c r="G23" s="108"/>
    </row>
    <row r="24" spans="1:132" ht="20.25">
      <c r="A24" s="46" t="s">
        <v>53</v>
      </c>
      <c r="C24" s="108"/>
      <c r="E24" s="108"/>
      <c r="F24" s="108"/>
      <c r="G24" s="108"/>
    </row>
    <row r="25" spans="1:132" ht="20.25">
      <c r="A25" s="46" t="s">
        <v>66</v>
      </c>
      <c r="C25" s="108"/>
      <c r="E25" s="108"/>
      <c r="F25" s="108"/>
      <c r="G25" s="108"/>
    </row>
    <row r="26" spans="1:132" ht="20.25">
      <c r="A26" s="46" t="s">
        <v>67</v>
      </c>
      <c r="C26" s="108"/>
      <c r="E26" s="108"/>
      <c r="F26" s="108"/>
      <c r="G26" s="108"/>
    </row>
    <row r="27" spans="1:132" s="16" customFormat="1" ht="15.75">
      <c r="A27" s="15" t="s">
        <v>18</v>
      </c>
      <c r="B27"/>
      <c r="C27" s="104">
        <f>COUNTIF(C6:C26,"sim")</f>
        <v>0</v>
      </c>
      <c r="D27"/>
      <c r="E27" s="104">
        <f t="shared" ref="E27:F27" si="0">COUNTIF(E6:E26,"sim")</f>
        <v>0</v>
      </c>
      <c r="F27" s="104">
        <f t="shared" si="0"/>
        <v>0</v>
      </c>
      <c r="G27" s="104">
        <f>COUNTIF(G6:G26,"sim")</f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5">
        <f>COUNTIF(C6:C26,"não")</f>
        <v>0</v>
      </c>
      <c r="D28"/>
      <c r="E28" s="105">
        <f t="shared" ref="E28:F28" si="1">COUNTIF(E6:E26,"não")</f>
        <v>0</v>
      </c>
      <c r="F28" s="105">
        <f t="shared" si="1"/>
        <v>0</v>
      </c>
      <c r="G28" s="105">
        <f>COUNTIF(G6:G26,"não")</f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>COUNTIF(C6:C26,"ausente")</f>
        <v>0</v>
      </c>
      <c r="E29" s="40">
        <f t="shared" ref="E29:F29" si="2">COUNTIF(E6:E26,"ausente")</f>
        <v>0</v>
      </c>
      <c r="F29" s="40">
        <f t="shared" si="2"/>
        <v>0</v>
      </c>
      <c r="G29" s="40">
        <f>COUNTIF(G6:G26,"ausente")</f>
        <v>0</v>
      </c>
    </row>
    <row r="30" spans="1:132" s="20" customFormat="1" ht="15.75">
      <c r="A30" s="19" t="s">
        <v>20</v>
      </c>
      <c r="B30"/>
      <c r="C30" s="106">
        <f>COUNTIF(C6:C26,"abstenção")</f>
        <v>0</v>
      </c>
      <c r="D30"/>
      <c r="E30" s="106">
        <f t="shared" ref="E30:F30" si="3">COUNTIF(E6:E26,"abstenção")</f>
        <v>0</v>
      </c>
      <c r="F30" s="106">
        <f t="shared" si="3"/>
        <v>0</v>
      </c>
      <c r="G30" s="106">
        <f>COUNTIF(G6:G26,"abstenção")</f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6"/>
      <c r="D31"/>
      <c r="E31" s="106"/>
      <c r="F31" s="106"/>
      <c r="G31" s="106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11" sqref="G11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42" t="s">
        <v>126</v>
      </c>
      <c r="D4" s="142" t="s">
        <v>127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B5" s="76"/>
      <c r="C5" s="114" t="s">
        <v>99</v>
      </c>
      <c r="D5" s="114" t="s">
        <v>97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55</v>
      </c>
      <c r="C6" s="108"/>
      <c r="D6" s="108" t="s">
        <v>98</v>
      </c>
      <c r="V6" s="7"/>
      <c r="W6" s="7"/>
    </row>
    <row r="7" spans="1:30" ht="18">
      <c r="A7" s="130" t="s">
        <v>95</v>
      </c>
      <c r="C7" s="108"/>
      <c r="D7" s="108" t="s">
        <v>98</v>
      </c>
      <c r="V7" s="7"/>
      <c r="W7" s="7"/>
    </row>
    <row r="8" spans="1:30" ht="18">
      <c r="A8" s="130" t="s">
        <v>58</v>
      </c>
      <c r="C8" s="108"/>
      <c r="D8" s="108" t="s">
        <v>98</v>
      </c>
      <c r="V8" s="7"/>
      <c r="W8" s="7"/>
    </row>
    <row r="9" spans="1:30" ht="18">
      <c r="A9" s="131" t="s">
        <v>59</v>
      </c>
      <c r="C9" s="115"/>
      <c r="D9" s="115" t="s">
        <v>101</v>
      </c>
      <c r="V9" s="7"/>
      <c r="W9" s="7"/>
    </row>
    <row r="10" spans="1:30" ht="18">
      <c r="A10" s="130" t="s">
        <v>29</v>
      </c>
      <c r="C10" s="108"/>
      <c r="D10" s="115" t="s">
        <v>57</v>
      </c>
      <c r="V10" s="7"/>
      <c r="W10" s="7"/>
    </row>
    <row r="11" spans="1:30" ht="18">
      <c r="A11" s="130" t="s">
        <v>60</v>
      </c>
      <c r="C11" s="115"/>
      <c r="D11" s="108" t="s">
        <v>98</v>
      </c>
      <c r="V11" s="7"/>
      <c r="W11" s="7"/>
    </row>
    <row r="12" spans="1:30" ht="18">
      <c r="A12" s="130" t="s">
        <v>22</v>
      </c>
      <c r="C12" s="115"/>
      <c r="D12" s="108" t="s">
        <v>98</v>
      </c>
      <c r="V12" s="7"/>
      <c r="W12" s="7"/>
    </row>
    <row r="13" spans="1:30" ht="18">
      <c r="A13" s="130" t="s">
        <v>23</v>
      </c>
      <c r="C13" s="108"/>
      <c r="D13" s="115" t="s">
        <v>57</v>
      </c>
      <c r="V13" s="7"/>
      <c r="W13" s="7"/>
    </row>
    <row r="14" spans="1:30" ht="18">
      <c r="A14" s="130" t="s">
        <v>24</v>
      </c>
      <c r="C14" s="108"/>
      <c r="D14" s="108" t="s">
        <v>98</v>
      </c>
      <c r="V14" s="7"/>
      <c r="W14" s="7"/>
    </row>
    <row r="15" spans="1:30" ht="18">
      <c r="A15" s="130" t="s">
        <v>61</v>
      </c>
      <c r="C15" s="108"/>
      <c r="D15" s="108" t="s">
        <v>98</v>
      </c>
      <c r="V15" s="7"/>
      <c r="W15" s="7"/>
    </row>
    <row r="16" spans="1:30" ht="18">
      <c r="A16" s="130" t="s">
        <v>62</v>
      </c>
      <c r="C16" s="108"/>
      <c r="D16" s="108" t="s">
        <v>98</v>
      </c>
      <c r="V16" s="7"/>
      <c r="W16" s="7"/>
    </row>
    <row r="17" spans="1:124" ht="15" customHeight="1">
      <c r="A17" s="130" t="s">
        <v>63</v>
      </c>
      <c r="C17" s="108"/>
      <c r="D17" s="115" t="s">
        <v>57</v>
      </c>
      <c r="U17" s="8"/>
      <c r="V17" s="7"/>
      <c r="W17" s="7"/>
    </row>
    <row r="18" spans="1:124" ht="18">
      <c r="A18" s="130" t="s">
        <v>25</v>
      </c>
      <c r="C18" s="115"/>
      <c r="D18" s="108" t="s">
        <v>98</v>
      </c>
      <c r="V18" s="7"/>
      <c r="W18" s="7"/>
    </row>
    <row r="19" spans="1:124" ht="18">
      <c r="A19" s="130" t="s">
        <v>64</v>
      </c>
      <c r="C19" s="108"/>
      <c r="D19" s="108" t="s">
        <v>98</v>
      </c>
      <c r="V19" s="7"/>
      <c r="W19" s="7"/>
    </row>
    <row r="20" spans="1:124" ht="18">
      <c r="A20" s="130" t="s">
        <v>96</v>
      </c>
      <c r="C20" s="108"/>
      <c r="D20" s="108" t="s">
        <v>98</v>
      </c>
      <c r="V20" s="7"/>
      <c r="W20" s="7"/>
    </row>
    <row r="21" spans="1:124" ht="18">
      <c r="A21" s="130" t="s">
        <v>26</v>
      </c>
      <c r="C21" s="108"/>
      <c r="D21" s="108" t="s">
        <v>98</v>
      </c>
      <c r="V21" s="7"/>
      <c r="W21" s="7"/>
    </row>
    <row r="22" spans="1:124" ht="18">
      <c r="A22" s="130" t="s">
        <v>65</v>
      </c>
      <c r="C22" s="108"/>
      <c r="D22" s="108" t="s">
        <v>98</v>
      </c>
      <c r="V22" s="7"/>
      <c r="W22" s="7"/>
    </row>
    <row r="23" spans="1:124" ht="18">
      <c r="A23" s="130" t="s">
        <v>27</v>
      </c>
      <c r="C23" s="108"/>
      <c r="D23" s="115" t="s">
        <v>57</v>
      </c>
      <c r="V23" s="7"/>
      <c r="W23" s="7"/>
    </row>
    <row r="24" spans="1:124" ht="18">
      <c r="A24" s="130" t="s">
        <v>53</v>
      </c>
      <c r="C24" s="108"/>
      <c r="D24" s="108" t="s">
        <v>98</v>
      </c>
      <c r="V24" s="7"/>
      <c r="W24" s="7"/>
    </row>
    <row r="25" spans="1:124" ht="18">
      <c r="A25" s="130" t="s">
        <v>66</v>
      </c>
      <c r="C25" s="108"/>
      <c r="D25" s="108" t="s">
        <v>98</v>
      </c>
      <c r="V25" s="7"/>
      <c r="W25" s="7"/>
    </row>
    <row r="26" spans="1:124" ht="18">
      <c r="A26" s="130" t="s">
        <v>67</v>
      </c>
      <c r="C26" s="108"/>
      <c r="D26" s="108" t="s">
        <v>98</v>
      </c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4">
        <f t="shared" ref="C27:D27" si="1">COUNTIF(C6:C26,"sim")</f>
        <v>0</v>
      </c>
      <c r="D27" s="104">
        <f t="shared" si="1"/>
        <v>16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5">
        <f t="shared" ref="C28:D28" si="7">COUNTIF(C6:C26,"não")</f>
        <v>0</v>
      </c>
      <c r="D28" s="105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0</v>
      </c>
      <c r="D29" s="40">
        <f t="shared" si="13"/>
        <v>4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:D30" si="19">COUNTIF(C6:C26,"abstenção")</f>
        <v>0</v>
      </c>
      <c r="D30" s="106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H8" sqref="H8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102</v>
      </c>
      <c r="B2" s="2"/>
    </row>
    <row r="3" spans="1:3" ht="15.75" thickBot="1">
      <c r="A3" s="122" t="s">
        <v>104</v>
      </c>
      <c r="B3" s="2"/>
    </row>
    <row r="4" spans="1:3" ht="78.75" customHeight="1" thickBot="1">
      <c r="A4" s="121" t="s">
        <v>5</v>
      </c>
      <c r="B4" s="112" t="s">
        <v>21</v>
      </c>
      <c r="C4" s="142"/>
    </row>
    <row r="5" spans="1:3" s="6" customFormat="1" ht="60.75" customHeight="1">
      <c r="A5" s="123"/>
      <c r="B5" s="112"/>
      <c r="C5" s="114"/>
    </row>
    <row r="6" spans="1:3" ht="15.75">
      <c r="A6" s="128" t="s">
        <v>55</v>
      </c>
      <c r="C6" s="108"/>
    </row>
    <row r="7" spans="1:3" ht="15.75">
      <c r="A7" s="128" t="s">
        <v>95</v>
      </c>
      <c r="C7" s="108"/>
    </row>
    <row r="8" spans="1:3" ht="15.75">
      <c r="A8" s="128" t="s">
        <v>58</v>
      </c>
      <c r="C8" s="108"/>
    </row>
    <row r="9" spans="1:3" ht="15.75">
      <c r="A9" s="129" t="s">
        <v>59</v>
      </c>
      <c r="C9" s="115"/>
    </row>
    <row r="10" spans="1:3" ht="15.75">
      <c r="A10" s="128" t="s">
        <v>29</v>
      </c>
      <c r="C10" s="108"/>
    </row>
    <row r="11" spans="1:3" ht="15.75">
      <c r="A11" s="128" t="s">
        <v>60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1"/>
      <c r="C13" s="108"/>
    </row>
    <row r="14" spans="1:3" ht="15.75">
      <c r="A14" s="128" t="s">
        <v>24</v>
      </c>
      <c r="C14" s="108"/>
    </row>
    <row r="15" spans="1:3" ht="15.75">
      <c r="A15" s="128" t="s">
        <v>61</v>
      </c>
      <c r="C15" s="108"/>
    </row>
    <row r="16" spans="1:3" ht="15.75">
      <c r="A16" s="128" t="s">
        <v>62</v>
      </c>
      <c r="C16" s="108"/>
    </row>
    <row r="17" spans="1:3" ht="15.75">
      <c r="A17" s="128" t="s">
        <v>63</v>
      </c>
      <c r="C17" s="108"/>
    </row>
    <row r="18" spans="1:3" ht="15.75">
      <c r="A18" s="128" t="s">
        <v>25</v>
      </c>
      <c r="C18" s="108"/>
    </row>
    <row r="19" spans="1:3" ht="15.75">
      <c r="A19" s="128" t="s">
        <v>64</v>
      </c>
      <c r="C19" s="108"/>
    </row>
    <row r="20" spans="1:3" ht="15.75">
      <c r="A20" s="128" t="s">
        <v>96</v>
      </c>
      <c r="C20" s="108"/>
    </row>
    <row r="21" spans="1:3" ht="15.75">
      <c r="A21" s="128" t="s">
        <v>26</v>
      </c>
      <c r="C21" s="115"/>
    </row>
    <row r="22" spans="1:3" ht="15.75">
      <c r="A22" s="128" t="s">
        <v>65</v>
      </c>
      <c r="C22" s="108"/>
    </row>
    <row r="23" spans="1:3" ht="15.75">
      <c r="A23" s="128" t="s">
        <v>27</v>
      </c>
      <c r="C23" s="115"/>
    </row>
    <row r="24" spans="1:3" ht="15.75">
      <c r="A24" s="128" t="s">
        <v>53</v>
      </c>
      <c r="C24" s="108"/>
    </row>
    <row r="25" spans="1:3" ht="15.75">
      <c r="A25" s="128" t="s">
        <v>66</v>
      </c>
      <c r="C25" s="115"/>
    </row>
    <row r="26" spans="1:3" ht="15.75">
      <c r="A26" s="128" t="s">
        <v>67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102</v>
      </c>
      <c r="B2" s="2"/>
      <c r="C2" s="54"/>
      <c r="D2" s="54"/>
      <c r="E2" s="54"/>
    </row>
    <row r="3" spans="1:9" ht="15.75" thickBot="1">
      <c r="A3" s="122" t="s">
        <v>104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41</v>
      </c>
      <c r="D4" s="132" t="s">
        <v>40</v>
      </c>
      <c r="E4" s="132" t="s">
        <v>42</v>
      </c>
      <c r="F4" s="132" t="s">
        <v>43</v>
      </c>
      <c r="G4" s="132" t="s">
        <v>44</v>
      </c>
      <c r="H4" s="132" t="s">
        <v>45</v>
      </c>
      <c r="I4" s="132" t="s">
        <v>68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55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95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58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59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60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61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62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63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64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96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65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53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66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67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102</v>
      </c>
      <c r="B2" s="2"/>
    </row>
    <row r="3" spans="1:25">
      <c r="A3" s="77" t="s">
        <v>104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39</v>
      </c>
      <c r="D4" s="107" t="s">
        <v>69</v>
      </c>
      <c r="E4" s="107" t="s">
        <v>70</v>
      </c>
      <c r="F4" s="107" t="s">
        <v>71</v>
      </c>
      <c r="G4" s="107" t="s">
        <v>72</v>
      </c>
      <c r="H4" s="107" t="s">
        <v>73</v>
      </c>
      <c r="I4" s="107" t="s">
        <v>74</v>
      </c>
      <c r="J4" s="107" t="s">
        <v>75</v>
      </c>
      <c r="K4" s="107" t="s">
        <v>76</v>
      </c>
      <c r="L4" s="107" t="s">
        <v>77</v>
      </c>
      <c r="M4" s="107" t="s">
        <v>78</v>
      </c>
      <c r="N4" s="107" t="s">
        <v>79</v>
      </c>
      <c r="O4" s="107" t="s">
        <v>80</v>
      </c>
      <c r="P4" s="107" t="s">
        <v>81</v>
      </c>
      <c r="Q4" s="107" t="s">
        <v>82</v>
      </c>
      <c r="R4" s="107" t="s">
        <v>83</v>
      </c>
      <c r="S4" s="107" t="s">
        <v>84</v>
      </c>
      <c r="T4" s="107" t="s">
        <v>85</v>
      </c>
      <c r="U4" s="107" t="s">
        <v>86</v>
      </c>
      <c r="V4" s="107" t="s">
        <v>87</v>
      </c>
      <c r="W4" s="107" t="s">
        <v>88</v>
      </c>
      <c r="X4" s="107" t="s">
        <v>89</v>
      </c>
      <c r="Y4" s="107" t="s">
        <v>90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55</v>
      </c>
    </row>
    <row r="7" spans="1:25" ht="15.75">
      <c r="A7" s="128" t="s">
        <v>95</v>
      </c>
    </row>
    <row r="8" spans="1:25" ht="15.75">
      <c r="A8" s="128" t="s">
        <v>58</v>
      </c>
    </row>
    <row r="9" spans="1:25" ht="15.75">
      <c r="A9" s="129" t="s">
        <v>59</v>
      </c>
    </row>
    <row r="10" spans="1:25" ht="15.75">
      <c r="A10" s="128" t="s">
        <v>29</v>
      </c>
    </row>
    <row r="11" spans="1:25" ht="15.75">
      <c r="A11" s="128" t="s">
        <v>60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61</v>
      </c>
    </row>
    <row r="16" spans="1:25" ht="15.75">
      <c r="A16" s="128" t="s">
        <v>62</v>
      </c>
    </row>
    <row r="17" spans="1:25" ht="15.75">
      <c r="A17" s="128" t="s">
        <v>63</v>
      </c>
    </row>
    <row r="18" spans="1:25" ht="15.75">
      <c r="A18" s="128" t="s">
        <v>25</v>
      </c>
    </row>
    <row r="19" spans="1:25" ht="15.75">
      <c r="A19" s="128" t="s">
        <v>64</v>
      </c>
    </row>
    <row r="20" spans="1:25" ht="15.75">
      <c r="A20" s="128" t="s">
        <v>96</v>
      </c>
    </row>
    <row r="21" spans="1:25" ht="15.75">
      <c r="A21" s="128" t="s">
        <v>26</v>
      </c>
    </row>
    <row r="22" spans="1:25" ht="15.75">
      <c r="A22" s="128" t="s">
        <v>65</v>
      </c>
    </row>
    <row r="23" spans="1:25" ht="15.75">
      <c r="A23" s="128" t="s">
        <v>27</v>
      </c>
    </row>
    <row r="24" spans="1:25" ht="15.75">
      <c r="A24" s="128" t="s">
        <v>53</v>
      </c>
    </row>
    <row r="25" spans="1:25" ht="15.75">
      <c r="A25" s="128" t="s">
        <v>66</v>
      </c>
    </row>
    <row r="26" spans="1:25" ht="15.75">
      <c r="A26" s="128" t="s">
        <v>67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2025-05-30T20:13:38Z</dcterms:modified>
</cp:coreProperties>
</file>