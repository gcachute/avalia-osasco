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2221588E-FFA6-4E1D-B116-D4E8C5E3E00A}" xr6:coauthVersionLast="47" xr6:coauthVersionMax="47" xr10:uidLastSave="{00000000-0000-0000-0000-000000000000}"/>
  <bookViews>
    <workbookView xWindow="-120" yWindow="-120" windowWidth="29040" windowHeight="15720" tabRatio="849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E27" i="2"/>
  <c r="E28" i="2"/>
  <c r="E29" i="2"/>
  <c r="E30" i="2"/>
  <c r="D27" i="3"/>
  <c r="D28" i="3"/>
  <c r="D29" i="3"/>
  <c r="D30" i="3"/>
  <c r="C28" i="10"/>
  <c r="C29" i="10"/>
  <c r="C30" i="10"/>
  <c r="C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T27" i="3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<sst xmlns="http://schemas.openxmlformats.org/spreadsheetml/2006/main" count="487" uniqueCount="125">
  <si>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</si>
  <si>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</si>
  <si>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</si>
  <si>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</si>
  <si>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</si>
  <si>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</si>
  <si>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</si>
  <si>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</si>
  <si>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</si>
  <si>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</si>
  <si>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</si>
  <si>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</si>
  <si>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</si>
  <si>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</si>
  <si>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</si>
  <si>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</si>
  <si>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</si>
  <si>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</si>
  <si>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</si>
  <si>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</si>
  <si>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</si>
  <si>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</si>
  <si>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</si>
  <si>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</si>
  <si>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</si>
  <si>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</si>
  <si>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</si>
  <si>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</si>
  <si>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</si>
  <si>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</si>
  <si>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</si>
  <si>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</si>
  <si>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</si>
  <si>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</si>
  <si>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</si>
  <si>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</si>
  <si>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</si>
  <si>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</si>
  <si>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</si>
  <si>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</si>
  <si>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</si>
  <si>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</si>
  <si>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</si>
  <si>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</si>
  <si>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</si>
  <si>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</si>
  <si>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</si>
  <si>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</si>
  <si>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</si>
  <si>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</si>
  <si>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</si>
  <si>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</si>
  <si>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</si>
  <si>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</si>
  <si>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</si>
  <si>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</si>
  <si>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</si>
  <si>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</si>
  <si>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</si>
  <si>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</si>
  <si>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</si>
  <si>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</si>
  <si>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</si>
  <si>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</si>
  <si>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</si>
  <si>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</si>
  <si>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</si>
  <si>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</si>
  <si>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</si>
  <si>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</si>
  <si>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</si>
  <si>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</si>
  <si>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</si>
  <si>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</si>
  <si>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</si>
  <si>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</si>
  <si>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</si>
  <si>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</si>
  <si>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</si>
  <si>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</si>
  <si>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</si>
  <si>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</si>
  <si>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</si>
  <si>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</si>
  <si>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</si>
  <si>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</si>
  <si>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</si>
  <si>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</si>
  <si>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</si>
  <si>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</si>
  <si>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</si>
  <si>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</si>
  <si>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</si>
  <si>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</si>
  <si>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</si>
  <si>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</si>
  <si>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</si>
  <si>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APROVADO</t>
  </si>
  <si>
    <t>sim</t>
  </si>
  <si>
    <t>na presidência</t>
  </si>
  <si>
    <t>20ª SESSÃO ORDINÁRIA</t>
  </si>
  <si>
    <t>DIA 22 DE ABRIL DE 2025 - TERÇA-FEIRA</t>
  </si>
  <si>
    <t>DIA 22 DE ABRIL DE 2025 - TERÇA–FEIRA</t>
  </si>
  <si>
    <t>Justificativa de ausência da Vereadora Elsa Oliveira.</t>
  </si>
  <si>
    <t>Justificativa de ausência da Vereadora Elânia Silva.</t>
  </si>
  <si>
    <t>Justificativa de ausência do Vereador Paulo Junior.</t>
  </si>
  <si>
    <t>Ofício Nº 1734/2025, por meio do qual o Sr. Batista de Souza Moreira comunica Licença de Vereador a partir do dia 6 de maio de 2025, até o dia 6 de junho de 2025, nos termos do Art. 105 e seguintes do Regimento Interno</t>
  </si>
  <si>
    <r>
      <t xml:space="preserve">Projeto de Lei nº 40/2025 – Prefeito do Município de Osasco – </t>
    </r>
    <r>
      <rPr>
        <sz val="12"/>
        <color rgb="FF000000"/>
        <rFont val="Calibri"/>
        <family val="2"/>
      </rPr>
      <t>Autoriza o Poder Executivo a contratar operação de crédito com a Caixa Econômica Federal e dá outras providências.</t>
    </r>
  </si>
  <si>
    <r>
      <t xml:space="preserve">Projeto de Decreto Legislativo nº 11/2025 – Cantor Goleiro – </t>
    </r>
    <r>
      <rPr>
        <sz val="12"/>
        <color rgb="FF000000"/>
        <rFont val="Calibri"/>
        <family val="2"/>
      </rPr>
      <t xml:space="preserve">Dispõe sobre a concessão de Medalha Raposo Tavares e Diploma Cidade de Osasco ao senhor José Virgolino de Oliveira.  </t>
    </r>
  </si>
  <si>
    <r>
      <t xml:space="preserve">Projeto de Lei nº 34/2025- Carmônio Bastos -  </t>
    </r>
    <r>
      <rPr>
        <sz val="12"/>
        <color rgb="FF000000"/>
        <rFont val="Calibri"/>
        <family val="2"/>
      </rPr>
      <t xml:space="preserve"> Institui a Festa da Família no Calendário Oficial.</t>
    </r>
  </si>
  <si>
    <r>
      <t>Projeto de Lei nº 76/2024 – Alexandre Capriotti -</t>
    </r>
    <r>
      <rPr>
        <sz val="12"/>
        <color rgb="FF000000"/>
        <rFont val="Calibri"/>
        <family val="2"/>
      </rPr>
      <t xml:space="preserve"> Institui a Quinzena de Combate aos maus-tratos aos Animais.</t>
    </r>
  </si>
  <si>
    <r>
      <t xml:space="preserve">Projeto de Lei nº 75/2024 – Alexandre Capriotti – </t>
    </r>
    <r>
      <rPr>
        <sz val="12"/>
        <color rgb="FF000000"/>
        <rFont val="Calibri"/>
        <family val="2"/>
      </rPr>
      <t>Institui o Dia do Tutor de Pets.</t>
    </r>
  </si>
  <si>
    <r>
      <t xml:space="preserve">MOÇÃO DE APLAUSOS Nº 119/2025 – CANTOR GOLEIRO - </t>
    </r>
    <r>
      <rPr>
        <sz val="11"/>
        <color theme="1"/>
        <rFont val="Arial"/>
        <family val="2"/>
      </rPr>
      <t>à Sra. Mariana Eugenio de Campos por sua dedicação a causas sociais associadas a regularização fundiária.</t>
    </r>
  </si>
  <si>
    <r>
      <t xml:space="preserve">MOÇÃO DE SOLIDARIEDADE Nº 125/2025 – STEPHANE ROSSI - </t>
    </r>
    <r>
      <rPr>
        <sz val="11"/>
        <color theme="1"/>
        <rFont val="Arial"/>
        <family val="2"/>
      </rPr>
      <t>Ao “Dia do Reconhecimento e Homenagem às Vítimas do Genocídio Armênio de 1915”, realizado anualmente em 24 de abril.</t>
    </r>
  </si>
  <si>
    <r>
      <t xml:space="preserve">MOÇÃO DE RECONHECIMENTO Nº 126/2025 – RALFI SILVA - </t>
    </r>
    <r>
      <rPr>
        <sz val="11"/>
        <color theme="1"/>
        <rFont val="Arial"/>
        <family val="2"/>
      </rPr>
      <t>À Guarda Civil Municipal de Osasco, pela participação e resultado na 1ª edição do Brazil SWAT Competition.</t>
    </r>
  </si>
  <si>
    <r>
      <t>MOÇÃO DE APLAUSOS Nº 127/2025 – LÚCIA DA SAÚDE -</t>
    </r>
    <r>
      <rPr>
        <sz val="11"/>
        <color theme="1"/>
        <rFont val="Arial"/>
        <family val="2"/>
      </rPr>
      <t xml:space="preserve"> À equipe do projeto “Mãos que Ajudam”, da Igreja de Jesus Cristo dos Santos dos Últimos Dias, e ao gestor Willian Cherez Teixeira, pelo exemplar trabalho na Unidade Básica de Saúde José Groff, no Jardim Aliança.</t>
    </r>
  </si>
  <si>
    <r>
      <t xml:space="preserve">MOÇÃO DE APLAUSOS Nº 128/2025 – JOSIAS DA JUCO - </t>
    </r>
    <r>
      <rPr>
        <sz val="11"/>
        <color theme="1"/>
        <rFont val="Arial"/>
        <family val="2"/>
      </rPr>
      <t>Aos Policiais Militares 3º Sargento PM Pedro e Soldado PM Pavani, integrantes da equipe CGPI Operações da 1ª Companhia do 14º Batalhão de Polícia Militar Metropolitano (CPA/M-8).</t>
    </r>
  </si>
  <si>
    <r>
      <t xml:space="preserve">MOÇÃO DE APLAUSOS Nº 130/2025 – ELSA OLIVEIRA - </t>
    </r>
    <r>
      <rPr>
        <sz val="11"/>
        <color theme="1"/>
        <rFont val="Arial"/>
        <family val="2"/>
      </rPr>
      <t>À 1ª Tenente Emily de Souza Braz, pela conquista histórica de tornar-se a primeira mulher piloto de combate da Aviação do Exército Brasileiro, ingressando na elite da aviação militar terrestre nacional.</t>
    </r>
  </si>
  <si>
    <r>
      <t>MOÇÃO DE CONGRATULAÇÕES Nº 131/2025 – SÉRGIO FONTELLAS -</t>
    </r>
    <r>
      <rPr>
        <sz val="11"/>
        <color theme="1"/>
        <rFont val="Arial"/>
        <family val="2"/>
      </rPr>
      <t xml:space="preserve"> Pelo Dia do Policial, a todos os policiais civis, militares, federais, rodoviários e penais, bem como estendemos a moção a todos os que fazem parte da estrutura das forças de segurança pública e suas hierarquias.   </t>
    </r>
  </si>
  <si>
    <r>
      <t>MOÇÃO DE PESAR Nº136/2025 – CARMÔNIO BASTOS E DEMAIS VEREADORES -</t>
    </r>
    <r>
      <rPr>
        <sz val="11"/>
        <color theme="1"/>
        <rFont val="Arial"/>
        <family val="2"/>
      </rPr>
      <t xml:space="preserve"> Pelo falecimento de Sua Santidade, o Papa Francisco, ocorrido ontem, cuja partida representa uma perda inestimável para a Igreja Católica, para o mundo cristão e para toda a Humanidade..   </t>
    </r>
  </si>
  <si>
    <t>VETO
ACEITO</t>
  </si>
  <si>
    <r>
      <t>VETO TOTAL AO PROJETO DE LEI Nº 62/2024 – CARMÔNIO BASTOS -</t>
    </r>
    <r>
      <rPr>
        <sz val="12"/>
        <color theme="1"/>
        <rFont val="Arial"/>
        <family val="2"/>
      </rPr>
      <t xml:space="preserve"> Altera a lei nº 3.981, de 27 de dezembro de 2005, que dispõe sobre a instituição do Programa Operação Trabalho do Município de Osasco e dá outras providências.</t>
    </r>
  </si>
  <si>
    <t>EMENDA 1/2024 - CCJ - AO PROJETO DE LEI Nº 1/2024 – JOSIAS DA JUCO</t>
  </si>
  <si>
    <t>PROJETO DE LEI Nº 1/2024 – JOSIAS DA JUCO - Dispõe sobre a prioridade de matrícula em período integral em escolas públicas da Rede Municipal de Ensino para alunos provenientes em situação de acolhimento.</t>
  </si>
  <si>
    <r>
      <t xml:space="preserve">PROJETO DE DECRETO Nº 57/2024 – RALFI SILVA - </t>
    </r>
    <r>
      <rPr>
        <sz val="11"/>
        <color theme="1"/>
        <rFont val="Arial"/>
        <family val="2"/>
      </rPr>
      <t xml:space="preserve">Dispõe sobre a concessão de Placa Comemorativa à Translima Logística.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</si>
</sst>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2" sqref="A52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100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101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94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57</v>
      </c>
      <c r="B5" s="89">
        <v>1</v>
      </c>
      <c r="C5" s="62" t="s">
        <v>58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6"/>
      <c r="U5" s="146"/>
      <c r="V5" s="146"/>
      <c r="W5" s="146"/>
      <c r="X5" s="146"/>
      <c r="Y5" s="146"/>
    </row>
    <row r="6" spans="1:28" ht="18" customHeight="1">
      <c r="A6" s="46" t="s">
        <v>53</v>
      </c>
      <c r="B6" s="89">
        <v>1</v>
      </c>
      <c r="C6" s="62" t="s">
        <v>58</v>
      </c>
      <c r="D6" s="63"/>
      <c r="E6" s="103"/>
      <c r="F6" s="89">
        <v>1</v>
      </c>
      <c r="G6" s="62" t="s">
        <v>58</v>
      </c>
      <c r="H6" s="63"/>
      <c r="I6" s="62"/>
      <c r="J6" s="63">
        <v>2</v>
      </c>
      <c r="K6" s="103" t="s">
        <v>59</v>
      </c>
      <c r="L6" s="67"/>
      <c r="M6" s="65"/>
      <c r="N6" s="63"/>
      <c r="O6" s="103"/>
      <c r="P6" s="63"/>
      <c r="Q6" s="63"/>
      <c r="R6" s="103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29</v>
      </c>
      <c r="B9" s="89">
        <v>1</v>
      </c>
      <c r="C9" s="62" t="s">
        <v>58</v>
      </c>
      <c r="D9" s="63"/>
      <c r="E9" s="62"/>
      <c r="F9" s="89">
        <v>1</v>
      </c>
      <c r="G9" s="62" t="s">
        <v>58</v>
      </c>
      <c r="H9" s="63"/>
      <c r="I9" s="62"/>
      <c r="J9" s="63">
        <v>2</v>
      </c>
      <c r="K9" s="103" t="s">
        <v>59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2</v>
      </c>
      <c r="G10" s="103" t="s">
        <v>59</v>
      </c>
      <c r="H10" s="63"/>
      <c r="I10" s="62"/>
      <c r="J10" s="63">
        <v>2</v>
      </c>
      <c r="K10" s="103" t="s">
        <v>59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9">
        <v>2</v>
      </c>
      <c r="C11" s="103" t="s">
        <v>59</v>
      </c>
      <c r="D11" s="63"/>
      <c r="E11" s="62"/>
      <c r="F11" s="89">
        <v>2</v>
      </c>
      <c r="G11" s="103" t="s">
        <v>59</v>
      </c>
      <c r="H11" s="63"/>
      <c r="I11" s="62"/>
      <c r="J11" s="63">
        <v>2</v>
      </c>
      <c r="K11" s="103" t="s">
        <v>59</v>
      </c>
      <c r="L11" s="67"/>
      <c r="M11" s="65"/>
      <c r="N11" s="63"/>
      <c r="O11" s="103"/>
      <c r="P11" s="63"/>
      <c r="Q11" s="63"/>
      <c r="R11" s="62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9">
        <v>2</v>
      </c>
      <c r="C13" s="103" t="s">
        <v>59</v>
      </c>
      <c r="D13" s="63"/>
      <c r="E13" s="62"/>
      <c r="F13" s="89">
        <v>2</v>
      </c>
      <c r="G13" s="103" t="s">
        <v>59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63</v>
      </c>
      <c r="B14" s="89">
        <v>1</v>
      </c>
      <c r="C14" s="62" t="s">
        <v>58</v>
      </c>
      <c r="D14" s="63"/>
      <c r="E14" s="62"/>
      <c r="F14" s="89">
        <v>1</v>
      </c>
      <c r="G14" s="62" t="s">
        <v>58</v>
      </c>
      <c r="H14" s="63"/>
      <c r="I14" s="62"/>
      <c r="J14" s="63">
        <v>1</v>
      </c>
      <c r="K14" s="62" t="s">
        <v>58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65</v>
      </c>
      <c r="B16" s="89">
        <v>2</v>
      </c>
      <c r="C16" s="103" t="s">
        <v>59</v>
      </c>
      <c r="D16" s="63"/>
      <c r="E16" s="62"/>
      <c r="F16" s="89">
        <v>2</v>
      </c>
      <c r="G16" s="103" t="s">
        <v>59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25</v>
      </c>
      <c r="B17" s="89">
        <v>1</v>
      </c>
      <c r="C17" s="62" t="s">
        <v>58</v>
      </c>
      <c r="D17" s="63"/>
      <c r="E17" s="62"/>
      <c r="F17" s="89">
        <v>1</v>
      </c>
      <c r="G17" s="62" t="s">
        <v>58</v>
      </c>
      <c r="H17" s="63"/>
      <c r="I17" s="68"/>
      <c r="J17" s="63">
        <v>1</v>
      </c>
      <c r="K17" s="62" t="s">
        <v>58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66</v>
      </c>
      <c r="B18" s="89">
        <v>2</v>
      </c>
      <c r="C18" s="103" t="s">
        <v>59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38</v>
      </c>
      <c r="B19" s="89">
        <v>1</v>
      </c>
      <c r="C19" s="62" t="s">
        <v>58</v>
      </c>
      <c r="D19" s="63"/>
      <c r="E19" s="103"/>
      <c r="F19" s="89">
        <v>1</v>
      </c>
      <c r="G19" s="62" t="s">
        <v>58</v>
      </c>
      <c r="H19" s="63"/>
      <c r="I19" s="62"/>
      <c r="J19" s="63">
        <v>1</v>
      </c>
      <c r="K19" s="62" t="s">
        <v>58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26</v>
      </c>
      <c r="B20" s="89">
        <v>2</v>
      </c>
      <c r="C20" s="103" t="s">
        <v>59</v>
      </c>
      <c r="D20" s="63"/>
      <c r="E20" s="62"/>
      <c r="F20" s="89">
        <v>2</v>
      </c>
      <c r="G20" s="103" t="s">
        <v>59</v>
      </c>
      <c r="H20" s="63"/>
      <c r="I20" s="68"/>
      <c r="J20" s="63">
        <v>2</v>
      </c>
      <c r="K20" s="103" t="s">
        <v>59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67</v>
      </c>
      <c r="B21" s="89">
        <v>2</v>
      </c>
      <c r="C21" s="103" t="s">
        <v>59</v>
      </c>
      <c r="D21" s="63"/>
      <c r="E21" s="62"/>
      <c r="F21" s="89">
        <v>2</v>
      </c>
      <c r="G21" s="103" t="s">
        <v>59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1</v>
      </c>
      <c r="K22" s="62" t="s">
        <v>58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55</v>
      </c>
      <c r="B23" s="89">
        <v>2</v>
      </c>
      <c r="C23" s="103" t="s">
        <v>59</v>
      </c>
      <c r="D23" s="63"/>
      <c r="E23" s="62"/>
      <c r="F23" s="89">
        <v>2</v>
      </c>
      <c r="G23" s="103" t="s">
        <v>59</v>
      </c>
      <c r="H23" s="63"/>
      <c r="I23" s="62"/>
      <c r="J23" s="63">
        <v>1</v>
      </c>
      <c r="K23" s="62" t="s">
        <v>58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68</v>
      </c>
      <c r="B24" s="89">
        <v>1</v>
      </c>
      <c r="C24" s="62" t="s">
        <v>58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11</v>
      </c>
      <c r="C26" s="97" t="s">
        <v>51</v>
      </c>
      <c r="D26" s="99"/>
      <c r="E26" s="97"/>
      <c r="F26" s="99">
        <v>12</v>
      </c>
      <c r="G26" s="97" t="s">
        <v>51</v>
      </c>
      <c r="H26" s="101"/>
      <c r="I26" s="102"/>
      <c r="J26" s="99">
        <v>15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10</v>
      </c>
      <c r="C27" s="97" t="s">
        <v>52</v>
      </c>
      <c r="D27" s="99"/>
      <c r="E27" s="97"/>
      <c r="F27" s="99">
        <v>9</v>
      </c>
      <c r="G27" s="97" t="s">
        <v>52</v>
      </c>
      <c r="H27" s="101"/>
      <c r="I27" s="97"/>
      <c r="J27" s="99">
        <v>6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66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67</v>
      </c>
      <c r="V41" s="12"/>
      <c r="W41" s="12"/>
    </row>
    <row r="42" spans="1:23" ht="18">
      <c r="A42" s="34" t="s">
        <v>65</v>
      </c>
      <c r="V42" s="12"/>
      <c r="W42" s="12"/>
    </row>
    <row r="43" spans="1:23" ht="18">
      <c r="A43" s="34" t="s">
        <v>55</v>
      </c>
      <c r="V43" s="12"/>
      <c r="W43" s="12"/>
    </row>
    <row r="44" spans="1:23" ht="18">
      <c r="A44" s="34" t="s">
        <v>23</v>
      </c>
      <c r="V44" s="12"/>
      <c r="W44" s="12"/>
    </row>
    <row r="45" spans="1:23" ht="18">
      <c r="A45" s="34" t="s">
        <v>24</v>
      </c>
      <c r="B45" s="7"/>
      <c r="V45" s="12"/>
      <c r="W45" s="32"/>
    </row>
    <row r="46" spans="1:23" ht="18">
      <c r="A46" s="34" t="s">
        <v>27</v>
      </c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29</v>
      </c>
    </row>
    <row r="52" spans="1:23" ht="18">
      <c r="A52" s="34" t="s">
        <v>53</v>
      </c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V39"/>
  <sheetViews>
    <sheetView workbookViewId="0">
      <pane xSplit="1" topLeftCell="M1" activePane="topRight" state="frozen"/>
      <selection pane="topRight" activeCell="V20" sqref="V20"/>
    </sheetView>
  </sheetViews>
  <sheetFormatPr defaultColWidth="9.140625" defaultRowHeight="12.75"/>
  <cols>
    <col min="1" max="1" width="47.7109375" style="22" customWidth="1"/>
    <col min="2" max="11" width="23.7109375" style="22" customWidth="1"/>
    <col min="12" max="12" width="19" style="22" customWidth="1"/>
    <col min="13" max="13" width="26.28515625" style="22" customWidth="1"/>
    <col min="14" max="14" width="22.140625" style="22" customWidth="1"/>
    <col min="15" max="22" width="22.7109375" style="22" customWidth="1"/>
    <col min="23" max="16384" width="9.140625" style="22"/>
  </cols>
  <sheetData>
    <row r="1" spans="1:22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2" ht="15">
      <c r="A2" s="77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2" ht="17.25" customHeight="1">
      <c r="A3" s="77" t="s">
        <v>102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22" ht="63" customHeight="1">
      <c r="A4" s="51" t="str">
        <f>'[1]MOÇÃO E REQUERIMENTO'!B7</f>
        <v>EXPEDIENTE</v>
      </c>
      <c r="B4" s="50" t="s">
        <v>50</v>
      </c>
      <c r="C4" s="118" t="s">
        <v>103</v>
      </c>
      <c r="D4" s="118" t="s">
        <v>104</v>
      </c>
      <c r="E4" s="118" t="s">
        <v>105</v>
      </c>
      <c r="F4" s="118" t="s">
        <v>106</v>
      </c>
      <c r="G4" s="118" t="s">
        <v>107</v>
      </c>
      <c r="H4" s="118" t="s">
        <v>108</v>
      </c>
      <c r="I4" s="118" t="s">
        <v>109</v>
      </c>
      <c r="J4" s="118" t="s">
        <v>110</v>
      </c>
      <c r="K4" s="118" t="s">
        <v>111</v>
      </c>
      <c r="L4" s="113" t="s">
        <v>35</v>
      </c>
      <c r="M4" s="125"/>
      <c r="N4" s="50" t="s">
        <v>28</v>
      </c>
      <c r="O4" s="85" t="s">
        <v>112</v>
      </c>
      <c r="P4" s="85" t="s">
        <v>113</v>
      </c>
      <c r="Q4" s="85" t="s">
        <v>114</v>
      </c>
      <c r="R4" s="85" t="s">
        <v>115</v>
      </c>
      <c r="S4" s="69" t="s">
        <v>116</v>
      </c>
      <c r="T4" s="69" t="s">
        <v>117</v>
      </c>
      <c r="U4" s="69" t="s">
        <v>118</v>
      </c>
      <c r="V4" s="69" t="s">
        <v>119</v>
      </c>
    </row>
    <row r="5" spans="1:22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114"/>
      <c r="O5" s="119" t="s">
        <v>96</v>
      </c>
      <c r="P5" s="114" t="s">
        <v>95</v>
      </c>
      <c r="Q5" s="119" t="s">
        <v>96</v>
      </c>
      <c r="R5" s="114" t="s">
        <v>95</v>
      </c>
      <c r="S5" s="119" t="s">
        <v>96</v>
      </c>
      <c r="T5" s="119" t="s">
        <v>96</v>
      </c>
      <c r="U5" s="114" t="s">
        <v>95</v>
      </c>
      <c r="V5" s="114" t="s">
        <v>95</v>
      </c>
    </row>
    <row r="6" spans="1:22" ht="15.75">
      <c r="A6" s="128" t="s">
        <v>57</v>
      </c>
      <c r="N6" s="23"/>
    </row>
    <row r="7" spans="1:22" ht="15.75">
      <c r="A7" s="128" t="s">
        <v>53</v>
      </c>
      <c r="N7" s="23"/>
    </row>
    <row r="8" spans="1:22" ht="15.75">
      <c r="A8" s="128" t="s">
        <v>60</v>
      </c>
      <c r="N8" s="23"/>
    </row>
    <row r="9" spans="1:22" ht="15.75">
      <c r="A9" s="129" t="s">
        <v>61</v>
      </c>
      <c r="N9" s="23"/>
    </row>
    <row r="10" spans="1:22" ht="15.75">
      <c r="A10" s="128" t="s">
        <v>29</v>
      </c>
      <c r="N10" s="23"/>
    </row>
    <row r="11" spans="1:22" ht="15.75">
      <c r="A11" s="128" t="s">
        <v>62</v>
      </c>
      <c r="N11" s="23"/>
    </row>
    <row r="12" spans="1:22" ht="15.75">
      <c r="A12" s="128" t="s">
        <v>22</v>
      </c>
      <c r="N12" s="23"/>
    </row>
    <row r="13" spans="1:22" ht="15.75">
      <c r="A13" s="128" t="s">
        <v>23</v>
      </c>
      <c r="N13" s="23"/>
    </row>
    <row r="14" spans="1:22" ht="15.75">
      <c r="A14" s="128" t="s">
        <v>24</v>
      </c>
      <c r="N14" s="23"/>
    </row>
    <row r="15" spans="1:22" ht="15.75">
      <c r="A15" s="128" t="s">
        <v>63</v>
      </c>
      <c r="N15" s="23"/>
    </row>
    <row r="16" spans="1:22" ht="15.75">
      <c r="A16" s="128" t="s">
        <v>64</v>
      </c>
      <c r="N16" s="23"/>
    </row>
    <row r="17" spans="1:14" ht="15.75">
      <c r="A17" s="128" t="s">
        <v>65</v>
      </c>
      <c r="N17" s="23"/>
    </row>
    <row r="18" spans="1:14" ht="15.75">
      <c r="A18" s="128" t="s">
        <v>25</v>
      </c>
      <c r="N18" s="23"/>
    </row>
    <row r="19" spans="1:14" ht="15.75">
      <c r="A19" s="128" t="s">
        <v>66</v>
      </c>
      <c r="N19" s="23"/>
    </row>
    <row r="20" spans="1:14" ht="15.75">
      <c r="A20" s="128" t="s">
        <v>38</v>
      </c>
      <c r="N20" s="23"/>
    </row>
    <row r="21" spans="1:14" ht="15.75">
      <c r="A21" s="128" t="s">
        <v>26</v>
      </c>
      <c r="N21" s="23"/>
    </row>
    <row r="22" spans="1:14" ht="15.75">
      <c r="A22" s="128" t="s">
        <v>67</v>
      </c>
      <c r="N22" s="23"/>
    </row>
    <row r="23" spans="1:14" ht="15.75">
      <c r="A23" s="128" t="s">
        <v>27</v>
      </c>
      <c r="N23" s="23"/>
    </row>
    <row r="24" spans="1:14" ht="15.75">
      <c r="A24" s="128" t="s">
        <v>55</v>
      </c>
      <c r="N24" s="23"/>
    </row>
    <row r="25" spans="1:14" ht="15.75">
      <c r="A25" s="128" t="s">
        <v>68</v>
      </c>
      <c r="N25" s="23"/>
    </row>
    <row r="26" spans="1:14" ht="15.75">
      <c r="A26" s="128" t="s">
        <v>69</v>
      </c>
      <c r="N26" s="23"/>
    </row>
    <row r="27" spans="1:14" s="25" customFormat="1">
      <c r="A27" s="24" t="s">
        <v>18</v>
      </c>
    </row>
    <row r="28" spans="1:14" s="27" customFormat="1">
      <c r="A28" s="26" t="s">
        <v>19</v>
      </c>
    </row>
    <row r="29" spans="1:14">
      <c r="A29" s="28" t="s">
        <v>11</v>
      </c>
    </row>
    <row r="30" spans="1:14" s="30" customFormat="1">
      <c r="A30" s="29" t="s">
        <v>20</v>
      </c>
    </row>
    <row r="32" spans="1:14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C9" sqref="C9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100</v>
      </c>
      <c r="B2" s="49"/>
      <c r="C2" s="75"/>
    </row>
    <row r="3" spans="1:45" ht="17.25" customHeight="1">
      <c r="A3" s="77" t="s">
        <v>102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1" t="s">
        <v>121</v>
      </c>
      <c r="D4" s="110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 t="s">
        <v>120</v>
      </c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08" t="s">
        <v>98</v>
      </c>
      <c r="E6" s="108"/>
    </row>
    <row r="7" spans="1:45" ht="20.25">
      <c r="A7" s="46" t="s">
        <v>53</v>
      </c>
      <c r="C7" s="115" t="s">
        <v>59</v>
      </c>
      <c r="E7" s="108"/>
    </row>
    <row r="8" spans="1:45" ht="20.25">
      <c r="A8" s="46" t="s">
        <v>60</v>
      </c>
      <c r="C8" s="108" t="s">
        <v>98</v>
      </c>
      <c r="E8" s="108"/>
    </row>
    <row r="9" spans="1:45" ht="20.25">
      <c r="A9" s="83" t="s">
        <v>61</v>
      </c>
      <c r="C9" s="115" t="s">
        <v>99</v>
      </c>
      <c r="E9" s="115"/>
    </row>
    <row r="10" spans="1:45" ht="20.25">
      <c r="A10" s="46" t="s">
        <v>29</v>
      </c>
      <c r="C10" s="115" t="s">
        <v>59</v>
      </c>
      <c r="E10" s="108"/>
    </row>
    <row r="11" spans="1:45" ht="20.25">
      <c r="A11" s="46" t="s">
        <v>62</v>
      </c>
      <c r="C11" s="115" t="s">
        <v>59</v>
      </c>
      <c r="E11" s="108"/>
    </row>
    <row r="12" spans="1:45" ht="20.25">
      <c r="A12" s="46" t="s">
        <v>22</v>
      </c>
      <c r="C12" s="115" t="s">
        <v>59</v>
      </c>
      <c r="E12" s="108"/>
    </row>
    <row r="13" spans="1:45" ht="20.25">
      <c r="A13" s="46" t="s">
        <v>23</v>
      </c>
      <c r="C13" s="115" t="s">
        <v>59</v>
      </c>
      <c r="E13" s="115"/>
    </row>
    <row r="14" spans="1:45" ht="20.25">
      <c r="A14" s="46" t="s">
        <v>24</v>
      </c>
      <c r="C14" s="108" t="s">
        <v>98</v>
      </c>
      <c r="E14" s="108"/>
    </row>
    <row r="15" spans="1:45" ht="20.25">
      <c r="A15" s="46" t="s">
        <v>63</v>
      </c>
      <c r="C15" s="108" t="s">
        <v>98</v>
      </c>
      <c r="E15" s="108"/>
    </row>
    <row r="16" spans="1:45" ht="20.25">
      <c r="A16" s="46" t="s">
        <v>64</v>
      </c>
      <c r="C16" s="108" t="s">
        <v>98</v>
      </c>
      <c r="E16" s="108"/>
    </row>
    <row r="17" spans="1:130" ht="20.25">
      <c r="A17" s="46" t="s">
        <v>65</v>
      </c>
      <c r="C17" s="108" t="s">
        <v>98</v>
      </c>
      <c r="E17" s="108"/>
    </row>
    <row r="18" spans="1:130" ht="20.25">
      <c r="A18" s="46" t="s">
        <v>25</v>
      </c>
      <c r="C18" s="108" t="s">
        <v>98</v>
      </c>
      <c r="E18" s="108"/>
    </row>
    <row r="19" spans="1:130" ht="20.25">
      <c r="A19" s="46" t="s">
        <v>66</v>
      </c>
      <c r="C19" s="108" t="s">
        <v>98</v>
      </c>
      <c r="E19" s="108"/>
    </row>
    <row r="20" spans="1:130" ht="20.25">
      <c r="A20" s="46" t="s">
        <v>38</v>
      </c>
      <c r="C20" s="108" t="s">
        <v>98</v>
      </c>
      <c r="E20" s="108"/>
    </row>
    <row r="21" spans="1:130" ht="20.25">
      <c r="A21" s="46" t="s">
        <v>26</v>
      </c>
      <c r="C21" s="115" t="s">
        <v>59</v>
      </c>
      <c r="E21" s="108"/>
    </row>
    <row r="22" spans="1:130" ht="20.25">
      <c r="A22" s="46" t="s">
        <v>67</v>
      </c>
      <c r="C22" s="108" t="s">
        <v>98</v>
      </c>
      <c r="E22" s="108"/>
    </row>
    <row r="23" spans="1:130" ht="20.25">
      <c r="A23" s="46" t="s">
        <v>27</v>
      </c>
      <c r="C23" s="108" t="s">
        <v>98</v>
      </c>
      <c r="E23" s="108"/>
    </row>
    <row r="24" spans="1:130" ht="20.25">
      <c r="A24" s="46" t="s">
        <v>55</v>
      </c>
      <c r="C24" s="108" t="s">
        <v>98</v>
      </c>
      <c r="E24" s="108"/>
    </row>
    <row r="25" spans="1:130" ht="20.25">
      <c r="A25" s="46" t="s">
        <v>68</v>
      </c>
      <c r="C25" s="108" t="s">
        <v>98</v>
      </c>
      <c r="E25" s="108"/>
    </row>
    <row r="26" spans="1:130" ht="20.25">
      <c r="A26" s="46" t="s">
        <v>69</v>
      </c>
      <c r="C26" s="108" t="s">
        <v>98</v>
      </c>
      <c r="E26" s="108"/>
    </row>
    <row r="27" spans="1:130" s="16" customFormat="1" ht="15.75">
      <c r="A27" s="15" t="s">
        <v>18</v>
      </c>
      <c r="B27"/>
      <c r="C27" s="104">
        <f>COUNTIF(C6:C26,"sim")</f>
        <v>14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6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H5" sqref="H5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7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7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1" t="s">
        <v>5</v>
      </c>
      <c r="B4" s="120" t="s">
        <v>7</v>
      </c>
      <c r="C4" s="107" t="s">
        <v>123</v>
      </c>
      <c r="D4" s="107" t="s">
        <v>122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8" customFormat="1" ht="51.75" customHeight="1">
      <c r="B5" s="76"/>
      <c r="C5" s="114" t="s">
        <v>97</v>
      </c>
      <c r="D5" s="114" t="s">
        <v>95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AA5" s="76"/>
      <c r="AB5" s="76"/>
    </row>
    <row r="6" spans="1:30" ht="18">
      <c r="A6" s="130" t="s">
        <v>57</v>
      </c>
      <c r="C6" s="108" t="s">
        <v>98</v>
      </c>
      <c r="D6" s="108" t="s">
        <v>98</v>
      </c>
      <c r="V6" s="7"/>
      <c r="W6" s="7"/>
    </row>
    <row r="7" spans="1:30" ht="18">
      <c r="A7" s="130" t="s">
        <v>53</v>
      </c>
      <c r="C7" s="108" t="s">
        <v>98</v>
      </c>
      <c r="D7" s="108" t="s">
        <v>98</v>
      </c>
      <c r="V7" s="7"/>
      <c r="W7" s="7"/>
    </row>
    <row r="8" spans="1:30" ht="18">
      <c r="A8" s="130" t="s">
        <v>60</v>
      </c>
      <c r="C8" s="108" t="s">
        <v>98</v>
      </c>
      <c r="D8" s="108" t="s">
        <v>98</v>
      </c>
      <c r="V8" s="7"/>
      <c r="W8" s="7"/>
    </row>
    <row r="9" spans="1:30" ht="18">
      <c r="A9" s="131" t="s">
        <v>61</v>
      </c>
      <c r="C9" s="115" t="s">
        <v>99</v>
      </c>
      <c r="D9" s="115" t="s">
        <v>99</v>
      </c>
      <c r="V9" s="7"/>
      <c r="W9" s="7"/>
    </row>
    <row r="10" spans="1:30" ht="18">
      <c r="A10" s="130" t="s">
        <v>29</v>
      </c>
      <c r="C10" s="108" t="s">
        <v>98</v>
      </c>
      <c r="D10" s="108" t="s">
        <v>98</v>
      </c>
      <c r="V10" s="7"/>
      <c r="W10" s="7"/>
    </row>
    <row r="11" spans="1:30" ht="18">
      <c r="A11" s="130" t="s">
        <v>62</v>
      </c>
      <c r="C11" s="115" t="s">
        <v>59</v>
      </c>
      <c r="D11" s="115" t="s">
        <v>59</v>
      </c>
      <c r="V11" s="7"/>
      <c r="W11" s="7"/>
    </row>
    <row r="12" spans="1:30" ht="18">
      <c r="A12" s="130" t="s">
        <v>22</v>
      </c>
      <c r="C12" s="115" t="s">
        <v>59</v>
      </c>
      <c r="D12" s="115" t="s">
        <v>59</v>
      </c>
      <c r="V12" s="7"/>
      <c r="W12" s="7"/>
    </row>
    <row r="13" spans="1:30" ht="18">
      <c r="A13" s="130" t="s">
        <v>23</v>
      </c>
      <c r="C13" s="115" t="s">
        <v>59</v>
      </c>
      <c r="D13" s="115" t="s">
        <v>59</v>
      </c>
      <c r="V13" s="7"/>
      <c r="W13" s="7"/>
    </row>
    <row r="14" spans="1:30" ht="18">
      <c r="A14" s="130" t="s">
        <v>24</v>
      </c>
      <c r="C14" s="108" t="s">
        <v>98</v>
      </c>
      <c r="D14" s="108" t="s">
        <v>98</v>
      </c>
      <c r="V14" s="7"/>
      <c r="W14" s="7"/>
    </row>
    <row r="15" spans="1:30" ht="18">
      <c r="A15" s="130" t="s">
        <v>63</v>
      </c>
      <c r="C15" s="108" t="s">
        <v>98</v>
      </c>
      <c r="D15" s="108" t="s">
        <v>98</v>
      </c>
      <c r="V15" s="7"/>
      <c r="W15" s="7"/>
    </row>
    <row r="16" spans="1:30" ht="18">
      <c r="A16" s="130" t="s">
        <v>64</v>
      </c>
      <c r="C16" s="108" t="s">
        <v>98</v>
      </c>
      <c r="D16" s="108" t="s">
        <v>98</v>
      </c>
      <c r="V16" s="7"/>
      <c r="W16" s="7"/>
    </row>
    <row r="17" spans="1:124" ht="15" customHeight="1">
      <c r="A17" s="130" t="s">
        <v>65</v>
      </c>
      <c r="C17" s="108" t="s">
        <v>98</v>
      </c>
      <c r="D17" s="108" t="s">
        <v>98</v>
      </c>
      <c r="U17" s="8"/>
      <c r="V17" s="7"/>
      <c r="W17" s="7"/>
    </row>
    <row r="18" spans="1:124" ht="18">
      <c r="A18" s="130" t="s">
        <v>25</v>
      </c>
      <c r="C18" s="108" t="s">
        <v>98</v>
      </c>
      <c r="D18" s="108" t="s">
        <v>98</v>
      </c>
      <c r="V18" s="7"/>
      <c r="W18" s="7"/>
    </row>
    <row r="19" spans="1:124" ht="18">
      <c r="A19" s="130" t="s">
        <v>66</v>
      </c>
      <c r="C19" s="108" t="s">
        <v>98</v>
      </c>
      <c r="D19" s="108" t="s">
        <v>98</v>
      </c>
      <c r="V19" s="7"/>
      <c r="W19" s="7"/>
    </row>
    <row r="20" spans="1:124" ht="18">
      <c r="A20" s="130" t="s">
        <v>38</v>
      </c>
      <c r="C20" s="108" t="s">
        <v>98</v>
      </c>
      <c r="D20" s="108" t="s">
        <v>98</v>
      </c>
      <c r="V20" s="7"/>
      <c r="W20" s="7"/>
    </row>
    <row r="21" spans="1:124" ht="18">
      <c r="A21" s="130" t="s">
        <v>26</v>
      </c>
      <c r="C21" s="115" t="s">
        <v>59</v>
      </c>
      <c r="D21" s="115" t="s">
        <v>59</v>
      </c>
      <c r="V21" s="7"/>
      <c r="W21" s="7"/>
    </row>
    <row r="22" spans="1:124" ht="18">
      <c r="A22" s="130" t="s">
        <v>67</v>
      </c>
      <c r="C22" s="108" t="s">
        <v>98</v>
      </c>
      <c r="D22" s="108" t="s">
        <v>98</v>
      </c>
      <c r="V22" s="7"/>
      <c r="W22" s="7"/>
    </row>
    <row r="23" spans="1:124" ht="18">
      <c r="A23" s="130" t="s">
        <v>27</v>
      </c>
      <c r="C23" s="108" t="s">
        <v>98</v>
      </c>
      <c r="D23" s="108" t="s">
        <v>98</v>
      </c>
      <c r="V23" s="7"/>
      <c r="W23" s="7"/>
    </row>
    <row r="24" spans="1:124" ht="18">
      <c r="A24" s="130" t="s">
        <v>55</v>
      </c>
      <c r="C24" s="108" t="s">
        <v>98</v>
      </c>
      <c r="D24" s="108" t="s">
        <v>98</v>
      </c>
      <c r="V24" s="7"/>
      <c r="W24" s="7"/>
    </row>
    <row r="25" spans="1:124" ht="18">
      <c r="A25" s="130" t="s">
        <v>68</v>
      </c>
      <c r="C25" s="108" t="s">
        <v>98</v>
      </c>
      <c r="D25" s="108" t="s">
        <v>98</v>
      </c>
      <c r="V25" s="7"/>
      <c r="W25" s="7"/>
    </row>
    <row r="26" spans="1:124" ht="18">
      <c r="A26" s="130" t="s">
        <v>69</v>
      </c>
      <c r="C26" s="108" t="s">
        <v>98</v>
      </c>
      <c r="D26" s="108" t="s">
        <v>98</v>
      </c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4">
        <f t="shared" ref="C27:D27" si="1">COUNTIF(C6:C26,"sim")</f>
        <v>16</v>
      </c>
      <c r="D27" s="104">
        <f t="shared" si="1"/>
        <v>16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5">
        <f t="shared" ref="C28:D28" si="7">COUNTIF(C6:C26,"não")</f>
        <v>0</v>
      </c>
      <c r="D28" s="105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4</v>
      </c>
      <c r="D29" s="40">
        <f t="shared" si="13"/>
        <v>4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:D30" si="19">COUNTIF(C6:C26,"abstenção")</f>
        <v>0</v>
      </c>
      <c r="D30" s="106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tabSelected="1" workbookViewId="0">
      <pane xSplit="1" topLeftCell="B1" activePane="topRight" state="frozen"/>
      <selection pane="topRight" activeCell="K13" sqref="K13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100</v>
      </c>
      <c r="B2" s="2"/>
    </row>
    <row r="3" spans="1:3" ht="15.75" thickBot="1">
      <c r="A3" s="122" t="s">
        <v>102</v>
      </c>
      <c r="B3" s="2"/>
    </row>
    <row r="4" spans="1:3" ht="78.75" customHeight="1" thickBot="1">
      <c r="A4" s="121" t="s">
        <v>5</v>
      </c>
      <c r="B4" s="112" t="s">
        <v>21</v>
      </c>
      <c r="C4" s="107" t="s">
        <v>124</v>
      </c>
    </row>
    <row r="5" spans="1:3" s="6" customFormat="1" ht="60.75" customHeight="1">
      <c r="A5" s="123"/>
      <c r="B5" s="112"/>
      <c r="C5" s="114" t="s">
        <v>97</v>
      </c>
    </row>
    <row r="6" spans="1:3" ht="15.75">
      <c r="A6" s="128" t="s">
        <v>57</v>
      </c>
      <c r="C6" s="108" t="s">
        <v>98</v>
      </c>
    </row>
    <row r="7" spans="1:3" ht="15.75">
      <c r="A7" s="128" t="s">
        <v>53</v>
      </c>
      <c r="C7" s="108" t="s">
        <v>98</v>
      </c>
    </row>
    <row r="8" spans="1:3" ht="15.75">
      <c r="A8" s="128" t="s">
        <v>60</v>
      </c>
      <c r="C8" s="108" t="s">
        <v>98</v>
      </c>
    </row>
    <row r="9" spans="1:3" ht="15.75">
      <c r="A9" s="129" t="s">
        <v>61</v>
      </c>
      <c r="C9" s="108" t="s">
        <v>98</v>
      </c>
    </row>
    <row r="10" spans="1:3" ht="15.75">
      <c r="A10" s="128" t="s">
        <v>29</v>
      </c>
      <c r="C10" s="108" t="s">
        <v>98</v>
      </c>
    </row>
    <row r="11" spans="1:3" ht="15.75">
      <c r="A11" s="128" t="s">
        <v>62</v>
      </c>
      <c r="C11" s="115" t="s">
        <v>59</v>
      </c>
    </row>
    <row r="12" spans="1:3" ht="15.75">
      <c r="A12" s="128" t="s">
        <v>22</v>
      </c>
      <c r="C12" s="115" t="s">
        <v>59</v>
      </c>
    </row>
    <row r="13" spans="1:3" ht="15.75">
      <c r="A13" s="128" t="s">
        <v>23</v>
      </c>
      <c r="B13" s="147"/>
      <c r="C13" s="115" t="s">
        <v>59</v>
      </c>
    </row>
    <row r="14" spans="1:3" ht="15.75">
      <c r="A14" s="128" t="s">
        <v>24</v>
      </c>
      <c r="C14" s="108" t="s">
        <v>98</v>
      </c>
    </row>
    <row r="15" spans="1:3" ht="15.75">
      <c r="A15" s="128" t="s">
        <v>63</v>
      </c>
      <c r="C15" s="108" t="s">
        <v>98</v>
      </c>
    </row>
    <row r="16" spans="1:3" ht="15.75">
      <c r="A16" s="128" t="s">
        <v>64</v>
      </c>
      <c r="C16" s="108" t="s">
        <v>98</v>
      </c>
    </row>
    <row r="17" spans="1:3" ht="15.75">
      <c r="A17" s="128" t="s">
        <v>65</v>
      </c>
      <c r="C17" s="108" t="s">
        <v>98</v>
      </c>
    </row>
    <row r="18" spans="1:3" ht="15.75">
      <c r="A18" s="128" t="s">
        <v>25</v>
      </c>
      <c r="C18" s="108" t="s">
        <v>98</v>
      </c>
    </row>
    <row r="19" spans="1:3" ht="15.75">
      <c r="A19" s="128" t="s">
        <v>66</v>
      </c>
      <c r="C19" s="108" t="s">
        <v>98</v>
      </c>
    </row>
    <row r="20" spans="1:3" ht="15.75">
      <c r="A20" s="128" t="s">
        <v>38</v>
      </c>
      <c r="C20" s="108" t="s">
        <v>98</v>
      </c>
    </row>
    <row r="21" spans="1:3" ht="15.75">
      <c r="A21" s="128" t="s">
        <v>26</v>
      </c>
      <c r="C21" s="115" t="s">
        <v>59</v>
      </c>
    </row>
    <row r="22" spans="1:3" ht="15.75">
      <c r="A22" s="128" t="s">
        <v>67</v>
      </c>
      <c r="C22" s="108" t="s">
        <v>98</v>
      </c>
    </row>
    <row r="23" spans="1:3" ht="15.75">
      <c r="A23" s="128" t="s">
        <v>27</v>
      </c>
      <c r="C23" s="108" t="s">
        <v>98</v>
      </c>
    </row>
    <row r="24" spans="1:3" ht="15.75">
      <c r="A24" s="128" t="s">
        <v>55</v>
      </c>
      <c r="C24" s="108" t="s">
        <v>98</v>
      </c>
    </row>
    <row r="25" spans="1:3" ht="15.75">
      <c r="A25" s="128" t="s">
        <v>68</v>
      </c>
      <c r="C25" s="108" t="s">
        <v>98</v>
      </c>
    </row>
    <row r="26" spans="1:3" ht="15.75">
      <c r="A26" s="128" t="s">
        <v>69</v>
      </c>
      <c r="C26" s="108" t="s">
        <v>98</v>
      </c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17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4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100</v>
      </c>
      <c r="B2" s="2"/>
      <c r="C2" s="54"/>
      <c r="D2" s="54"/>
      <c r="E2" s="54"/>
    </row>
    <row r="3" spans="1:9" ht="15.75" thickBot="1">
      <c r="A3" s="122" t="s">
        <v>102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C12" sqref="C12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100</v>
      </c>
      <c r="B2" s="2"/>
    </row>
    <row r="3" spans="1:25">
      <c r="A3" s="77" t="s">
        <v>102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2025-04-28T15:49:22Z</dcterms:modified>
</cp:coreProperties>
</file>