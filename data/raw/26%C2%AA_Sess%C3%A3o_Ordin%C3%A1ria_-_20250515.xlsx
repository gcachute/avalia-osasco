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454448B-9373-4A00-A8DE-15255F6205A0}" xr6:coauthVersionLast="47" xr6:coauthVersionMax="47" xr10:uidLastSave="{00000000-0000-0000-0000-000000000000}"/>
  <bookViews>
    <workbookView xWindow="-120" yWindow="-120" windowWidth="29040" windowHeight="15720" tabRatio="849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F27" i="2"/>
  <c r="F28" i="2"/>
  <c r="F29" i="2"/>
  <c r="F30" i="2"/>
  <c r="C28" i="10" l="1"/>
  <c r="C29" i="10"/>
  <c r="C30" i="10"/>
  <c r="C31" i="10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<sst xmlns="http://schemas.openxmlformats.org/spreadsheetml/2006/main" count="415" uniqueCount="127">
  <si>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</si>
  <si>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</si>
  <si>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</si>
  <si>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</si>
  <si>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</si>
  <si>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</si>
  <si>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</si>
  <si>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</si>
  <si>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</si>
  <si>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</si>
  <si>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</si>
  <si>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</si>
  <si>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</si>
  <si>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</si>
  <si>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</si>
  <si>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</si>
  <si>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</si>
  <si>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</si>
  <si>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</si>
  <si>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</si>
  <si>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</si>
  <si>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</si>
  <si>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</si>
  <si>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</si>
  <si>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</si>
  <si>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</si>
  <si>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</si>
  <si>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</si>
  <si>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</si>
  <si>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</si>
  <si>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</si>
  <si>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</si>
  <si>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</si>
  <si>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</si>
  <si>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</si>
  <si>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</si>
  <si>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</si>
  <si>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</si>
  <si>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</si>
  <si>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</si>
  <si>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</si>
  <si>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</si>
  <si>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</si>
  <si>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</si>
  <si>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</si>
  <si>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</si>
  <si>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</si>
  <si>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</si>
  <si>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</si>
  <si>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</si>
  <si>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</si>
  <si>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</si>
  <si>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</si>
  <si>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</si>
  <si>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</si>
  <si>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</si>
  <si>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</si>
  <si>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</si>
  <si>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</si>
  <si>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</si>
  <si>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</si>
  <si>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</si>
  <si>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</si>
  <si>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</si>
  <si>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</si>
  <si>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</si>
  <si>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</si>
  <si>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</si>
  <si>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</si>
  <si>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</si>
  <si>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</si>
  <si>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</si>
  <si>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</si>
  <si>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</si>
  <si>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</si>
  <si>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</si>
  <si>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</si>
  <si>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</si>
  <si>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</si>
  <si>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</si>
  <si>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</si>
  <si>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</si>
  <si>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</si>
  <si>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</si>
  <si>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</si>
  <si>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</si>
  <si>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</si>
  <si>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</si>
  <si>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</si>
  <si>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</si>
  <si>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</si>
  <si>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</si>
  <si>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</si>
  <si>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</si>
  <si>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</si>
  <si>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</si>
  <si>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</si>
  <si>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r>
      <t>MOÇÃO DE APLAUSOS Nº 173/2025 – PEDRINHO CANTAGESSI -</t>
    </r>
    <r>
      <rPr>
        <sz val="11"/>
        <color theme="1"/>
        <rFont val="Arial"/>
        <family val="2"/>
      </rPr>
      <t xml:space="preserve"> À Scherlly Vieira de Paiva Braga pela conquista do 1º Campeonato Natural de Bodybuilding Fitness de Joinville, realizado em 4 de maio de 2025.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</si>
  <si>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</si>
  <si>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CONGRATULAÇÕES Nº 175/2025 – DÉLBIO TERUEL – </t>
    </r>
    <r>
      <rPr>
        <sz val="11"/>
        <color theme="1"/>
        <rFont val="Arial"/>
        <family val="2"/>
      </rPr>
      <t>Ao corpo diretivo do CEU Zilda Arns — Sras. Pamela Santner (Diretora), Vanessa Alves (Vice-diretora), Priscila Santana (Vice-diretora), Cintia Tymoschenko (Coordenadora) e Lícia Regina Duro (Coordenadora) — pela postura ética, olhar humanizado e destacada capacidade de liderança, que têm promovido um ambiente escolar seguro, inclusivo e inovador.</t>
    </r>
  </si>
  <si>
    <r>
      <t xml:space="preserve">MOÇÃO DE APOIO Nº 177/2025 – DÉLBIO TERUEL - </t>
    </r>
    <r>
      <rPr>
        <sz val="11"/>
        <color theme="1"/>
        <rFont val="Arial"/>
        <family val="2"/>
      </rPr>
      <t>Ao Projeto de Decreto Legislativo nº 3/2025 e ao Projeto de Lei nº 1904/2024, que seguem em tramitação no Congresso Nacional.</t>
    </r>
  </si>
  <si>
    <r>
      <t xml:space="preserve">MOÇÃO DE APELO Nº 178/2025 – DÉLBIO TERUEL - </t>
    </r>
    <r>
      <rPr>
        <sz val="11"/>
        <color theme="1"/>
        <rFont val="Arial"/>
        <family val="2"/>
      </rPr>
      <t>Ao Executivo Municipal para que se amplie a prestação de serviços de Equoterapia no Município.</t>
    </r>
  </si>
  <si>
    <r>
      <t xml:space="preserve">MOÇÃO DE APLAUSOS Nº 190/2025 – RODOLFO CARA - </t>
    </r>
    <r>
      <rPr>
        <sz val="11"/>
        <color theme="1"/>
        <rFont val="Arial"/>
        <family val="2"/>
      </rPr>
      <t>A Luciano Camandoni por motivo de seu trabalho em prol do nosso Governo e da população de nossa cidade.</t>
    </r>
  </si>
  <si>
    <t>26ª SESSÃO ORDINÁRIA</t>
  </si>
  <si>
    <t>DIA 15 DE MAIO DE 2025 - QUINTA-FEIRA</t>
  </si>
  <si>
    <t>DIA 15 DE MAIO DE 2025 - QUINTA–FEIRA</t>
  </si>
  <si>
    <t>Justificativa de ausência do Vereador Heber do Juntoz.</t>
  </si>
  <si>
    <r>
      <t xml:space="preserve">Decretos nº 14.642 e 14.644 de maio de 2025 - Prefeito do Município de Osasco -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</si>
  <si>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Lei nº 71/2025- Prefeito do Município de Osasco  - </t>
    </r>
    <r>
      <rPr>
        <sz val="12"/>
        <color rgb="FF000000"/>
        <rFont val="Calibri"/>
        <family val="2"/>
      </rPr>
      <t>Dispõe sobre a alteração da Lei n° 5.311, de 22 de dezembro de 2023, que autorizou o Poder Executivo a contratar operação de crédito internacional com o Fundo Financeiro para o Desenvolvimento da Bacia do Prata - FONPLATA, e a oferecer garantias.</t>
    </r>
  </si>
  <si>
    <r>
      <t xml:space="preserve">Processo eletrônico eTC-4383/989/22-5 – Tribunal de Contas do Estado de São Paulo - </t>
    </r>
    <r>
      <rPr>
        <sz val="12"/>
        <color rgb="FF000000"/>
        <rFont val="Calibri"/>
        <family val="2"/>
      </rPr>
      <t>Referente à prestação de contas da Prefeitura Municipal de Osasco, exercício de 2022, para os fins previstos no artigo 31, § 2º, da Constituição Federal, combinado com o artigo 150 da Constituição do Estado de São Paulo.</t>
    </r>
  </si>
  <si>
    <r>
      <t xml:space="preserve">Projeto de Lei nº 45/2025 – Laércio Mendonça -   </t>
    </r>
    <r>
      <rPr>
        <sz val="12"/>
        <color rgb="FF000000"/>
        <rFont val="Calibri"/>
        <family val="2"/>
      </rPr>
      <t>Institui a Semana da Saúde Mental do Servidor Público.</t>
    </r>
  </si>
  <si>
    <r>
      <t xml:space="preserve">Projeto de Lei nº 63/2025 – Guiga - </t>
    </r>
    <r>
      <rPr>
        <sz val="12"/>
        <color rgb="FF000000"/>
        <rFont val="Calibri"/>
        <family val="2"/>
      </rPr>
      <t>Institui o “Dia da Paz e Gentileza nas Escolas”.</t>
    </r>
  </si>
  <si>
    <r>
      <t xml:space="preserve">Projeto de Lei nº 64/2025 – Guiga – </t>
    </r>
    <r>
      <rPr>
        <sz val="12"/>
        <color rgb="FF000000"/>
        <rFont val="Calibri"/>
        <family val="2"/>
      </rPr>
      <t>Institui no calendário oficial do Município de Osasco o “Oz com Jesus”.</t>
    </r>
  </si>
  <si>
    <r>
      <t xml:space="preserve">Projeto de Lei nº 65/2025 – Guiga - </t>
    </r>
    <r>
      <rPr>
        <sz val="12"/>
        <color rgb="FF000000"/>
        <rFont val="Calibri"/>
        <family val="2"/>
      </rPr>
      <t>Institui a Semana Municipal de Conscientização sobre a Segurança Digital a Proteção de Dados.</t>
    </r>
  </si>
  <si>
    <r>
      <t xml:space="preserve">Projeto de Lei nº 67/2025 – Guiga – </t>
    </r>
    <r>
      <rPr>
        <sz val="12"/>
        <color rgb="FF000000"/>
        <rFont val="Calibri"/>
        <family val="2"/>
      </rPr>
      <t>Institui a Semana Municipal do Bem-estar.</t>
    </r>
  </si>
  <si>
    <r>
      <t xml:space="preserve">MOÇÃO DE APOIO Nº 174/2025 – STEPHANE ROSSI – </t>
    </r>
    <r>
      <rPr>
        <sz val="11"/>
        <color theme="1"/>
        <rFont val="Arial"/>
        <family val="2"/>
      </rPr>
      <t>À Semana Municipal de Combate à Pedofilia.</t>
    </r>
    <r>
      <rPr>
        <b/>
        <sz val="11"/>
        <color theme="1"/>
        <rFont val="Arial"/>
        <family val="1"/>
      </rPr>
      <t xml:space="preserve"> </t>
    </r>
  </si>
  <si>
    <r>
      <t xml:space="preserve">MOÇÃO DE APLAUSOS Nº 176/2025 – PAULO JÚNIOR - </t>
    </r>
    <r>
      <rPr>
        <sz val="11"/>
        <color theme="1"/>
        <rFont val="Arial"/>
        <family val="2"/>
      </rPr>
      <t>Aos Policiais Militares 3º Sargento PM Adriana e Soldado PM Mota por salvarem uma bebê engasgada no Bussocaba.</t>
    </r>
  </si>
  <si>
    <r>
      <t>MOÇÃO DE APOIO Nº 182/2025 – CARMÔNIO BASTOS -</t>
    </r>
    <r>
      <rPr>
        <sz val="11"/>
        <color theme="1"/>
        <rFont val="Arial"/>
        <family val="2"/>
      </rPr>
      <t xml:space="preserve"> À Cidadania Fiscal e Solidária (MACFS) do Estado de São Paulo.</t>
    </r>
  </si>
  <si>
    <r>
      <t xml:space="preserve">MOÇÃO DE RECONHECIMENTO Nº 191/2025 – LAÉRCIO MENDONÇA - </t>
    </r>
    <r>
      <rPr>
        <sz val="11"/>
        <color theme="1"/>
        <rFont val="Arial"/>
        <family val="2"/>
      </rPr>
      <t>A Vagner Rogério da Silva, professor Tcharlão, por sua trajetória admirável e superação ao câncer.</t>
    </r>
  </si>
  <si>
    <r>
      <t>MOÇÃO DE RECONHECIMENTO Nº 192/2025 – GABRIEL SAÚDE -</t>
    </r>
    <r>
      <rPr>
        <sz val="11"/>
        <color theme="1"/>
        <rFont val="Arial"/>
        <family val="2"/>
      </rPr>
      <t xml:space="preserve"> Á Egnice Pereira de Oliveira, carinhosamente conhecida como Nice do Curativo, e Elizete Kimie Kiyota, conhecida como Kimie, em homenagem aos relevantes serviços prestados à saúde pública do município de Osasco.</t>
    </r>
  </si>
  <si>
    <r>
      <t xml:space="preserve">MOÇÃO DE APLAUSOS Nº 193/2025 – GUIGA - </t>
    </r>
    <r>
      <rPr>
        <sz val="11"/>
        <color theme="1"/>
        <rFont val="Arial"/>
        <family val="2"/>
      </rPr>
      <t>A Rafael de Oliveira Pinheiro pela conquista do 1º lugar no pódio da Corrida do 1 Milhão, realizada em Jundiaí, tornando-se o primeiro campeão na categoria Truggy.</t>
    </r>
  </si>
  <si>
    <r>
      <t>MOÇÃO DE RECONHECIMENTO Nº 194/2025 - GUILHERME PRADO -</t>
    </r>
    <r>
      <rPr>
        <sz val="11"/>
        <color theme="1"/>
        <rFont val="Arial"/>
        <family val="2"/>
      </rPr>
      <t xml:space="preserve"> À Secretaria de Transportes e Mobilidade Urbana - SETRAN, pelo Dia Nacional do Agente de Trânsito, celebrado em 11 de maio, enaltecendo o trabalho essencial desses profissionais, exemplificado pela atuação comprometida dos agentes Djaci Bezerra da Silva e Francisco Silva de Souza.</t>
    </r>
  </si>
  <si>
    <r>
      <t xml:space="preserve">MOÇÃO DE APLAUSOS Nº 195/2025 – ALEXANDRE CAPRIOTTI - </t>
    </r>
    <r>
      <rPr>
        <sz val="11"/>
        <color theme="1"/>
        <rFont val="Arial"/>
        <family val="2"/>
      </rPr>
      <t>Aos garis do município de Osasco pelo Dia do Gari a ser comemorado no dia 16 de maio.</t>
    </r>
  </si>
  <si>
    <r>
      <t xml:space="preserve">MOÇÃO DE CONGRATULAÇÕES Nº 196/2025 – EMERSON OSASCO - </t>
    </r>
    <r>
      <rPr>
        <sz val="11"/>
        <color theme="1"/>
        <rFont val="Arial"/>
        <family val="2"/>
      </rPr>
      <t>À Maria do Desterro Pereira Bento Leal, com o objetivo de reconhecer e valorizar seu trabalho essencial como Assistente Social e parabenizar a todos profissionais da área pelo Dia do Assistente Social, comemorado em 15 de maio, cuja atuação é fundamental para a garantia de direitos, promoção da cidadania e combate às desigualdades sociais.</t>
    </r>
  </si>
  <si>
    <r>
      <t xml:space="preserve">MOÇÃO DE APLAUSOS Nº 197/2025 – RODOLFO CARA – </t>
    </r>
    <r>
      <rPr>
        <sz val="11"/>
        <color theme="1"/>
        <rFont val="Arial"/>
        <family val="2"/>
      </rPr>
      <t>Ao Piloto Rodolpho Isart Moraes, exemplo de superação e excelência, orgulho de Osasco e do motociclismo brasileiro.</t>
    </r>
  </si>
  <si>
    <r>
      <t>PROJETO DE LEI Nº 29/2025 – STEPHANE ROSSI –</t>
    </r>
    <r>
      <rPr>
        <sz val="14"/>
        <color theme="1"/>
        <rFont val="Arial"/>
        <family val="2"/>
      </rPr>
      <t xml:space="preserve"> Institui o Dia Municipal do Natal Encantado. </t>
    </r>
  </si>
  <si>
    <r>
      <t>PROJETO DE LEI Nº 34/2025 – CARMÔNIO BASTOS –</t>
    </r>
    <r>
      <rPr>
        <sz val="14"/>
        <color theme="1"/>
        <rFont val="Arial"/>
        <family val="2"/>
      </rPr>
      <t xml:space="preserve"> Institui a Festa da Família no Calendário Oficial.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</si>
</sst>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opLeftCell="A16" zoomScale="70" zoomScaleNormal="70" workbookViewId="0">
      <selection activeCell="C54" sqref="C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103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104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/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/>
      <c r="K6" s="103" t="s">
        <v>57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/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/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2</v>
      </c>
      <c r="G9" s="103" t="s">
        <v>57</v>
      </c>
      <c r="H9" s="63"/>
      <c r="I9" s="62"/>
      <c r="J9" s="63"/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1</v>
      </c>
      <c r="G10" s="62" t="s">
        <v>56</v>
      </c>
      <c r="H10" s="63"/>
      <c r="I10" s="62"/>
      <c r="J10" s="63"/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/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/>
      <c r="K12" s="103" t="s">
        <v>57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1</v>
      </c>
      <c r="G13" s="62" t="s">
        <v>56</v>
      </c>
      <c r="H13" s="63"/>
      <c r="I13" s="62"/>
      <c r="J13" s="63"/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2</v>
      </c>
      <c r="C14" s="103" t="s">
        <v>57</v>
      </c>
      <c r="D14" s="63"/>
      <c r="E14" s="62"/>
      <c r="F14" s="89">
        <v>1</v>
      </c>
      <c r="G14" s="62" t="s">
        <v>56</v>
      </c>
      <c r="H14" s="63"/>
      <c r="I14" s="62"/>
      <c r="J14" s="63"/>
      <c r="K14" s="103" t="s">
        <v>57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1</v>
      </c>
      <c r="G15" s="62" t="s">
        <v>56</v>
      </c>
      <c r="H15" s="63"/>
      <c r="I15" s="62"/>
      <c r="J15" s="63"/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2</v>
      </c>
      <c r="C16" s="103" t="s">
        <v>57</v>
      </c>
      <c r="D16" s="63"/>
      <c r="E16" s="62"/>
      <c r="F16" s="89">
        <v>2</v>
      </c>
      <c r="G16" s="103" t="s">
        <v>57</v>
      </c>
      <c r="H16" s="63"/>
      <c r="I16" s="62"/>
      <c r="J16" s="63"/>
      <c r="K16" s="103" t="s">
        <v>57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1</v>
      </c>
      <c r="C17" s="62" t="s">
        <v>56</v>
      </c>
      <c r="D17" s="63"/>
      <c r="E17" s="62"/>
      <c r="F17" s="89">
        <v>1</v>
      </c>
      <c r="G17" s="62" t="s">
        <v>56</v>
      </c>
      <c r="H17" s="63"/>
      <c r="I17" s="68"/>
      <c r="J17" s="63"/>
      <c r="K17" s="103" t="s">
        <v>57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2</v>
      </c>
      <c r="C18" s="103" t="s">
        <v>57</v>
      </c>
      <c r="D18" s="63"/>
      <c r="E18" s="62"/>
      <c r="F18" s="89">
        <v>1</v>
      </c>
      <c r="G18" s="62" t="s">
        <v>56</v>
      </c>
      <c r="H18" s="63"/>
      <c r="I18" s="62"/>
      <c r="J18" s="63"/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2</v>
      </c>
      <c r="C19" s="103" t="s">
        <v>57</v>
      </c>
      <c r="D19" s="63"/>
      <c r="E19" s="103"/>
      <c r="F19" s="89">
        <v>1</v>
      </c>
      <c r="G19" s="62" t="s">
        <v>56</v>
      </c>
      <c r="H19" s="63"/>
      <c r="I19" s="62"/>
      <c r="J19" s="63"/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1</v>
      </c>
      <c r="C20" s="62" t="s">
        <v>56</v>
      </c>
      <c r="D20" s="63"/>
      <c r="E20" s="62"/>
      <c r="F20" s="89">
        <v>1</v>
      </c>
      <c r="G20" s="62" t="s">
        <v>56</v>
      </c>
      <c r="H20" s="63"/>
      <c r="I20" s="68"/>
      <c r="J20" s="63"/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/>
      <c r="K21" s="103" t="s">
        <v>57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/>
      <c r="K22" s="62" t="s">
        <v>56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2</v>
      </c>
      <c r="G23" s="103" t="s">
        <v>57</v>
      </c>
      <c r="H23" s="63"/>
      <c r="I23" s="62"/>
      <c r="J23" s="63"/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1</v>
      </c>
      <c r="C24" s="62" t="s">
        <v>56</v>
      </c>
      <c r="D24" s="63"/>
      <c r="E24" s="62"/>
      <c r="F24" s="89">
        <v>1</v>
      </c>
      <c r="G24" s="62" t="s">
        <v>56</v>
      </c>
      <c r="H24" s="63"/>
      <c r="I24" s="62"/>
      <c r="J24" s="63"/>
      <c r="K24" s="103" t="s">
        <v>57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/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12</v>
      </c>
      <c r="C26" s="97" t="s">
        <v>50</v>
      </c>
      <c r="D26" s="99"/>
      <c r="E26" s="97"/>
      <c r="F26" s="99">
        <v>16</v>
      </c>
      <c r="G26" s="97" t="s">
        <v>50</v>
      </c>
      <c r="H26" s="101"/>
      <c r="I26" s="102"/>
      <c r="J26" s="99">
        <v>13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9</v>
      </c>
      <c r="C27" s="97" t="s">
        <v>51</v>
      </c>
      <c r="D27" s="99"/>
      <c r="E27" s="97"/>
      <c r="F27" s="99">
        <v>5</v>
      </c>
      <c r="G27" s="97" t="s">
        <v>51</v>
      </c>
      <c r="H27" s="101"/>
      <c r="I27" s="97"/>
      <c r="J27" s="99">
        <v>8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24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64</v>
      </c>
      <c r="V34" s="12"/>
      <c r="W34" s="12"/>
    </row>
    <row r="35" spans="1:23" ht="18">
      <c r="A35" s="34" t="s">
        <v>96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53</v>
      </c>
      <c r="V42" s="12"/>
      <c r="W42" s="12"/>
    </row>
    <row r="43" spans="1:23" ht="18">
      <c r="A43" s="34" t="s">
        <v>27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61</v>
      </c>
    </row>
    <row r="52" spans="1:23" ht="18">
      <c r="A52" s="34" t="s">
        <v>25</v>
      </c>
    </row>
    <row r="53" spans="1:23" ht="18">
      <c r="A53" s="34" t="s">
        <v>95</v>
      </c>
    </row>
    <row r="54" spans="1:23" ht="18">
      <c r="A54" s="34" t="s">
        <v>65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C39"/>
  <sheetViews>
    <sheetView tabSelected="1" workbookViewId="0">
      <pane xSplit="1" topLeftCell="B1" activePane="topRight" state="frozen"/>
      <selection pane="topRight" activeCell="Z17" sqref="Z17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9" width="22.7109375" style="22" customWidth="1"/>
    <col min="30" max="16384" width="9.140625" style="22"/>
  </cols>
  <sheetData>
    <row r="1" spans="1:29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9" ht="15">
      <c r="A2" s="77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9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9" ht="63" customHeight="1">
      <c r="A4" s="51" t="str">
        <f>'[1]MOÇÃO E REQUERIMENTO'!B7</f>
        <v>EXPEDIENTE</v>
      </c>
      <c r="B4" s="50" t="s">
        <v>49</v>
      </c>
      <c r="C4" s="118" t="s">
        <v>106</v>
      </c>
      <c r="D4" s="118" t="s">
        <v>107</v>
      </c>
      <c r="E4" s="118" t="s">
        <v>108</v>
      </c>
      <c r="F4" s="118" t="s">
        <v>109</v>
      </c>
      <c r="G4" s="118" t="s">
        <v>110</v>
      </c>
      <c r="H4" s="118" t="s">
        <v>111</v>
      </c>
      <c r="I4" s="118" t="s">
        <v>112</v>
      </c>
      <c r="J4" s="118" t="s">
        <v>113</v>
      </c>
      <c r="K4" s="118" t="s">
        <v>114</v>
      </c>
      <c r="L4" s="113" t="s">
        <v>35</v>
      </c>
      <c r="M4" s="125"/>
      <c r="N4" s="50" t="s">
        <v>28</v>
      </c>
      <c r="O4" s="85" t="s">
        <v>97</v>
      </c>
      <c r="P4" s="85" t="s">
        <v>115</v>
      </c>
      <c r="Q4" s="85" t="s">
        <v>99</v>
      </c>
      <c r="R4" s="85" t="s">
        <v>116</v>
      </c>
      <c r="S4" s="85" t="s">
        <v>100</v>
      </c>
      <c r="T4" s="69" t="s">
        <v>101</v>
      </c>
      <c r="U4" s="69" t="s">
        <v>117</v>
      </c>
      <c r="V4" s="69" t="s">
        <v>102</v>
      </c>
      <c r="W4" s="69" t="s">
        <v>118</v>
      </c>
      <c r="X4" s="69" t="s">
        <v>119</v>
      </c>
      <c r="Y4" s="69" t="s">
        <v>120</v>
      </c>
      <c r="Z4" s="69" t="s">
        <v>121</v>
      </c>
      <c r="AA4" s="69" t="s">
        <v>122</v>
      </c>
      <c r="AB4" s="69" t="s">
        <v>123</v>
      </c>
      <c r="AC4" s="69" t="s">
        <v>124</v>
      </c>
    </row>
    <row r="5" spans="1:29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4"/>
      <c r="O5" s="119" t="s">
        <v>94</v>
      </c>
      <c r="P5" s="114" t="s">
        <v>93</v>
      </c>
      <c r="Q5" s="119" t="s">
        <v>94</v>
      </c>
      <c r="R5" s="114" t="s">
        <v>93</v>
      </c>
      <c r="S5" s="119" t="s">
        <v>94</v>
      </c>
      <c r="T5" s="119" t="s">
        <v>94</v>
      </c>
      <c r="U5" s="114" t="s">
        <v>93</v>
      </c>
      <c r="V5" s="119" t="s">
        <v>94</v>
      </c>
      <c r="W5" s="119" t="s">
        <v>94</v>
      </c>
      <c r="X5" s="114" t="s">
        <v>93</v>
      </c>
      <c r="Y5" s="114" t="s">
        <v>93</v>
      </c>
      <c r="Z5" s="114" t="s">
        <v>93</v>
      </c>
      <c r="AA5" s="114" t="s">
        <v>93</v>
      </c>
      <c r="AB5" s="114" t="s">
        <v>93</v>
      </c>
      <c r="AC5" s="114" t="s">
        <v>93</v>
      </c>
    </row>
    <row r="6" spans="1:29" ht="15.75">
      <c r="A6" s="128" t="s">
        <v>55</v>
      </c>
      <c r="N6" s="23"/>
    </row>
    <row r="7" spans="1:29" ht="15.75">
      <c r="A7" s="128" t="s">
        <v>95</v>
      </c>
      <c r="N7" s="23"/>
    </row>
    <row r="8" spans="1:29" ht="15.75">
      <c r="A8" s="128" t="s">
        <v>58</v>
      </c>
      <c r="N8" s="23"/>
    </row>
    <row r="9" spans="1:29" ht="15.75">
      <c r="A9" s="129" t="s">
        <v>59</v>
      </c>
      <c r="N9" s="23"/>
    </row>
    <row r="10" spans="1:29" ht="15.75">
      <c r="A10" s="128" t="s">
        <v>29</v>
      </c>
      <c r="N10" s="23"/>
    </row>
    <row r="11" spans="1:29" ht="15.75">
      <c r="A11" s="128" t="s">
        <v>60</v>
      </c>
      <c r="N11" s="23"/>
    </row>
    <row r="12" spans="1:29" ht="15.75">
      <c r="A12" s="128" t="s">
        <v>22</v>
      </c>
      <c r="N12" s="23"/>
    </row>
    <row r="13" spans="1:29" ht="15.75">
      <c r="A13" s="128" t="s">
        <v>23</v>
      </c>
      <c r="N13" s="23"/>
    </row>
    <row r="14" spans="1:29" ht="15.75">
      <c r="A14" s="128" t="s">
        <v>24</v>
      </c>
      <c r="N14" s="23"/>
    </row>
    <row r="15" spans="1:29" ht="15.75">
      <c r="A15" s="128" t="s">
        <v>61</v>
      </c>
      <c r="N15" s="23"/>
    </row>
    <row r="16" spans="1:29" ht="15.75">
      <c r="A16" s="128" t="s">
        <v>62</v>
      </c>
      <c r="N16" s="23"/>
    </row>
    <row r="17" spans="1:14" ht="15.75">
      <c r="A17" s="128" t="s">
        <v>63</v>
      </c>
      <c r="N17" s="23"/>
    </row>
    <row r="18" spans="1:14" ht="15.75">
      <c r="A18" s="128" t="s">
        <v>25</v>
      </c>
      <c r="N18" s="23"/>
    </row>
    <row r="19" spans="1:14" ht="15.75">
      <c r="A19" s="128" t="s">
        <v>64</v>
      </c>
      <c r="N19" s="23"/>
    </row>
    <row r="20" spans="1:14" ht="15.75">
      <c r="A20" s="128" t="s">
        <v>96</v>
      </c>
      <c r="N20" s="23"/>
    </row>
    <row r="21" spans="1:14" ht="15.75">
      <c r="A21" s="128" t="s">
        <v>26</v>
      </c>
      <c r="N21" s="23"/>
    </row>
    <row r="22" spans="1:14" ht="15.75">
      <c r="A22" s="128" t="s">
        <v>65</v>
      </c>
      <c r="N22" s="23"/>
    </row>
    <row r="23" spans="1:14" ht="15.75">
      <c r="A23" s="128" t="s">
        <v>27</v>
      </c>
      <c r="N23" s="23"/>
    </row>
    <row r="24" spans="1:14" ht="15.75">
      <c r="A24" s="128" t="s">
        <v>53</v>
      </c>
      <c r="N24" s="23"/>
    </row>
    <row r="25" spans="1:14" ht="15.75">
      <c r="A25" s="128" t="s">
        <v>66</v>
      </c>
      <c r="N25" s="23"/>
    </row>
    <row r="26" spans="1:14" ht="15.75">
      <c r="A26" s="128" t="s">
        <v>67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H12" sqref="H12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103</v>
      </c>
      <c r="B2" s="49"/>
      <c r="C2" s="75"/>
    </row>
    <row r="3" spans="1:46" ht="17.25" customHeight="1">
      <c r="A3" s="77" t="s">
        <v>105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32</v>
      </c>
      <c r="C4" s="140"/>
      <c r="D4" s="110" t="s">
        <v>6</v>
      </c>
      <c r="E4" s="143" t="s">
        <v>125</v>
      </c>
      <c r="F4" s="143" t="s">
        <v>126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38</v>
      </c>
      <c r="B5" s="79"/>
      <c r="C5" s="114"/>
      <c r="D5" s="80"/>
      <c r="E5" s="114" t="s">
        <v>98</v>
      </c>
      <c r="F5" s="114" t="s">
        <v>98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55</v>
      </c>
      <c r="C6" s="108"/>
      <c r="E6" s="108"/>
      <c r="F6" s="108"/>
    </row>
    <row r="7" spans="1:46" ht="20.25">
      <c r="A7" s="46" t="s">
        <v>95</v>
      </c>
      <c r="C7" s="115"/>
      <c r="E7" s="108"/>
      <c r="F7" s="108"/>
    </row>
    <row r="8" spans="1:46" ht="20.25">
      <c r="A8" s="46" t="s">
        <v>58</v>
      </c>
      <c r="C8" s="108"/>
      <c r="E8" s="108"/>
      <c r="F8" s="108"/>
    </row>
    <row r="9" spans="1:46" ht="20.25">
      <c r="A9" s="83" t="s">
        <v>59</v>
      </c>
      <c r="C9" s="115"/>
      <c r="E9" s="115"/>
      <c r="F9" s="115"/>
    </row>
    <row r="10" spans="1:46" ht="20.25">
      <c r="A10" s="46" t="s">
        <v>29</v>
      </c>
      <c r="C10" s="115"/>
      <c r="E10" s="108"/>
      <c r="F10" s="108"/>
    </row>
    <row r="11" spans="1:46" ht="20.25">
      <c r="A11" s="46" t="s">
        <v>60</v>
      </c>
      <c r="C11" s="115"/>
      <c r="E11" s="115"/>
      <c r="F11" s="115"/>
    </row>
    <row r="12" spans="1:46" ht="20.25">
      <c r="A12" s="46" t="s">
        <v>22</v>
      </c>
      <c r="C12" s="115"/>
      <c r="E12" s="108"/>
      <c r="F12" s="108"/>
    </row>
    <row r="13" spans="1:46" ht="20.25">
      <c r="A13" s="46" t="s">
        <v>23</v>
      </c>
      <c r="C13" s="115"/>
      <c r="E13" s="108"/>
      <c r="F13" s="108"/>
    </row>
    <row r="14" spans="1:46" ht="20.25">
      <c r="A14" s="46" t="s">
        <v>24</v>
      </c>
      <c r="C14" s="108"/>
      <c r="E14" s="108"/>
      <c r="F14" s="108"/>
    </row>
    <row r="15" spans="1:46" ht="20.25">
      <c r="A15" s="46" t="s">
        <v>61</v>
      </c>
      <c r="C15" s="108"/>
      <c r="E15" s="108"/>
      <c r="F15" s="108"/>
    </row>
    <row r="16" spans="1:46" ht="20.25">
      <c r="A16" s="46" t="s">
        <v>62</v>
      </c>
      <c r="C16" s="108"/>
      <c r="E16" s="108"/>
      <c r="F16" s="108"/>
    </row>
    <row r="17" spans="1:131" ht="20.25">
      <c r="A17" s="46" t="s">
        <v>63</v>
      </c>
      <c r="C17" s="108"/>
      <c r="E17" s="108"/>
      <c r="F17" s="108"/>
    </row>
    <row r="18" spans="1:131" ht="20.25">
      <c r="A18" s="46" t="s">
        <v>25</v>
      </c>
      <c r="C18" s="108"/>
      <c r="E18" s="115"/>
      <c r="F18" s="115"/>
    </row>
    <row r="19" spans="1:131" ht="20.25">
      <c r="A19" s="46" t="s">
        <v>64</v>
      </c>
      <c r="C19" s="108"/>
      <c r="E19" s="108"/>
      <c r="F19" s="108"/>
    </row>
    <row r="20" spans="1:131" ht="20.25">
      <c r="A20" s="46" t="s">
        <v>96</v>
      </c>
      <c r="C20" s="108"/>
      <c r="E20" s="108"/>
      <c r="F20" s="108"/>
    </row>
    <row r="21" spans="1:131" ht="20.25">
      <c r="A21" s="46" t="s">
        <v>26</v>
      </c>
      <c r="C21" s="115"/>
      <c r="E21" s="108"/>
      <c r="F21" s="108"/>
    </row>
    <row r="22" spans="1:131" ht="20.25">
      <c r="A22" s="46" t="s">
        <v>65</v>
      </c>
      <c r="C22" s="108"/>
      <c r="E22" s="108"/>
      <c r="F22" s="108"/>
    </row>
    <row r="23" spans="1:131" ht="20.25">
      <c r="A23" s="46" t="s">
        <v>27</v>
      </c>
      <c r="C23" s="108"/>
      <c r="E23" s="108"/>
      <c r="F23" s="108"/>
    </row>
    <row r="24" spans="1:131" ht="20.25">
      <c r="A24" s="46" t="s">
        <v>53</v>
      </c>
      <c r="C24" s="108"/>
      <c r="E24" s="108"/>
      <c r="F24" s="108"/>
    </row>
    <row r="25" spans="1:131" ht="20.25">
      <c r="A25" s="46" t="s">
        <v>66</v>
      </c>
      <c r="C25" s="108"/>
      <c r="E25" s="108"/>
      <c r="F25" s="108"/>
    </row>
    <row r="26" spans="1:131" ht="20.25">
      <c r="A26" s="46" t="s">
        <v>67</v>
      </c>
      <c r="C26" s="108"/>
      <c r="E26" s="108"/>
      <c r="F26" s="108"/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 s="104">
        <f>COUNTIF(F6:F26,"sim")</f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 s="105">
        <f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>COUNTIF(E6:E26,"ausente")</f>
        <v>0</v>
      </c>
      <c r="F29" s="40">
        <f>COUNTIF(F6:F26,"ausente")</f>
        <v>0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 s="106">
        <f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55</v>
      </c>
      <c r="C6" s="108"/>
      <c r="U6" s="7"/>
      <c r="V6" s="7"/>
    </row>
    <row r="7" spans="1:29" ht="18">
      <c r="A7" s="130" t="s">
        <v>95</v>
      </c>
      <c r="C7" s="108"/>
      <c r="U7" s="7"/>
      <c r="V7" s="7"/>
    </row>
    <row r="8" spans="1:29" ht="18">
      <c r="A8" s="130" t="s">
        <v>58</v>
      </c>
      <c r="C8" s="108"/>
      <c r="U8" s="7"/>
      <c r="V8" s="7"/>
    </row>
    <row r="9" spans="1:29" ht="18">
      <c r="A9" s="131" t="s">
        <v>59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60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61</v>
      </c>
      <c r="C15" s="108"/>
      <c r="U15" s="7"/>
      <c r="V15" s="7"/>
    </row>
    <row r="16" spans="1:29" ht="18">
      <c r="A16" s="130" t="s">
        <v>62</v>
      </c>
      <c r="C16" s="108"/>
      <c r="U16" s="7"/>
      <c r="V16" s="7"/>
    </row>
    <row r="17" spans="1:123" ht="15" customHeight="1">
      <c r="A17" s="130" t="s">
        <v>63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64</v>
      </c>
      <c r="C19" s="108"/>
      <c r="U19" s="7"/>
      <c r="V19" s="7"/>
    </row>
    <row r="20" spans="1:123" ht="18">
      <c r="A20" s="130" t="s">
        <v>96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65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53</v>
      </c>
      <c r="C24" s="108"/>
      <c r="U24" s="7"/>
      <c r="V24" s="7"/>
    </row>
    <row r="25" spans="1:123" ht="18">
      <c r="A25" s="130" t="s">
        <v>66</v>
      </c>
      <c r="C25" s="108"/>
      <c r="U25" s="7"/>
      <c r="V25" s="7"/>
    </row>
    <row r="26" spans="1:123" ht="18">
      <c r="A26" s="130" t="s">
        <v>67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55</v>
      </c>
      <c r="C6" s="108"/>
    </row>
    <row r="7" spans="1:3" ht="15.75">
      <c r="A7" s="128" t="s">
        <v>95</v>
      </c>
      <c r="C7" s="108"/>
    </row>
    <row r="8" spans="1:3" ht="15.75">
      <c r="A8" s="128" t="s">
        <v>58</v>
      </c>
      <c r="C8" s="108"/>
    </row>
    <row r="9" spans="1:3" ht="15.75">
      <c r="A9" s="129" t="s">
        <v>59</v>
      </c>
      <c r="C9" s="115"/>
    </row>
    <row r="10" spans="1:3" ht="15.75">
      <c r="A10" s="128" t="s">
        <v>29</v>
      </c>
      <c r="C10" s="108"/>
    </row>
    <row r="11" spans="1:3" ht="15.75">
      <c r="A11" s="128" t="s">
        <v>60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15"/>
    </row>
    <row r="14" spans="1:3" ht="15.75">
      <c r="A14" s="128" t="s">
        <v>24</v>
      </c>
      <c r="C14" s="108"/>
    </row>
    <row r="15" spans="1:3" ht="15.75">
      <c r="A15" s="128" t="s">
        <v>61</v>
      </c>
      <c r="C15" s="108"/>
    </row>
    <row r="16" spans="1:3" ht="15.75">
      <c r="A16" s="128" t="s">
        <v>62</v>
      </c>
      <c r="C16" s="108"/>
    </row>
    <row r="17" spans="1:3" ht="15.75">
      <c r="A17" s="128" t="s">
        <v>63</v>
      </c>
      <c r="C17" s="115"/>
    </row>
    <row r="18" spans="1:3" ht="15.75">
      <c r="A18" s="128" t="s">
        <v>25</v>
      </c>
      <c r="C18" s="108"/>
    </row>
    <row r="19" spans="1:3" ht="15.75">
      <c r="A19" s="128" t="s">
        <v>64</v>
      </c>
      <c r="C19" s="108"/>
    </row>
    <row r="20" spans="1:3" ht="15.75">
      <c r="A20" s="128" t="s">
        <v>96</v>
      </c>
      <c r="C20" s="108"/>
    </row>
    <row r="21" spans="1:3" ht="15.75">
      <c r="A21" s="128" t="s">
        <v>26</v>
      </c>
      <c r="C21" s="108"/>
    </row>
    <row r="22" spans="1:3" ht="15.75">
      <c r="A22" s="128" t="s">
        <v>65</v>
      </c>
      <c r="C22" s="108"/>
    </row>
    <row r="23" spans="1:3" ht="15.75">
      <c r="A23" s="128" t="s">
        <v>27</v>
      </c>
      <c r="C23" s="108"/>
    </row>
    <row r="24" spans="1:3" ht="15.75">
      <c r="A24" s="128" t="s">
        <v>53</v>
      </c>
      <c r="C24" s="108"/>
    </row>
    <row r="25" spans="1:3" ht="15.75">
      <c r="A25" s="128" t="s">
        <v>66</v>
      </c>
      <c r="C25" s="108"/>
    </row>
    <row r="26" spans="1:3" ht="15.75">
      <c r="A26" s="128" t="s">
        <v>67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E13" sqref="E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2025-05-20T15:55:56Z</dcterms:modified>
</cp:coreProperties>
</file>