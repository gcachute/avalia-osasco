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53997CB7-03C2-4044-9A55-5384CE4AC481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D27" i="3"/>
  <c r="D28" i="3"/>
  <c r="D29" i="3"/>
  <c r="D30" i="3"/>
  <c r="C28" i="10"/>
  <c r="C29" i="10"/>
  <c r="C30" i="10"/>
  <c r="C31" i="10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7" i="3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<sst xmlns="http://schemas.openxmlformats.org/spreadsheetml/2006/main" count="482" uniqueCount="144">
  <si>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</si>
  <si>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</si>
  <si>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</si>
  <si>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</si>
  <si>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</si>
  <si>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</si>
  <si>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</si>
  <si>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</si>
  <si>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</si>
  <si>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</si>
  <si>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</si>
  <si>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</si>
  <si>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</si>
  <si>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</si>
  <si>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</si>
  <si>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</si>
  <si>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</si>
  <si>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</si>
  <si>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</si>
  <si>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</si>
  <si>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</si>
  <si>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</si>
  <si>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</si>
  <si>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</si>
  <si>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</si>
  <si>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</si>
  <si>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</si>
  <si>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</si>
  <si>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</si>
  <si>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</si>
  <si>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</si>
  <si>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</si>
  <si>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</si>
  <si>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</si>
  <si>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</si>
  <si>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</si>
  <si>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</si>
  <si>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</si>
  <si>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</si>
  <si>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</si>
  <si>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</si>
  <si>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</si>
  <si>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</si>
  <si>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</si>
  <si>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</si>
  <si>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</si>
  <si>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</si>
  <si>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</si>
  <si>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</si>
  <si>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</si>
  <si>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</si>
  <si>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</si>
  <si>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</si>
  <si>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</si>
  <si>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</si>
  <si>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</si>
  <si>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</si>
  <si>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</si>
  <si>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</si>
  <si>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</si>
  <si>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</si>
  <si>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</si>
  <si>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</si>
  <si>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</si>
  <si>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</si>
  <si>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</si>
  <si>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</si>
  <si>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</si>
  <si>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</si>
  <si>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</si>
  <si>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</si>
  <si>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</si>
  <si>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</si>
  <si>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</si>
  <si>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</si>
  <si>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</si>
  <si>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</si>
  <si>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</si>
  <si>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</si>
  <si>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</si>
  <si>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</si>
  <si>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</si>
  <si>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</si>
  <si>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</si>
  <si>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</si>
  <si>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</si>
  <si>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</si>
  <si>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</si>
  <si>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</si>
  <si>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</si>
  <si>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</si>
  <si>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</si>
  <si>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</si>
  <si>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</si>
  <si>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</si>
  <si>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</si>
  <si>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APROVADO
VOTAÇÃO SIMBÓLICA</t>
  </si>
  <si>
    <t>na presidência</t>
  </si>
  <si>
    <r>
      <t>MOÇÃO DE APLAUSOS Nº 241/2025 – EMERSON OSASCO -</t>
    </r>
    <r>
      <rPr>
        <sz val="11"/>
        <color theme="1"/>
        <rFont val="Arial"/>
        <family val="2"/>
      </rPr>
      <t xml:space="preserve"> À Coordenadora de Gestão Pedagógica da Área de Ciências Humanas, Carolina Pereira, pela coordenação do Projeto Clube Antirracista na Escola Estadual de Educação Integral Professor João Baptista de Brito.</t>
    </r>
  </si>
  <si>
    <r>
      <t xml:space="preserve">MOÇÃO DE APLAUSOS Nº 242/2025 – EMERSON OSASCO - </t>
    </r>
    <r>
      <rPr>
        <sz val="11"/>
        <color theme="1"/>
        <rFont val="Arial"/>
        <family val="2"/>
      </rPr>
      <t>Ao Clube Antirracista da Escola de Educação Integral Professor João Baptista de Brito, clube que vem trabalhando pontualmente no fortalecimento da ancestralidade e no combate à discriminação racial no ambiente escolar.</t>
    </r>
  </si>
  <si>
    <t>André Luís Alves Pereira</t>
  </si>
  <si>
    <t xml:space="preserve"> </t>
  </si>
  <si>
    <r>
      <t>MOÇÃO DE APLAUSOS Nº 240/2025 – EMERSON OSASCO -</t>
    </r>
    <r>
      <rPr>
        <sz val="11"/>
        <color theme="1"/>
        <rFont val="Arial"/>
        <family val="2"/>
      </rPr>
      <t xml:space="preserve"> À Escola Estadual de Educação Integral “Professor João Baptista de Brito” pelo importante trabalho antirracista desenvolvido e que tem promovido a valorização da diversidade, o respeito às diferenças e a construção de uma sociedade mais justa e igualitária.</t>
    </r>
  </si>
  <si>
    <r>
      <t xml:space="preserve">MOÇÃO DE APLAUSOS Nº 261/2025 – JOSIAS DA JUCO - </t>
    </r>
    <r>
      <rPr>
        <sz val="11"/>
        <color theme="1"/>
        <rFont val="Arial"/>
        <family val="2"/>
      </rPr>
      <t>Ao Cerimonial desta Casa, em reconhecimento à excelência, organização e sensibilidade demonstradas na condução do evento Prêmio Ana Paula Rossi - Mulher de Destaque.</t>
    </r>
  </si>
  <si>
    <r>
      <t xml:space="preserve">MOÇÃO DE CONGRATULAÇÕES Nº 266/2025 – EMERSON OSASCO - </t>
    </r>
    <r>
      <rPr>
        <sz val="11"/>
        <color theme="1"/>
        <rFont val="Arial"/>
        <family val="2"/>
      </rPr>
      <t>Ao bairro Vila Menck, fundada oficialmente na década de 70, completando dia 05 de junho 55 anos, visamos reconhecer e parabenizar todos os moradores, lideranças comunitárias, instituições e organizações da Vila Menck, na pessoa do Sr. Alvino Nunes de Assis, morador da Vila Menck há mais de 45 anos.</t>
    </r>
  </si>
  <si>
    <r>
      <t xml:space="preserve">MOÇÃO DE APOIO Nº 268/2025 – ALEXANDRE CAPRIOTTI - </t>
    </r>
    <r>
      <rPr>
        <sz val="11"/>
        <color theme="1"/>
        <rFont val="Arial"/>
        <family val="2"/>
      </rPr>
      <t>Ao PL 257/2025 de autoria do Deputado Federal, Delegado Bruno Lima, que inclui o bem-estar animal como prioridade no Fundo Nacional de Meio Ambiente, que tramita na Câmara dos Deputados.</t>
    </r>
  </si>
  <si>
    <t>33ª SESSÃO ORDINÁRIA</t>
  </si>
  <si>
    <t>DIA 10 DE JUNHO DE 2025 - TERÇA-FEIRA</t>
  </si>
  <si>
    <t>DIA 10 DE JUNHO DE 2025 - TERÇA–FEIRA</t>
  </si>
  <si>
    <t>Batista Comunidade</t>
  </si>
  <si>
    <t>Lúcia da Saúde</t>
  </si>
  <si>
    <t>Justificativa de ausência do Vereador Fábio Chirinhan.</t>
  </si>
  <si>
    <r>
      <t xml:space="preserve">Projeto de Lei nº 91/2025 – Prefeito do Município de Osasco – </t>
    </r>
    <r>
      <rPr>
        <sz val="12"/>
        <color rgb="FF000000"/>
        <rFont val="Calibri"/>
        <family val="2"/>
      </rPr>
      <t>Dispõe sobre a desafetação e posterior doação de área de terreno ao Estado de São Paulo e dá outras providências.</t>
    </r>
  </si>
  <si>
    <r>
      <t xml:space="preserve">Decreto nº 14.666 de 04 de junho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</si>
  <si>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Decreto nº 14.668 de 06 de junho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</si>
  <si>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Projeto de Lei nº 36/2025 – Stephane Carolina Rossi de Almeida Magdesian - </t>
    </r>
    <r>
      <rPr>
        <sz val="12"/>
        <color rgb="FF000000"/>
        <rFont val="Calibri"/>
        <family val="2"/>
      </rPr>
      <t>Institui o Dia Municipal do Canto pela Paz.</t>
    </r>
  </si>
  <si>
    <r>
      <t xml:space="preserve">Projeto de Lei nº 38/2025 – Stephane Carolina Rossi de Almeida Magdesian - </t>
    </r>
    <r>
      <rPr>
        <sz val="12"/>
        <color rgb="FF000000"/>
        <rFont val="Calibri"/>
        <family val="2"/>
      </rPr>
      <t>Institui o Dia Municipal das Mulheres das Forças de Segurança Pública.</t>
    </r>
  </si>
  <si>
    <r>
      <t xml:space="preserve">Projeto de Decreto Legislativo nº 21/2025 – Stephane Carolina Rossi de Almeida Magdesian - </t>
    </r>
    <r>
      <rPr>
        <sz val="12"/>
        <color rgb="FF000000"/>
        <rFont val="Calibri"/>
        <family val="2"/>
      </rPr>
      <t>Dispõe sobre a concessão de Título de Cidadão Osasquense ao Senhor Erivan da Silva Gomes.</t>
    </r>
  </si>
  <si>
    <r>
      <t xml:space="preserve">MOÇÃO DE RECONHECIMENTO nº 265/2025 – ELANIA SILVA - </t>
    </r>
    <r>
      <rPr>
        <sz val="11"/>
        <color theme="1"/>
        <rFont val="Arial"/>
        <family val="2"/>
      </rPr>
      <t>Ao Sr. Carlos William Nunes e toda a equipe do Pelotão Bravo, que tem desempenhado um papel fundamental para a segurança da nossa cidade.</t>
    </r>
  </si>
  <si>
    <r>
      <t xml:space="preserve">MOÇÃO DE RECONHECIMENTO Nº 272/2025 – GABRIEL SAÚDE - </t>
    </r>
    <r>
      <rPr>
        <sz val="11"/>
        <color theme="1"/>
        <rFont val="Arial"/>
        <family val="2"/>
      </rPr>
      <t>A Débora de Oliveira Silva, coordenadora administrativa do Setor de Ortopedia do Hospital Municipal Antônio Giglio, pela sua trajetória profissional marcada pela dedicação, competência e contribuição ao desenvolvimento de projetos importantes na área da saúde pública.</t>
    </r>
  </si>
  <si>
    <r>
      <t xml:space="preserve">MOÇÃO DE RECONHECIMENTO Nº 273/2025 – GABRIEL SAÚDE - </t>
    </r>
    <r>
      <rPr>
        <sz val="11"/>
        <color theme="1"/>
        <rFont val="Arial"/>
        <family val="2"/>
      </rPr>
      <t>A Tatiana Kano Vidolin, coordenadora assistencial do Hospital Municipal Antônio Giglio, em razão de sua admirável trajetória profissional, marcada por competência técnica, sensibilidade humana e comprometimento com o serviço público de saúde.</t>
    </r>
  </si>
  <si>
    <r>
      <t xml:space="preserve">MOÇÃO DE RECONHECIMENTO Nº 274/2025 – GABRIEL SAÚDE – </t>
    </r>
    <r>
      <rPr>
        <sz val="11"/>
        <color theme="1"/>
        <rFont val="Arial"/>
        <family val="2"/>
      </rPr>
      <t>A Monique Aparecida Francisco da Silva, coordenadora de enfermagem do Hospital Municipal Antônio Giglio, por sua notável atuação na área da saúde e pelo compromisso com a qualidade da assistência e a humanização no cuidado.</t>
    </r>
  </si>
  <si>
    <r>
      <t xml:space="preserve">MOÇÃO DE RECONHECIMENTO Nº 275/2025 – GABRIEL SAÚDE - </t>
    </r>
    <r>
      <rPr>
        <sz val="11"/>
        <color theme="1"/>
        <rFont val="Arial"/>
        <family val="2"/>
      </rPr>
      <t>A Fernanda Biazan dos Santos, coordenadora da Qualidade do Hospital Municipal Antônio Giglio, em reconhecimento à sua atuação técnica e à dedicação em promover a excelência no serviço de saúde pública.</t>
    </r>
  </si>
  <si>
    <r>
      <t xml:space="preserve">MOÇÃO DE RECONHECIMENTO Nº 276/2025 – GABRIEL SAÚDE – </t>
    </r>
    <r>
      <rPr>
        <sz val="11"/>
        <color theme="1"/>
        <rFont val="Arial"/>
        <family val="2"/>
      </rPr>
      <t>A Juliana Magalhães Bini Grosso, coordenadora de enfermagem do Hospital Municipal Antônio Giglio, por sua trajetória de dedicação, competência e cuidado humanizado ao longo de sua carreira na área da saúde.</t>
    </r>
  </si>
  <si>
    <r>
      <t>MOÇÃO DE RECONHECIMENTO Nº 277/2025 – GABRIEL SAÚDE -</t>
    </r>
    <r>
      <rPr>
        <sz val="11"/>
        <color theme="1"/>
        <rFont val="Arial"/>
        <family val="2"/>
      </rPr>
      <t xml:space="preserve"> A Alessandra Roberta Caetano, coordenadora de enfermagem do Hospital Municipal Antônio Giglio, em virtude de sua sólida trajetória na enfermagem e relevante contribuição à saúde pública de Osasco.</t>
    </r>
  </si>
  <si>
    <r>
      <t xml:space="preserve">MOÇÃO DE APLAUSOS Nº 279/2025 – ELSA OLIVEIRA - </t>
    </r>
    <r>
      <rPr>
        <sz val="11"/>
        <color theme="1"/>
        <rFont val="Arial"/>
        <family val="2"/>
      </rPr>
      <t>À Ordem dos Advogados do Brasil -  Subseção Osasco, pela realização do evento de Constituição do Núcleo de Ações Emergenciais e Pop Rua da Comissão de Direitos Humanos, ocorrido no dia 04 de junho de 2025.</t>
    </r>
  </si>
  <si>
    <t>esgotado o tempo regimental, será pautada na próxima sessão</t>
  </si>
  <si>
    <r>
      <t xml:space="preserve">MOÇÃO DE APELO Nº 280/2025 – HEBER DO JUNTOZ - </t>
    </r>
    <r>
      <rPr>
        <sz val="11"/>
        <color theme="1"/>
        <rFont val="Arial"/>
        <family val="2"/>
      </rPr>
      <t>Pela criação e implementação de políticas públicas de apoio aos cuidadores, especialmente mulheres, que desempenham papel fundamental no cuidado de pessoas com dependência contínua, no Município de Osasco.</t>
    </r>
  </si>
  <si>
    <r>
      <t xml:space="preserve">MOÇÃO DE APLAUSOS nº 282/2025 – ALEXANDRE CAPRIOTTI - </t>
    </r>
    <r>
      <rPr>
        <sz val="11"/>
        <color theme="1"/>
        <rFont val="Arial"/>
        <family val="2"/>
      </rPr>
      <t>Ao Grupo “Lá Vem Elas”, um grupo de Mulheres que promovem a saúde física e mental através de atividades físicas.</t>
    </r>
  </si>
  <si>
    <r>
      <t xml:space="preserve">MOÇÃO DE RECONHECIMENTO nº 283/2025 – GABRIEL SAÚDE - </t>
    </r>
    <r>
      <rPr>
        <sz val="11"/>
        <color theme="1"/>
        <rFont val="Arial"/>
        <family val="2"/>
      </rPr>
      <t>A Tatiana Silva de Oliveira, gerente assistencial do Hospital Municipal Antônio Giglio, em reconhecimento à sua trajetória profissional dedicada à saúde pública de Osasco, especialmente na referida instituição.</t>
    </r>
  </si>
  <si>
    <r>
      <t>MOÇÃO DE RECONHECIMENTO Nº 284/2025 – GABRIEL SAÚDE -</t>
    </r>
    <r>
      <rPr>
        <sz val="11"/>
        <color theme="1"/>
        <rFont val="Arial"/>
        <family val="2"/>
      </rPr>
      <t xml:space="preserve"> A Carla Monteiro, coordenadora de enfermagem do Hospital Municipal Antônio Giglio, pela excelência no exercício da enfermagem e por sua atuação transformadora na instituição.</t>
    </r>
  </si>
  <si>
    <r>
      <t>MOÇÃO DE RECONHECIMENTO Nº 285/2025 – GABRIEL SAÚDE –</t>
    </r>
    <r>
      <rPr>
        <sz val="11"/>
        <color theme="1"/>
        <rFont val="Arial"/>
        <family val="2"/>
      </rPr>
      <t xml:space="preserve"> À Caroline Martins dos Santos, coordenadora de enfermagem do Hospital Municipal Antônio Giglio, por sua dedicação à enfermagem e contribuição à qualidade do atendimento prestado.</t>
    </r>
  </si>
  <si>
    <r>
      <t>MOÇÃO DE RECONHECIMENTO Nº 286/2025 – GABRIEL SAÚDE -</t>
    </r>
    <r>
      <rPr>
        <sz val="11"/>
        <color theme="1"/>
        <rFont val="Arial"/>
        <family val="2"/>
      </rPr>
      <t xml:space="preserve"> A Rafael dos Santos Lisboa, coordenador administrativo do Hospital Municipal Antônio Giglio, pela sua atuação humanizada, ética e eficiente na gestão da unidade.</t>
    </r>
  </si>
  <si>
    <r>
      <t>MOÇÃO DE RECONHECIMENTO Nº 287/2025 – GABRIEL SAÚDE -</t>
    </r>
    <r>
      <rPr>
        <sz val="11"/>
        <color theme="1"/>
        <rFont val="Arial"/>
        <family val="2"/>
      </rPr>
      <t xml:space="preserve"> A Weudja Vieira de Araújo, coordenadora administrativa do Ambulatório e do Departamento de Cirurgias do Hospital Municipal Antônio Giglio, pelos relevantes serviços prestados à saúde pública do município.</t>
    </r>
  </si>
  <si>
    <r>
      <t>MOÇÃO DE RECONHECIMENTO Nº 288/2025 – GABRIEL SAÚDE -</t>
    </r>
    <r>
      <rPr>
        <sz val="11"/>
        <color theme="1"/>
        <rFont val="Arial"/>
        <family val="2"/>
      </rPr>
      <t xml:space="preserve"> Ao Dr. Mário Antônio Raimundo Neto, médico do Hospital Municipal Antônio Giglio, pela sua dedicação à saúde pública e pelo atendimento humanizado prestado aos pacientes da unidade.</t>
    </r>
  </si>
  <si>
    <r>
      <t>MOÇÃO DE RECONHECIMENTO nº 289/2025 – LAÉRCIO MENDONÇA -</t>
    </r>
    <r>
      <rPr>
        <sz val="11"/>
        <color theme="1"/>
        <rFont val="Arial"/>
        <family val="2"/>
      </rPr>
      <t xml:space="preserve"> À Secretaria de Meio Ambiente e Recursos Hídricos - SEMARH, pela agilidade e excelência nos serviços prestados à população osasquense.</t>
    </r>
  </si>
  <si>
    <r>
      <t xml:space="preserve">MOÇÃO DE RECONHECIMENTO Nº 290/2025 – DÉLBIO TERUEL - </t>
    </r>
    <r>
      <rPr>
        <sz val="11"/>
        <color theme="1"/>
        <rFont val="Arial"/>
        <family val="2"/>
      </rPr>
      <t>Ao Sr. Antônio Cláudio Flores Piteri, pelos relevantes serviços prestados à educação do município, enquanto Secretário Municipal de Educação de Osasco.</t>
    </r>
  </si>
  <si>
    <r>
      <t>MOÇÃO DE RECONHECIMENTO Nº 291/2025 – LAÉRCIO MENDONÇA -</t>
    </r>
    <r>
      <rPr>
        <sz val="11"/>
        <color theme="1"/>
        <rFont val="Arial"/>
        <family val="2"/>
      </rPr>
      <t xml:space="preserve"> À Secretaria de Serviços e Obras, pelos relevantes serviços prestados à população osasquense.</t>
    </r>
  </si>
  <si>
    <r>
      <t xml:space="preserve">MOÇÃO DE RECONHECIMENTO Nº 292/2025 – CARMÔNIO BASTOS - </t>
    </r>
    <r>
      <rPr>
        <sz val="11"/>
        <color theme="1"/>
        <rFont val="Arial"/>
        <family val="2"/>
      </rPr>
      <t>Ao Basket Osasco, pela conquista histórica da Liga Ouro 2025.</t>
    </r>
  </si>
  <si>
    <r>
      <t xml:space="preserve">MOÇÃO DE APLAUSOS N° 294/2025 – ANDREZINHO - </t>
    </r>
    <r>
      <rPr>
        <sz val="11"/>
        <color theme="1"/>
        <rFont val="Arial"/>
        <family val="2"/>
      </rPr>
      <t>A Luiz Deoclecio Massaro Galina por sua trajetória pessoal e profissional.</t>
    </r>
  </si>
  <si>
    <r>
      <t xml:space="preserve">PROJETO DE LEI Nº 71/2025 – PREFEITO DO MUNICÍPIO DE OSASCO – </t>
    </r>
    <r>
      <rPr>
        <sz val="11"/>
        <color theme="1"/>
        <rFont val="Arial"/>
        <family val="2"/>
      </rPr>
      <t>Dispõe sobre a alteração da Lei n° 5.311, de 22 de dezembro de 2023, que autorizou o Poder Executivo a contratar operação de crédito internacional com o Fundo Financeiro para o Desenvolvimento da Bacia do Prata - FONPLATA, e a oferecer garantias.</t>
    </r>
  </si>
  <si>
    <r>
      <t xml:space="preserve">PROJETO DE LEI Nº 75/2024 – ALEXANDRE CAPRIOTTI – </t>
    </r>
    <r>
      <rPr>
        <sz val="11"/>
        <color theme="1"/>
        <rFont val="Arial"/>
        <family val="2"/>
      </rPr>
      <t>Institui o Dia do Tutor de Pets.</t>
    </r>
  </si>
  <si>
    <r>
      <t xml:space="preserve">PROJETO DE LEI Nº 85/2025 – MESA DIRETORA – </t>
    </r>
    <r>
      <rPr>
        <sz val="11"/>
        <color theme="1"/>
        <rFont val="Arial"/>
        <family val="2"/>
      </rPr>
      <t>Dispõe sobre reajuste aos servidores ativos e inativos da Câmara Municipal de Osasco.</t>
    </r>
  </si>
  <si>
    <t>abstenção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</si>
</sst>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K40" sqref="K4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106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107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54</v>
      </c>
      <c r="B5" s="89">
        <v>1</v>
      </c>
      <c r="C5" s="62" t="s">
        <v>55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109</v>
      </c>
      <c r="B6" s="89">
        <v>2</v>
      </c>
      <c r="C6" s="103" t="s">
        <v>56</v>
      </c>
      <c r="D6" s="63"/>
      <c r="E6" s="103"/>
      <c r="F6" s="89">
        <v>2</v>
      </c>
      <c r="G6" s="103" t="s">
        <v>56</v>
      </c>
      <c r="H6" s="63"/>
      <c r="I6" s="62"/>
      <c r="J6" s="63">
        <v>1</v>
      </c>
      <c r="K6" s="62" t="s">
        <v>55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58</v>
      </c>
      <c r="B8" s="89">
        <v>1</v>
      </c>
      <c r="C8" s="62" t="s">
        <v>55</v>
      </c>
      <c r="D8" s="63"/>
      <c r="E8" s="62"/>
      <c r="F8" s="89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9">
        <v>1</v>
      </c>
      <c r="C9" s="62" t="s">
        <v>55</v>
      </c>
      <c r="D9" s="63"/>
      <c r="E9" s="62"/>
      <c r="F9" s="89">
        <v>1</v>
      </c>
      <c r="G9" s="62" t="s">
        <v>55</v>
      </c>
      <c r="H9" s="63"/>
      <c r="I9" s="62"/>
      <c r="J9" s="63">
        <v>1</v>
      </c>
      <c r="K9" s="62" t="s">
        <v>55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59</v>
      </c>
      <c r="B10" s="89">
        <v>2</v>
      </c>
      <c r="C10" s="103" t="s">
        <v>56</v>
      </c>
      <c r="D10" s="63"/>
      <c r="E10" s="62"/>
      <c r="F10" s="89">
        <v>1</v>
      </c>
      <c r="G10" s="62" t="s">
        <v>55</v>
      </c>
      <c r="H10" s="63"/>
      <c r="I10" s="62"/>
      <c r="J10" s="63">
        <v>2</v>
      </c>
      <c r="K10" s="103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55</v>
      </c>
      <c r="D11" s="63"/>
      <c r="E11" s="62"/>
      <c r="F11" s="89">
        <v>1</v>
      </c>
      <c r="G11" s="62" t="s">
        <v>55</v>
      </c>
      <c r="H11" s="63"/>
      <c r="I11" s="62"/>
      <c r="J11" s="63">
        <v>1</v>
      </c>
      <c r="K11" s="62" t="s">
        <v>55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56</v>
      </c>
      <c r="D12" s="63"/>
      <c r="E12" s="103"/>
      <c r="F12" s="89">
        <v>2</v>
      </c>
      <c r="G12" s="103" t="s">
        <v>56</v>
      </c>
      <c r="H12" s="63"/>
      <c r="I12" s="68"/>
      <c r="J12" s="63">
        <v>2</v>
      </c>
      <c r="K12" s="103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56</v>
      </c>
      <c r="D13" s="63"/>
      <c r="E13" s="62"/>
      <c r="F13" s="89">
        <v>2</v>
      </c>
      <c r="G13" s="103" t="s">
        <v>56</v>
      </c>
      <c r="H13" s="63"/>
      <c r="I13" s="62"/>
      <c r="J13" s="63">
        <v>2</v>
      </c>
      <c r="K13" s="103" t="s">
        <v>56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60</v>
      </c>
      <c r="B14" s="89">
        <v>2</v>
      </c>
      <c r="C14" s="103" t="s">
        <v>56</v>
      </c>
      <c r="D14" s="63"/>
      <c r="E14" s="62"/>
      <c r="F14" s="89">
        <v>2</v>
      </c>
      <c r="G14" s="103" t="s">
        <v>56</v>
      </c>
      <c r="H14" s="63"/>
      <c r="I14" s="62"/>
      <c r="J14" s="63">
        <v>2</v>
      </c>
      <c r="K14" s="103" t="s">
        <v>56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61</v>
      </c>
      <c r="B15" s="89">
        <v>1</v>
      </c>
      <c r="C15" s="62" t="s">
        <v>55</v>
      </c>
      <c r="D15" s="63"/>
      <c r="E15" s="62"/>
      <c r="F15" s="89">
        <v>1</v>
      </c>
      <c r="G15" s="62" t="s">
        <v>55</v>
      </c>
      <c r="H15" s="63"/>
      <c r="I15" s="62"/>
      <c r="J15" s="63">
        <v>1</v>
      </c>
      <c r="K15" s="62" t="s">
        <v>55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9">
        <v>2</v>
      </c>
      <c r="C17" s="103" t="s">
        <v>56</v>
      </c>
      <c r="D17" s="63"/>
      <c r="E17" s="62"/>
      <c r="F17" s="89">
        <v>2</v>
      </c>
      <c r="G17" s="103" t="s">
        <v>56</v>
      </c>
      <c r="H17" s="63"/>
      <c r="I17" s="68"/>
      <c r="J17" s="63">
        <v>2</v>
      </c>
      <c r="K17" s="103" t="s">
        <v>56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8" ht="17.25" customHeight="1">
      <c r="A18" s="46" t="s">
        <v>63</v>
      </c>
      <c r="B18" s="89">
        <v>2</v>
      </c>
      <c r="C18" s="103" t="s">
        <v>56</v>
      </c>
      <c r="D18" s="63"/>
      <c r="E18" s="62"/>
      <c r="F18" s="89">
        <v>1</v>
      </c>
      <c r="G18" s="62" t="s">
        <v>55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8" ht="18" customHeight="1">
      <c r="A19" s="46" t="s">
        <v>110</v>
      </c>
      <c r="B19" s="89">
        <v>2</v>
      </c>
      <c r="C19" s="103" t="s">
        <v>56</v>
      </c>
      <c r="D19" s="63"/>
      <c r="E19" s="103"/>
      <c r="F19" s="89">
        <v>2</v>
      </c>
      <c r="G19" s="103" t="s">
        <v>56</v>
      </c>
      <c r="H19" s="63"/>
      <c r="I19" s="62"/>
      <c r="J19" s="63">
        <v>1</v>
      </c>
      <c r="K19" s="62" t="s">
        <v>55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9">
        <v>1</v>
      </c>
      <c r="C20" s="62" t="s">
        <v>55</v>
      </c>
      <c r="D20" s="63"/>
      <c r="E20" s="62"/>
      <c r="F20" s="89">
        <v>1</v>
      </c>
      <c r="G20" s="62" t="s">
        <v>55</v>
      </c>
      <c r="H20" s="63"/>
      <c r="I20" s="68"/>
      <c r="J20" s="63">
        <v>1</v>
      </c>
      <c r="K20" s="62" t="s">
        <v>55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8" ht="18.75" customHeight="1">
      <c r="A21" s="46" t="s">
        <v>64</v>
      </c>
      <c r="B21" s="89">
        <v>2</v>
      </c>
      <c r="C21" s="103" t="s">
        <v>56</v>
      </c>
      <c r="D21" s="63"/>
      <c r="E21" s="62"/>
      <c r="F21" s="89">
        <v>2</v>
      </c>
      <c r="G21" s="103" t="s">
        <v>56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8" ht="18" customHeight="1">
      <c r="A22" s="46" t="s">
        <v>100</v>
      </c>
      <c r="B22" s="89">
        <v>1</v>
      </c>
      <c r="C22" s="62" t="s">
        <v>55</v>
      </c>
      <c r="D22" s="63"/>
      <c r="E22" s="103"/>
      <c r="F22" s="89">
        <v>1</v>
      </c>
      <c r="G22" s="62" t="s">
        <v>55</v>
      </c>
      <c r="H22" s="63"/>
      <c r="I22" s="68"/>
      <c r="J22" s="63">
        <v>1</v>
      </c>
      <c r="K22" s="62" t="s">
        <v>55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8" ht="18" customHeight="1">
      <c r="A23" s="46" t="s">
        <v>52</v>
      </c>
      <c r="B23" s="89">
        <v>2</v>
      </c>
      <c r="C23" s="103" t="s">
        <v>56</v>
      </c>
      <c r="D23" s="63"/>
      <c r="E23" s="62"/>
      <c r="F23" s="89">
        <v>2</v>
      </c>
      <c r="G23" s="103" t="s">
        <v>56</v>
      </c>
      <c r="H23" s="63"/>
      <c r="I23" s="62"/>
      <c r="J23" s="63">
        <v>1</v>
      </c>
      <c r="K23" s="62" t="s">
        <v>55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8" ht="20.25">
      <c r="A24" s="46" t="s">
        <v>65</v>
      </c>
      <c r="B24" s="89">
        <v>2</v>
      </c>
      <c r="C24" s="103" t="s">
        <v>56</v>
      </c>
      <c r="D24" s="63"/>
      <c r="E24" s="62"/>
      <c r="F24" s="89">
        <v>2</v>
      </c>
      <c r="G24" s="103" t="s">
        <v>56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66</v>
      </c>
      <c r="B25" s="89">
        <v>1</v>
      </c>
      <c r="C25" s="62" t="s">
        <v>55</v>
      </c>
      <c r="D25" s="63"/>
      <c r="E25" s="62"/>
      <c r="F25" s="89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9">
        <v>10</v>
      </c>
      <c r="C26" s="97" t="s">
        <v>49</v>
      </c>
      <c r="D26" s="99"/>
      <c r="E26" s="97"/>
      <c r="F26" s="99">
        <v>12</v>
      </c>
      <c r="G26" s="97" t="s">
        <v>49</v>
      </c>
      <c r="H26" s="101"/>
      <c r="I26" s="102"/>
      <c r="J26" s="99">
        <v>16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11</v>
      </c>
      <c r="C27" s="97" t="s">
        <v>50</v>
      </c>
      <c r="D27" s="99"/>
      <c r="E27" s="97"/>
      <c r="F27" s="99">
        <v>9</v>
      </c>
      <c r="G27" s="97" t="s">
        <v>50</v>
      </c>
      <c r="H27" s="101"/>
      <c r="I27" s="97"/>
      <c r="J27" s="99">
        <v>5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101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59</v>
      </c>
      <c r="V32" s="12"/>
      <c r="W32" s="12"/>
    </row>
    <row r="33" spans="1:23" ht="18">
      <c r="A33" s="34" t="s">
        <v>63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 t="s">
        <v>60</v>
      </c>
      <c r="V41" s="12"/>
      <c r="W41" s="12"/>
    </row>
    <row r="42" spans="1:23" ht="18">
      <c r="A42" s="34" t="s">
        <v>23</v>
      </c>
      <c r="V42" s="12"/>
      <c r="W42" s="12"/>
    </row>
    <row r="43" spans="1:23" ht="18">
      <c r="A43" s="34" t="s">
        <v>109</v>
      </c>
      <c r="V43" s="12"/>
      <c r="W43" s="12"/>
    </row>
    <row r="44" spans="1:23" ht="18">
      <c r="A44" s="34" t="s">
        <v>110</v>
      </c>
      <c r="V44" s="12"/>
      <c r="W44" s="12"/>
    </row>
    <row r="45" spans="1:23" ht="18">
      <c r="A45" s="34" t="s">
        <v>64</v>
      </c>
      <c r="B45" s="7"/>
      <c r="V45" s="12"/>
      <c r="W45" s="32"/>
    </row>
    <row r="46" spans="1:23" ht="18">
      <c r="A46" s="34" t="s">
        <v>65</v>
      </c>
      <c r="W46" s="12"/>
    </row>
    <row r="47" spans="1:23" ht="18">
      <c r="A47" s="34" t="s">
        <v>52</v>
      </c>
      <c r="W47" s="12"/>
    </row>
    <row r="48" spans="1:23" ht="18">
      <c r="A48" s="34" t="s">
        <v>25</v>
      </c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59</v>
      </c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M39"/>
  <sheetViews>
    <sheetView workbookViewId="0">
      <pane xSplit="1" topLeftCell="B1" activePane="topRight" state="frozen"/>
      <selection pane="topRight" activeCell="M5" sqref="M5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39" width="22.7109375" style="22" customWidth="1"/>
    <col min="40" max="16384" width="9.140625" style="22"/>
  </cols>
  <sheetData>
    <row r="1" spans="1:39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39" ht="15">
      <c r="A2" s="77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39" ht="17.25" customHeight="1">
      <c r="A3" s="77" t="s">
        <v>108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39" ht="63" customHeight="1">
      <c r="A4" s="51" t="str">
        <f>'[1]MOÇÃO E REQUERIMENTO'!B7</f>
        <v>EXPEDIENTE</v>
      </c>
      <c r="B4" s="50" t="s">
        <v>48</v>
      </c>
      <c r="C4" s="118" t="s">
        <v>111</v>
      </c>
      <c r="D4" s="118" t="s">
        <v>112</v>
      </c>
      <c r="E4" s="118" t="s">
        <v>113</v>
      </c>
      <c r="F4" s="118" t="s">
        <v>114</v>
      </c>
      <c r="G4" s="118" t="s">
        <v>115</v>
      </c>
      <c r="H4" s="118" t="s">
        <v>116</v>
      </c>
      <c r="I4" s="118" t="s">
        <v>117</v>
      </c>
      <c r="J4" s="113" t="s">
        <v>34</v>
      </c>
      <c r="K4" s="125"/>
      <c r="L4" s="50" t="s">
        <v>27</v>
      </c>
      <c r="M4" s="85" t="s">
        <v>102</v>
      </c>
      <c r="N4" s="85" t="s">
        <v>98</v>
      </c>
      <c r="O4" s="85" t="s">
        <v>99</v>
      </c>
      <c r="P4" s="85" t="s">
        <v>103</v>
      </c>
      <c r="Q4" s="85" t="s">
        <v>104</v>
      </c>
      <c r="R4" s="69" t="s">
        <v>105</v>
      </c>
      <c r="S4" s="69" t="s">
        <v>118</v>
      </c>
      <c r="T4" s="69" t="s">
        <v>119</v>
      </c>
      <c r="U4" s="69" t="s">
        <v>120</v>
      </c>
      <c r="V4" s="69" t="s">
        <v>121</v>
      </c>
      <c r="W4" s="69" t="s">
        <v>122</v>
      </c>
      <c r="X4" s="69" t="s">
        <v>123</v>
      </c>
      <c r="Y4" s="69" t="s">
        <v>124</v>
      </c>
      <c r="Z4" s="69" t="s">
        <v>125</v>
      </c>
      <c r="AA4" s="69" t="s">
        <v>127</v>
      </c>
      <c r="AB4" s="69" t="s">
        <v>128</v>
      </c>
      <c r="AC4" s="69" t="s">
        <v>129</v>
      </c>
      <c r="AD4" s="69" t="s">
        <v>130</v>
      </c>
      <c r="AE4" s="69" t="s">
        <v>131</v>
      </c>
      <c r="AF4" s="69" t="s">
        <v>132</v>
      </c>
      <c r="AG4" s="69" t="s">
        <v>133</v>
      </c>
      <c r="AH4" s="69" t="s">
        <v>134</v>
      </c>
      <c r="AI4" s="69" t="s">
        <v>135</v>
      </c>
      <c r="AJ4" s="69" t="s">
        <v>136</v>
      </c>
      <c r="AK4" s="69" t="s">
        <v>137</v>
      </c>
      <c r="AL4" s="69" t="s">
        <v>138</v>
      </c>
      <c r="AM4" s="69" t="s">
        <v>139</v>
      </c>
    </row>
    <row r="5" spans="1:39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55"/>
      <c r="J5" s="55"/>
      <c r="K5" s="114"/>
      <c r="M5" s="114" t="s">
        <v>92</v>
      </c>
      <c r="N5" s="114" t="s">
        <v>92</v>
      </c>
      <c r="O5" s="114" t="s">
        <v>92</v>
      </c>
      <c r="P5" s="119" t="s">
        <v>93</v>
      </c>
      <c r="Q5" s="114" t="s">
        <v>92</v>
      </c>
      <c r="R5" s="114" t="s">
        <v>92</v>
      </c>
      <c r="S5" s="114" t="s">
        <v>92</v>
      </c>
      <c r="T5" s="114" t="s">
        <v>92</v>
      </c>
      <c r="U5" s="114" t="s">
        <v>92</v>
      </c>
      <c r="V5" s="114" t="s">
        <v>92</v>
      </c>
      <c r="W5" s="114" t="s">
        <v>92</v>
      </c>
      <c r="X5" s="114" t="s">
        <v>92</v>
      </c>
      <c r="Y5" s="114" t="s">
        <v>92</v>
      </c>
      <c r="Z5" s="119" t="s">
        <v>126</v>
      </c>
      <c r="AA5" s="119" t="s">
        <v>126</v>
      </c>
      <c r="AB5" s="119" t="s">
        <v>126</v>
      </c>
      <c r="AC5" s="119" t="s">
        <v>126</v>
      </c>
      <c r="AD5" s="119" t="s">
        <v>126</v>
      </c>
      <c r="AE5" s="119" t="s">
        <v>126</v>
      </c>
      <c r="AF5" s="119" t="s">
        <v>126</v>
      </c>
      <c r="AG5" s="119" t="s">
        <v>126</v>
      </c>
      <c r="AH5" s="119" t="s">
        <v>126</v>
      </c>
      <c r="AI5" s="119" t="s">
        <v>126</v>
      </c>
      <c r="AJ5" s="119" t="s">
        <v>126</v>
      </c>
      <c r="AK5" s="119" t="s">
        <v>126</v>
      </c>
      <c r="AL5" s="119" t="s">
        <v>126</v>
      </c>
      <c r="AM5" s="114" t="s">
        <v>92</v>
      </c>
    </row>
    <row r="6" spans="1:39" ht="15.75">
      <c r="A6" s="128" t="s">
        <v>54</v>
      </c>
      <c r="L6" s="23"/>
    </row>
    <row r="7" spans="1:39" ht="15.75">
      <c r="A7" s="128" t="s">
        <v>109</v>
      </c>
      <c r="L7" s="23"/>
    </row>
    <row r="8" spans="1:39" ht="15.75">
      <c r="A8" s="128" t="s">
        <v>57</v>
      </c>
      <c r="L8" s="23"/>
    </row>
    <row r="9" spans="1:39" ht="15.75">
      <c r="A9" s="129" t="s">
        <v>58</v>
      </c>
      <c r="L9" s="23"/>
    </row>
    <row r="10" spans="1:39" ht="15.75">
      <c r="A10" s="128" t="s">
        <v>28</v>
      </c>
      <c r="L10" s="23"/>
    </row>
    <row r="11" spans="1:39" ht="15.75">
      <c r="A11" s="128" t="s">
        <v>59</v>
      </c>
      <c r="L11" s="23"/>
    </row>
    <row r="12" spans="1:39" ht="15.75">
      <c r="A12" s="128" t="s">
        <v>22</v>
      </c>
      <c r="L12" s="23"/>
    </row>
    <row r="13" spans="1:39" ht="15.75">
      <c r="A13" s="128" t="s">
        <v>23</v>
      </c>
      <c r="L13" s="23"/>
    </row>
    <row r="14" spans="1:39" ht="15.75">
      <c r="A14" s="128" t="s">
        <v>24</v>
      </c>
      <c r="L14" s="23"/>
    </row>
    <row r="15" spans="1:39" ht="15.75">
      <c r="A15" s="128" t="s">
        <v>60</v>
      </c>
      <c r="L15" s="23"/>
    </row>
    <row r="16" spans="1:39" ht="15.75">
      <c r="A16" s="128" t="s">
        <v>61</v>
      </c>
      <c r="L16" s="23"/>
    </row>
    <row r="17" spans="1:12" ht="15.75">
      <c r="A17" s="128" t="s">
        <v>62</v>
      </c>
      <c r="L17" s="23"/>
    </row>
    <row r="18" spans="1:12" ht="15.75">
      <c r="A18" s="128" t="s">
        <v>25</v>
      </c>
      <c r="L18" s="23"/>
    </row>
    <row r="19" spans="1:12" ht="15.75">
      <c r="A19" s="128" t="s">
        <v>63</v>
      </c>
      <c r="L19" s="23"/>
    </row>
    <row r="20" spans="1:12" ht="15.75">
      <c r="A20" s="128" t="s">
        <v>110</v>
      </c>
      <c r="L20" s="23"/>
    </row>
    <row r="21" spans="1:12" ht="15.75">
      <c r="A21" s="128" t="s">
        <v>26</v>
      </c>
      <c r="L21" s="23"/>
    </row>
    <row r="22" spans="1:12" ht="15.75">
      <c r="A22" s="128" t="s">
        <v>64</v>
      </c>
      <c r="L22" s="23"/>
    </row>
    <row r="23" spans="1:12" ht="15.75">
      <c r="A23" s="128" t="s">
        <v>100</v>
      </c>
      <c r="L23" s="23"/>
    </row>
    <row r="24" spans="1:12" ht="15.75">
      <c r="A24" s="128" t="s">
        <v>52</v>
      </c>
      <c r="L24" s="23"/>
    </row>
    <row r="25" spans="1:12" ht="15.75">
      <c r="A25" s="128" t="s">
        <v>65</v>
      </c>
      <c r="L25" s="23"/>
    </row>
    <row r="26" spans="1:12" ht="15.75">
      <c r="A26" s="128" t="s">
        <v>66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106</v>
      </c>
      <c r="B2" s="49"/>
      <c r="C2" s="75"/>
    </row>
    <row r="3" spans="1:45" ht="17.25" customHeight="1">
      <c r="A3" s="77" t="s">
        <v>108</v>
      </c>
      <c r="B3" s="49"/>
      <c r="C3" s="75"/>
      <c r="E3" s="117"/>
    </row>
    <row r="4" spans="1:45" ht="90.75" customHeight="1" thickBot="1">
      <c r="A4" s="52" t="s">
        <v>5</v>
      </c>
      <c r="B4" s="109" t="s">
        <v>31</v>
      </c>
      <c r="C4" s="140"/>
      <c r="D4" s="110" t="s">
        <v>6</v>
      </c>
      <c r="E4" s="14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37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54</v>
      </c>
      <c r="C6" s="108"/>
      <c r="E6" s="108"/>
    </row>
    <row r="7" spans="1:45" ht="20.25">
      <c r="A7" s="46" t="s">
        <v>109</v>
      </c>
      <c r="C7" s="108"/>
      <c r="E7" s="108"/>
    </row>
    <row r="8" spans="1:45" ht="20.25">
      <c r="A8" s="46" t="s">
        <v>57</v>
      </c>
      <c r="C8" s="108"/>
      <c r="E8" s="108"/>
    </row>
    <row r="9" spans="1:45" ht="20.25">
      <c r="A9" s="83" t="s">
        <v>58</v>
      </c>
      <c r="C9" s="115"/>
      <c r="E9" s="115"/>
    </row>
    <row r="10" spans="1:45" ht="20.25">
      <c r="A10" s="46" t="s">
        <v>28</v>
      </c>
      <c r="C10" s="108"/>
      <c r="E10" s="108"/>
    </row>
    <row r="11" spans="1:45" ht="20.25">
      <c r="A11" s="46" t="s">
        <v>59</v>
      </c>
      <c r="C11" s="115"/>
      <c r="E11" s="115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60</v>
      </c>
      <c r="C15" s="108"/>
      <c r="E15" s="108"/>
    </row>
    <row r="16" spans="1:45" ht="20.25">
      <c r="A16" s="46" t="s">
        <v>61</v>
      </c>
      <c r="C16" s="108"/>
      <c r="E16" s="108"/>
    </row>
    <row r="17" spans="1:130" ht="20.25">
      <c r="A17" s="46" t="s">
        <v>62</v>
      </c>
      <c r="C17" s="108"/>
      <c r="E17" s="108"/>
    </row>
    <row r="18" spans="1:130" ht="20.25">
      <c r="A18" s="46" t="s">
        <v>25</v>
      </c>
      <c r="C18" s="108"/>
      <c r="E18" s="115"/>
    </row>
    <row r="19" spans="1:130" ht="20.25">
      <c r="A19" s="46" t="s">
        <v>63</v>
      </c>
      <c r="C19" s="108"/>
      <c r="E19" s="108"/>
    </row>
    <row r="20" spans="1:130" ht="20.25">
      <c r="A20" s="46" t="s">
        <v>110</v>
      </c>
      <c r="C20" s="108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64</v>
      </c>
      <c r="C22" s="108"/>
      <c r="E22" s="108"/>
    </row>
    <row r="23" spans="1:130" ht="20.25">
      <c r="A23" s="46" t="s">
        <v>100</v>
      </c>
      <c r="C23" s="108"/>
      <c r="E23" s="108"/>
    </row>
    <row r="24" spans="1:130" ht="20.25">
      <c r="A24" s="46" t="s">
        <v>52</v>
      </c>
      <c r="C24" s="108"/>
      <c r="E24" s="108"/>
    </row>
    <row r="25" spans="1:130" ht="20.25">
      <c r="A25" s="46" t="s">
        <v>65</v>
      </c>
      <c r="C25" s="108"/>
      <c r="E25" s="108"/>
    </row>
    <row r="26" spans="1:130" ht="20.25">
      <c r="A26" s="46" t="s">
        <v>66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C18" sqref="C18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42" t="s">
        <v>140</v>
      </c>
      <c r="D4" s="142" t="s">
        <v>141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94</v>
      </c>
      <c r="D5" s="114" t="s">
        <v>96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54</v>
      </c>
      <c r="C6" s="108" t="s">
        <v>95</v>
      </c>
      <c r="D6" s="108"/>
      <c r="V6" s="7"/>
      <c r="W6" s="7"/>
    </row>
    <row r="7" spans="1:30" ht="18">
      <c r="A7" s="130" t="s">
        <v>109</v>
      </c>
      <c r="C7" s="108" t="s">
        <v>95</v>
      </c>
      <c r="D7" s="108"/>
      <c r="V7" s="7"/>
      <c r="W7" s="7"/>
    </row>
    <row r="8" spans="1:30" ht="18">
      <c r="A8" s="130" t="s">
        <v>57</v>
      </c>
      <c r="C8" s="108" t="s">
        <v>95</v>
      </c>
      <c r="D8" s="108"/>
      <c r="V8" s="7"/>
      <c r="W8" s="7"/>
    </row>
    <row r="9" spans="1:30" ht="18">
      <c r="A9" s="131" t="s">
        <v>58</v>
      </c>
      <c r="C9" s="108" t="s">
        <v>95</v>
      </c>
      <c r="D9" s="115"/>
      <c r="V9" s="7"/>
      <c r="W9" s="7"/>
    </row>
    <row r="10" spans="1:30" ht="18">
      <c r="A10" s="130" t="s">
        <v>28</v>
      </c>
      <c r="C10" s="108" t="s">
        <v>95</v>
      </c>
      <c r="D10" s="108"/>
      <c r="V10" s="7"/>
      <c r="W10" s="7"/>
    </row>
    <row r="11" spans="1:30" ht="18">
      <c r="A11" s="130" t="s">
        <v>59</v>
      </c>
      <c r="C11" s="108" t="s">
        <v>95</v>
      </c>
      <c r="D11" s="115"/>
      <c r="V11" s="7"/>
      <c r="W11" s="7"/>
    </row>
    <row r="12" spans="1:30" ht="18">
      <c r="A12" s="130" t="s">
        <v>22</v>
      </c>
      <c r="C12" s="108" t="s">
        <v>95</v>
      </c>
      <c r="D12" s="115"/>
      <c r="V12" s="7"/>
      <c r="W12" s="7"/>
    </row>
    <row r="13" spans="1:30" ht="18">
      <c r="A13" s="130" t="s">
        <v>23</v>
      </c>
      <c r="C13" s="115" t="s">
        <v>56</v>
      </c>
      <c r="D13" s="108"/>
      <c r="V13" s="7"/>
      <c r="W13" s="7"/>
    </row>
    <row r="14" spans="1:30" ht="18">
      <c r="A14" s="130" t="s">
        <v>24</v>
      </c>
      <c r="C14" s="115" t="s">
        <v>56</v>
      </c>
      <c r="D14" s="108"/>
      <c r="V14" s="7"/>
      <c r="W14" s="7"/>
    </row>
    <row r="15" spans="1:30" ht="18">
      <c r="A15" s="130" t="s">
        <v>60</v>
      </c>
      <c r="C15" s="115" t="s">
        <v>56</v>
      </c>
      <c r="D15" s="108"/>
      <c r="V15" s="7"/>
      <c r="W15" s="7"/>
    </row>
    <row r="16" spans="1:30" ht="18">
      <c r="A16" s="130" t="s">
        <v>61</v>
      </c>
      <c r="C16" s="108" t="s">
        <v>95</v>
      </c>
      <c r="D16" s="108"/>
      <c r="V16" s="7"/>
      <c r="W16" s="7"/>
    </row>
    <row r="17" spans="1:124" ht="15" customHeight="1">
      <c r="A17" s="130" t="s">
        <v>62</v>
      </c>
      <c r="C17" s="115" t="s">
        <v>143</v>
      </c>
      <c r="D17" s="108"/>
      <c r="U17" s="8"/>
      <c r="V17" s="7"/>
      <c r="W17" s="7"/>
    </row>
    <row r="18" spans="1:124" ht="18">
      <c r="A18" s="130" t="s">
        <v>25</v>
      </c>
      <c r="C18" s="115" t="s">
        <v>56</v>
      </c>
      <c r="D18" s="115"/>
      <c r="V18" s="7"/>
      <c r="W18" s="7"/>
    </row>
    <row r="19" spans="1:124" ht="18">
      <c r="A19" s="130" t="s">
        <v>63</v>
      </c>
      <c r="C19" s="108" t="s">
        <v>95</v>
      </c>
      <c r="D19" s="108"/>
      <c r="V19" s="7"/>
      <c r="W19" s="7"/>
    </row>
    <row r="20" spans="1:124" ht="18">
      <c r="A20" s="130" t="s">
        <v>110</v>
      </c>
      <c r="C20" s="108" t="s">
        <v>95</v>
      </c>
      <c r="D20" s="108"/>
      <c r="V20" s="7"/>
      <c r="W20" s="7"/>
    </row>
    <row r="21" spans="1:124" ht="18">
      <c r="A21" s="130" t="s">
        <v>26</v>
      </c>
      <c r="C21" s="108" t="s">
        <v>95</v>
      </c>
      <c r="D21" s="108"/>
      <c r="V21" s="7"/>
      <c r="W21" s="7"/>
    </row>
    <row r="22" spans="1:124" ht="18">
      <c r="A22" s="130" t="s">
        <v>64</v>
      </c>
      <c r="C22" s="108" t="s">
        <v>95</v>
      </c>
      <c r="D22" s="108"/>
      <c r="V22" s="7"/>
      <c r="W22" s="7"/>
    </row>
    <row r="23" spans="1:124" ht="18">
      <c r="A23" s="130" t="s">
        <v>100</v>
      </c>
      <c r="C23" s="108" t="s">
        <v>95</v>
      </c>
      <c r="D23" s="108"/>
      <c r="V23" s="7"/>
      <c r="W23" s="7"/>
    </row>
    <row r="24" spans="1:124" ht="18">
      <c r="A24" s="130" t="s">
        <v>52</v>
      </c>
      <c r="C24" s="108" t="s">
        <v>95</v>
      </c>
      <c r="D24" s="108"/>
      <c r="V24" s="7"/>
      <c r="W24" s="7"/>
    </row>
    <row r="25" spans="1:124" ht="18">
      <c r="A25" s="130" t="s">
        <v>65</v>
      </c>
      <c r="C25" s="108" t="s">
        <v>95</v>
      </c>
      <c r="D25" s="108"/>
      <c r="V25" s="7"/>
      <c r="W25" s="7"/>
    </row>
    <row r="26" spans="1:124" ht="18">
      <c r="A26" s="130" t="s">
        <v>66</v>
      </c>
      <c r="C26" s="108" t="s">
        <v>95</v>
      </c>
      <c r="D26" s="108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4">
        <f t="shared" ref="C27:D27" si="1">COUNTIF(C6:C26,"sim")</f>
        <v>16</v>
      </c>
      <c r="D27" s="104">
        <f t="shared" si="1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5">
        <f t="shared" ref="C28:D28" si="7">COUNTIF(C6:C26,"não")</f>
        <v>0</v>
      </c>
      <c r="D28" s="105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4</v>
      </c>
      <c r="D29" s="40">
        <f t="shared" si="13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D30" si="19">COUNTIF(C6:C26,"abstenção")</f>
        <v>1</v>
      </c>
      <c r="D30" s="106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G14" sqref="G1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106</v>
      </c>
      <c r="B2" s="2"/>
    </row>
    <row r="3" spans="1:3" ht="15.75" thickBot="1">
      <c r="A3" s="122" t="s">
        <v>108</v>
      </c>
      <c r="B3" s="2"/>
    </row>
    <row r="4" spans="1:3" ht="78.75" customHeight="1" thickBot="1">
      <c r="A4" s="121" t="s">
        <v>5</v>
      </c>
      <c r="B4" s="112" t="s">
        <v>21</v>
      </c>
      <c r="C4" s="142" t="s">
        <v>142</v>
      </c>
    </row>
    <row r="5" spans="1:3" s="6" customFormat="1" ht="60.75" customHeight="1">
      <c r="A5" s="123"/>
      <c r="B5" s="112"/>
      <c r="C5" s="114" t="s">
        <v>94</v>
      </c>
    </row>
    <row r="6" spans="1:3" ht="15.75">
      <c r="A6" s="128" t="s">
        <v>54</v>
      </c>
      <c r="C6" s="108" t="s">
        <v>95</v>
      </c>
    </row>
    <row r="7" spans="1:3" ht="15.75">
      <c r="A7" s="128" t="s">
        <v>109</v>
      </c>
      <c r="C7" s="108" t="s">
        <v>95</v>
      </c>
    </row>
    <row r="8" spans="1:3" ht="15.75">
      <c r="A8" s="128" t="s">
        <v>57</v>
      </c>
      <c r="C8" s="108" t="s">
        <v>95</v>
      </c>
    </row>
    <row r="9" spans="1:3" ht="15.75">
      <c r="A9" s="129" t="s">
        <v>58</v>
      </c>
      <c r="C9" s="115" t="s">
        <v>97</v>
      </c>
    </row>
    <row r="10" spans="1:3" ht="15.75">
      <c r="A10" s="128" t="s">
        <v>28</v>
      </c>
      <c r="C10" s="108" t="s">
        <v>95</v>
      </c>
    </row>
    <row r="11" spans="1:3" ht="15.75">
      <c r="A11" s="128" t="s">
        <v>59</v>
      </c>
      <c r="C11" s="108" t="s">
        <v>95</v>
      </c>
    </row>
    <row r="12" spans="1:3" ht="15.75">
      <c r="A12" s="128" t="s">
        <v>22</v>
      </c>
      <c r="C12" s="108" t="s">
        <v>95</v>
      </c>
    </row>
    <row r="13" spans="1:3" ht="15.75">
      <c r="A13" s="128" t="s">
        <v>23</v>
      </c>
      <c r="B13" s="141"/>
      <c r="C13" s="115" t="s">
        <v>56</v>
      </c>
    </row>
    <row r="14" spans="1:3" ht="15.75">
      <c r="A14" s="128" t="s">
        <v>24</v>
      </c>
      <c r="C14" s="115" t="s">
        <v>56</v>
      </c>
    </row>
    <row r="15" spans="1:3" ht="15.75">
      <c r="A15" s="128" t="s">
        <v>60</v>
      </c>
      <c r="C15" s="115" t="s">
        <v>56</v>
      </c>
    </row>
    <row r="16" spans="1:3" ht="15.75">
      <c r="A16" s="128" t="s">
        <v>61</v>
      </c>
      <c r="C16" s="108" t="s">
        <v>95</v>
      </c>
    </row>
    <row r="17" spans="1:3" ht="15.75">
      <c r="A17" s="128" t="s">
        <v>62</v>
      </c>
      <c r="C17" s="108" t="s">
        <v>95</v>
      </c>
    </row>
    <row r="18" spans="1:3" ht="15.75">
      <c r="A18" s="128" t="s">
        <v>25</v>
      </c>
      <c r="C18" s="115" t="s">
        <v>56</v>
      </c>
    </row>
    <row r="19" spans="1:3" ht="15.75">
      <c r="A19" s="128" t="s">
        <v>63</v>
      </c>
      <c r="C19" s="108" t="s">
        <v>95</v>
      </c>
    </row>
    <row r="20" spans="1:3" ht="15.75">
      <c r="A20" s="128" t="s">
        <v>110</v>
      </c>
      <c r="C20" s="108" t="s">
        <v>95</v>
      </c>
    </row>
    <row r="21" spans="1:3" ht="15.75">
      <c r="A21" s="128" t="s">
        <v>26</v>
      </c>
      <c r="C21" s="108" t="s">
        <v>95</v>
      </c>
    </row>
    <row r="22" spans="1:3" ht="15.75">
      <c r="A22" s="128" t="s">
        <v>64</v>
      </c>
      <c r="C22" s="108" t="s">
        <v>95</v>
      </c>
    </row>
    <row r="23" spans="1:3" ht="15.75">
      <c r="A23" s="128" t="s">
        <v>100</v>
      </c>
      <c r="C23" s="108" t="s">
        <v>95</v>
      </c>
    </row>
    <row r="24" spans="1:3" ht="15.75">
      <c r="A24" s="128" t="s">
        <v>52</v>
      </c>
      <c r="C24" s="108" t="s">
        <v>95</v>
      </c>
    </row>
    <row r="25" spans="1:3" ht="15.75">
      <c r="A25" s="128" t="s">
        <v>65</v>
      </c>
      <c r="C25" s="108" t="s">
        <v>95</v>
      </c>
    </row>
    <row r="26" spans="1:3" ht="15.75">
      <c r="A26" s="128" t="s">
        <v>66</v>
      </c>
      <c r="C26" s="108" t="s">
        <v>95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16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4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20" sqref="A20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106</v>
      </c>
      <c r="B2" s="2"/>
      <c r="C2" s="54"/>
      <c r="D2" s="54"/>
      <c r="E2" s="54"/>
    </row>
    <row r="3" spans="1:9" ht="15.75" thickBot="1">
      <c r="A3" s="122" t="s">
        <v>108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109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110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100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A20" sqref="A20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106</v>
      </c>
      <c r="B2" s="2"/>
    </row>
    <row r="3" spans="1:25">
      <c r="A3" s="77" t="s">
        <v>108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109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110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100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2025-06-17T15:58:34Z</dcterms:modified>
</cp:coreProperties>
</file>