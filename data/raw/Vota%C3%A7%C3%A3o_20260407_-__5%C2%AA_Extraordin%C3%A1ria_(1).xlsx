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3B62BD6C-731C-4513-A4FD-DC61C90D909A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N6" i="7"/>
  <c r="P6" i="7"/>
  <c r="J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<sst xmlns="http://schemas.openxmlformats.org/spreadsheetml/2006/main" count="169" uniqueCount="64">
  <si>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</si>
  <si>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</si>
  <si>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</si>
  <si>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</si>
  <si>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</si>
  <si>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</si>
  <si>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</si>
  <si>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</si>
  <si>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</si>
  <si>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</si>
  <si>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</si>
  <si>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</si>
  <si>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</si>
  <si>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</si>
  <si>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</si>
  <si>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</si>
  <si>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</si>
  <si>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</si>
  <si>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</si>
  <si>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</si>
  <si>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</si>
  <si>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</si>
  <si>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</si>
  <si>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</si>
  <si>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</si>
  <si>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</si>
  <si>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</si>
  <si>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</si>
  <si>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</si>
  <si>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</si>
  <si>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</si>
  <si>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</si>
  <si>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</si>
  <si>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</si>
  <si>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</si>
  <si>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</si>
  <si>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</si>
  <si>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</si>
  <si>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</si>
  <si>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</si>
  <si>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</si>
  <si>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</si>
  <si>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</si>
  <si>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</si>
  <si>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</si>
  <si>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</si>
  <si>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</si>
  <si>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</si>
  <si>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</si>
  <si>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</si>
  <si>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</si>
  <si>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</si>
  <si>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</si>
  <si>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</si>
  <si>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</si>
  <si>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</si>
  <si>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</si>
  <si>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Batista Comunidade</t>
  </si>
  <si>
    <t>Sergio Fontellas</t>
  </si>
  <si>
    <t>Lúcia da Saúde</t>
  </si>
  <si>
    <t xml:space="preserve"> 5ª SESSÃO  EXTRAORDINÁRIA</t>
  </si>
  <si>
    <t>DIA 7 DE ABRIL DE 2026 - TERÇA–FEIRA</t>
  </si>
  <si>
    <r>
      <t xml:space="preserve">5ª </t>
    </r>
    <r>
      <rPr>
        <b/>
        <sz val="12"/>
        <color theme="1"/>
        <rFont val="Arial"/>
        <family val="2"/>
      </rPr>
      <t>SESSÃO EXTRAORDINÁRIA</t>
    </r>
  </si>
  <si>
    <r>
      <t xml:space="preserve">PROJETO DE LEI Nº 67/2026 – PREFEITO DO MUNICÍPIO DE OSASCO – </t>
    </r>
    <r>
      <rPr>
        <sz val="12"/>
        <color theme="1"/>
        <rFont val="Arial"/>
        <family val="2"/>
      </rPr>
      <t xml:space="preserve">Autoriza o Município de Osasco a celebrar convênio com o Estado de São Paulo, por intermédio da Secretaria de Estado da Cultura e Economia Criativa.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</si>
</sst>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8" borderId="0" xfId="0" applyFont="1" applyFill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zoomScaleNormal="100" workbookViewId="0">
      <selection activeCell="C34" sqref="C34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60</v>
      </c>
      <c r="C2" s="15"/>
      <c r="D2" s="77" t="s">
        <v>62</v>
      </c>
      <c r="E2" s="78"/>
      <c r="F2" s="78"/>
      <c r="G2" s="79"/>
      <c r="L2" s="80" t="s">
        <v>34</v>
      </c>
      <c r="M2" s="78"/>
      <c r="N2" s="78"/>
      <c r="O2" s="79"/>
      <c r="P2" s="24" t="s">
        <v>10</v>
      </c>
      <c r="U2" s="14" t="s">
        <v>16</v>
      </c>
    </row>
    <row r="3" spans="1:26" ht="35.25" customHeight="1">
      <c r="B3" s="15" t="s">
        <v>61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73" t="s">
        <v>38</v>
      </c>
      <c r="E6" s="11"/>
      <c r="F6" s="37"/>
      <c r="G6" s="73"/>
      <c r="H6" s="11"/>
      <c r="I6" s="37"/>
      <c r="J6" s="24" t="str">
        <f t="shared" ref="J6:J26" si="1">IF(H6="","",VLOOKUP(H6,O$1:P$3,2))</f>
        <v/>
      </c>
      <c r="K6" s="11"/>
      <c r="L6" s="73"/>
      <c r="M6" s="11"/>
      <c r="N6" s="43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40" t="s">
        <v>57</v>
      </c>
      <c r="C7" s="20">
        <v>2</v>
      </c>
      <c r="D7" s="75" t="s">
        <v>39</v>
      </c>
      <c r="E7" s="11"/>
      <c r="F7" s="37"/>
      <c r="G7" s="75"/>
      <c r="H7" s="11"/>
      <c r="I7" s="37"/>
      <c r="J7" s="24" t="str">
        <f t="shared" si="1"/>
        <v/>
      </c>
      <c r="K7" s="12"/>
      <c r="L7" s="75"/>
      <c r="M7" s="12"/>
      <c r="N7" s="43" t="str">
        <f t="shared" si="2"/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1</v>
      </c>
      <c r="D8" s="73" t="s">
        <v>38</v>
      </c>
      <c r="E8" s="11"/>
      <c r="F8" s="37"/>
      <c r="G8" s="75"/>
      <c r="H8" s="11"/>
      <c r="I8" s="37"/>
      <c r="J8" s="24" t="str">
        <f t="shared" si="1"/>
        <v/>
      </c>
      <c r="K8" s="12"/>
      <c r="L8" s="73"/>
      <c r="M8" s="12"/>
      <c r="N8" s="43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73" t="s">
        <v>38</v>
      </c>
      <c r="E9" s="11"/>
      <c r="F9" s="37"/>
      <c r="G9" s="49"/>
      <c r="H9" s="11"/>
      <c r="I9" s="37"/>
      <c r="J9" s="24"/>
      <c r="K9" s="12"/>
      <c r="L9" s="75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73" t="s">
        <v>38</v>
      </c>
      <c r="E10" s="11"/>
      <c r="F10" s="37"/>
      <c r="G10" s="49"/>
      <c r="H10" s="11"/>
      <c r="I10" s="37"/>
      <c r="J10" s="24"/>
      <c r="K10" s="12"/>
      <c r="L10" s="7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1</v>
      </c>
      <c r="D11" s="73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74" t="str">
        <f t="shared" ref="L11:L26" si="6">IF(K11="","",VLOOKUP(K11,O$1:P$3,2))</f>
        <v/>
      </c>
      <c r="M11" s="12"/>
      <c r="N11" s="43" t="str">
        <f t="shared" si="2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73" t="s">
        <v>38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6"/>
        <v/>
      </c>
      <c r="M12" s="12"/>
      <c r="N12" s="43" t="str">
        <f t="shared" si="2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2</v>
      </c>
      <c r="D13" s="75" t="s">
        <v>39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6"/>
        <v/>
      </c>
      <c r="M13" s="12"/>
      <c r="N13" s="43" t="str">
        <f t="shared" si="2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7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6"/>
        <v/>
      </c>
      <c r="M14" s="12"/>
      <c r="N14" s="43" t="str">
        <f t="shared" si="2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2</v>
      </c>
      <c r="D15" s="75" t="s">
        <v>39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6"/>
        <v/>
      </c>
      <c r="M15" s="12"/>
      <c r="N15" s="43" t="str">
        <f t="shared" si="2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1</v>
      </c>
      <c r="D16" s="73" t="s">
        <v>38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6"/>
        <v/>
      </c>
      <c r="M16" s="12"/>
      <c r="N16" s="43" t="str">
        <f t="shared" si="2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7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6"/>
        <v/>
      </c>
      <c r="M17" s="12"/>
      <c r="N17" s="43" t="str">
        <f t="shared" si="2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1</v>
      </c>
      <c r="D18" s="73" t="s">
        <v>38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6"/>
        <v/>
      </c>
      <c r="M18" s="12"/>
      <c r="N18" s="43" t="str">
        <f t="shared" si="2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73" t="s">
        <v>38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6"/>
        <v/>
      </c>
      <c r="M19" s="12"/>
      <c r="N19" s="43" t="str">
        <f t="shared" si="2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59</v>
      </c>
      <c r="C20" s="20">
        <v>2</v>
      </c>
      <c r="D20" s="75" t="s">
        <v>39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6"/>
        <v/>
      </c>
      <c r="M20" s="12"/>
      <c r="N20" s="43" t="str">
        <f t="shared" si="2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2</v>
      </c>
      <c r="D21" s="75" t="s">
        <v>39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6"/>
        <v/>
      </c>
      <c r="M21" s="12"/>
      <c r="N21" s="43" t="str">
        <f t="shared" si="2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55</v>
      </c>
      <c r="C22" s="23">
        <v>1</v>
      </c>
      <c r="D22" s="7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6"/>
        <v/>
      </c>
      <c r="M22" s="12"/>
      <c r="N22" s="43" t="str">
        <f t="shared" si="2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3">
        <v>1</v>
      </c>
      <c r="D23" s="73" t="s">
        <v>38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6"/>
        <v/>
      </c>
      <c r="M23" s="12"/>
      <c r="N23" s="43" t="str">
        <f t="shared" si="2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3">
        <v>1</v>
      </c>
      <c r="D24" s="7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6"/>
        <v/>
      </c>
      <c r="M24" s="12"/>
      <c r="N24" s="43" t="str">
        <f t="shared" si="2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58</v>
      </c>
      <c r="C25" s="23">
        <v>2</v>
      </c>
      <c r="D25" s="75" t="s">
        <v>39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6"/>
        <v/>
      </c>
      <c r="M25" s="12"/>
      <c r="N25" s="43" t="str">
        <f t="shared" si="2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56</v>
      </c>
      <c r="C26" s="23">
        <v>1</v>
      </c>
      <c r="D26" s="73" t="s">
        <v>38</v>
      </c>
      <c r="E26" s="11"/>
      <c r="F26" s="37"/>
      <c r="G26" s="72"/>
      <c r="H26" s="22"/>
      <c r="I26" s="38"/>
      <c r="J26" s="24" t="str">
        <f t="shared" si="1"/>
        <v/>
      </c>
      <c r="K26" s="12"/>
      <c r="L26" s="44" t="str">
        <f t="shared" si="6"/>
        <v/>
      </c>
      <c r="M26" s="71"/>
      <c r="N26" s="53" t="str">
        <f t="shared" si="2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15</v>
      </c>
      <c r="D27" s="54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69" t="s">
        <v>25</v>
      </c>
      <c r="C32"/>
      <c r="O32" s="13"/>
      <c r="S32" s="24"/>
      <c r="T32" s="24"/>
    </row>
    <row r="33" spans="2:20" ht="15.75">
      <c r="B33" s="69" t="s">
        <v>59</v>
      </c>
      <c r="S33" s="24"/>
      <c r="T33" s="24"/>
    </row>
    <row r="34" spans="2:20" ht="15.75">
      <c r="B34" s="69" t="s">
        <v>58</v>
      </c>
      <c r="S34" s="24"/>
      <c r="T34" s="24"/>
    </row>
    <row r="35" spans="2:20" ht="15.75">
      <c r="B35" s="69"/>
      <c r="S35" s="25"/>
      <c r="T35" s="24"/>
    </row>
    <row r="36" spans="2:20" ht="15.75">
      <c r="B36" s="69"/>
      <c r="S36" s="25"/>
      <c r="T36" s="24"/>
    </row>
    <row r="37" spans="2:20" ht="18">
      <c r="B37" s="34"/>
      <c r="S37" s="25"/>
      <c r="T37" s="24"/>
    </row>
    <row r="38" spans="2:20" ht="15.75">
      <c r="B38" s="76"/>
      <c r="S38" s="24"/>
      <c r="T38" s="24"/>
    </row>
    <row r="39" spans="2:20" ht="15.75">
      <c r="B39" s="35" t="s">
        <v>31</v>
      </c>
      <c r="S39" s="24"/>
      <c r="T39" s="24"/>
    </row>
    <row r="40" spans="2:20" ht="18">
      <c r="B40" s="34"/>
      <c r="S40" s="24"/>
      <c r="T40" s="24"/>
    </row>
    <row r="41" spans="2:20" ht="18">
      <c r="B41" s="34"/>
      <c r="C41" s="14"/>
      <c r="S41" s="24"/>
      <c r="T41" s="25"/>
    </row>
    <row r="42" spans="2:20" ht="18">
      <c r="B42" s="34"/>
      <c r="T42" s="24"/>
    </row>
    <row r="43" spans="2:20" ht="18.75">
      <c r="B43" s="33"/>
      <c r="T43" s="24"/>
    </row>
    <row r="44" spans="2:20" ht="18.75">
      <c r="B44" s="33"/>
      <c r="T44" s="24"/>
    </row>
    <row r="45" spans="2:20" ht="18.75">
      <c r="B45" s="33"/>
      <c r="L45"/>
      <c r="T45" s="24"/>
    </row>
    <row r="46" spans="2:20" ht="18.75">
      <c r="B46" s="33"/>
      <c r="L46"/>
    </row>
    <row r="47" spans="2:20" ht="15.75" customHeight="1">
      <c r="B47" s="31"/>
    </row>
    <row r="48" spans="2:20" ht="18.75">
      <c r="B48" s="33"/>
    </row>
    <row r="49" spans="2:2" ht="18">
      <c r="B49" s="34"/>
    </row>
    <row r="50" spans="2:2" ht="18">
      <c r="B50" s="34"/>
    </row>
    <row r="51" spans="2:2" ht="18">
      <c r="B51" s="34"/>
    </row>
    <row r="52" spans="2:2" ht="18.75">
      <c r="B52" s="33"/>
    </row>
    <row r="53" spans="2:2" ht="18.75">
      <c r="B53" s="33"/>
    </row>
  </sheetData>
  <mergeCells count="2">
    <mergeCell ref="D2:G2"/>
    <mergeCell ref="L2:O2"/>
  </mergeCells>
  <dataValidations count="1">
    <dataValidation type="list" allowBlank="1" showInputMessage="1" showErrorMessage="1" sqref="B48:B53 B40:B46 B32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H11" sqref="H11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60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61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5" t="s">
        <v>43</v>
      </c>
      <c r="F4" s="55" t="s">
        <v>45</v>
      </c>
      <c r="G4" s="55" t="s">
        <v>63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6" t="s">
        <v>36</v>
      </c>
      <c r="F5" s="56" t="s">
        <v>36</v>
      </c>
      <c r="G5" s="81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1">
        <v>1</v>
      </c>
      <c r="B6" s="63" t="s">
        <v>37</v>
      </c>
      <c r="E6" s="57" t="s">
        <v>40</v>
      </c>
      <c r="F6" s="57" t="s">
        <v>40</v>
      </c>
      <c r="G6" s="57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1">
        <v>2</v>
      </c>
      <c r="B7" s="63" t="s">
        <v>57</v>
      </c>
      <c r="E7" s="57" t="s">
        <v>40</v>
      </c>
      <c r="F7" s="57" t="s">
        <v>40</v>
      </c>
      <c r="G7" s="68" t="s">
        <v>39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1">
        <v>3</v>
      </c>
      <c r="B8" s="63" t="s">
        <v>47</v>
      </c>
      <c r="E8" s="58" t="s">
        <v>41</v>
      </c>
      <c r="F8" s="57" t="s">
        <v>40</v>
      </c>
      <c r="G8" s="57" t="s">
        <v>40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1">
        <v>4</v>
      </c>
      <c r="B9" s="63" t="s">
        <v>48</v>
      </c>
      <c r="E9" s="57" t="s">
        <v>40</v>
      </c>
      <c r="F9" s="57" t="s">
        <v>40</v>
      </c>
      <c r="G9" s="58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1">
        <v>5</v>
      </c>
      <c r="B10" s="63" t="s">
        <v>49</v>
      </c>
      <c r="E10" s="57" t="s">
        <v>40</v>
      </c>
      <c r="F10" s="57" t="s">
        <v>40</v>
      </c>
      <c r="G10" s="57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1">
        <v>6</v>
      </c>
      <c r="B11" s="63" t="s">
        <v>50</v>
      </c>
      <c r="E11" s="57" t="s">
        <v>40</v>
      </c>
      <c r="F11" s="57" t="s">
        <v>40</v>
      </c>
      <c r="G11" s="57" t="s">
        <v>40</v>
      </c>
      <c r="H11" s="52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1">
        <v>7</v>
      </c>
      <c r="B12" s="63" t="s">
        <v>24</v>
      </c>
      <c r="E12" s="68" t="s">
        <v>39</v>
      </c>
      <c r="F12" s="68" t="s">
        <v>39</v>
      </c>
      <c r="G12" s="57" t="s">
        <v>40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1">
        <v>8</v>
      </c>
      <c r="B13" s="63" t="s">
        <v>25</v>
      </c>
      <c r="E13" s="57" t="s">
        <v>40</v>
      </c>
      <c r="F13" s="57" t="s">
        <v>40</v>
      </c>
      <c r="G13" s="57" t="s">
        <v>40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1">
        <v>9</v>
      </c>
      <c r="B14" s="63" t="s">
        <v>26</v>
      </c>
      <c r="E14" s="57"/>
      <c r="F14" s="57"/>
      <c r="G14" s="57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1">
        <v>10</v>
      </c>
      <c r="B15" s="63" t="s">
        <v>51</v>
      </c>
      <c r="E15" s="57"/>
      <c r="F15" s="57"/>
      <c r="G15" s="68" t="s">
        <v>39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1">
        <v>11</v>
      </c>
      <c r="B16" s="63" t="s">
        <v>52</v>
      </c>
      <c r="E16" s="57" t="s">
        <v>40</v>
      </c>
      <c r="F16" s="57" t="s">
        <v>40</v>
      </c>
      <c r="G16" s="57" t="s">
        <v>40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1">
        <v>12</v>
      </c>
      <c r="B17" s="63" t="s">
        <v>53</v>
      </c>
      <c r="E17" s="57" t="s">
        <v>40</v>
      </c>
      <c r="F17" s="57" t="s">
        <v>40</v>
      </c>
      <c r="G17" s="57" t="s">
        <v>40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1">
        <v>13</v>
      </c>
      <c r="B18" s="63" t="s">
        <v>27</v>
      </c>
      <c r="E18" s="57" t="s">
        <v>40</v>
      </c>
      <c r="F18" s="57" t="s">
        <v>40</v>
      </c>
      <c r="G18" s="57" t="s">
        <v>40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1">
        <v>14</v>
      </c>
      <c r="B19" s="63" t="s">
        <v>54</v>
      </c>
      <c r="E19" s="57" t="s">
        <v>40</v>
      </c>
      <c r="F19" s="57" t="s">
        <v>40</v>
      </c>
      <c r="G19" s="57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1">
        <v>15</v>
      </c>
      <c r="B20" s="63" t="s">
        <v>59</v>
      </c>
      <c r="E20" s="57" t="s">
        <v>40</v>
      </c>
      <c r="F20" s="57" t="s">
        <v>40</v>
      </c>
      <c r="G20" s="57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1">
        <v>16</v>
      </c>
      <c r="B21" s="63" t="s">
        <v>29</v>
      </c>
      <c r="E21" s="57" t="s">
        <v>40</v>
      </c>
      <c r="F21" s="70" t="s">
        <v>44</v>
      </c>
      <c r="G21" s="68" t="s">
        <v>39</v>
      </c>
      <c r="H21" s="52"/>
      <c r="I21" s="52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1">
        <v>17</v>
      </c>
      <c r="B22" s="63" t="s">
        <v>55</v>
      </c>
      <c r="E22" s="57" t="s">
        <v>40</v>
      </c>
      <c r="F22" s="57" t="s">
        <v>40</v>
      </c>
      <c r="G22" s="57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1">
        <v>18</v>
      </c>
      <c r="B23" s="63" t="s">
        <v>28</v>
      </c>
      <c r="E23" s="57" t="s">
        <v>40</v>
      </c>
      <c r="F23" s="57" t="s">
        <v>40</v>
      </c>
      <c r="G23" s="57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1">
        <v>19</v>
      </c>
      <c r="B24" s="63" t="s">
        <v>42</v>
      </c>
      <c r="E24" s="57" t="s">
        <v>40</v>
      </c>
      <c r="F24" s="57" t="s">
        <v>40</v>
      </c>
      <c r="G24" s="57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1">
        <v>20</v>
      </c>
      <c r="B25" s="63" t="s">
        <v>58</v>
      </c>
      <c r="E25" s="57" t="s">
        <v>40</v>
      </c>
      <c r="F25" s="57" t="s">
        <v>40</v>
      </c>
      <c r="G25" s="57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1">
        <v>21</v>
      </c>
      <c r="B26" s="63" t="s">
        <v>56</v>
      </c>
      <c r="E26" s="57" t="s">
        <v>40</v>
      </c>
      <c r="F26" s="57" t="s">
        <v>40</v>
      </c>
      <c r="G26" s="57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59"/>
      <c r="B27" s="64" t="s">
        <v>18</v>
      </c>
      <c r="E27" s="59">
        <f>COUNTIF(E6:E26,"sim")</f>
        <v>17</v>
      </c>
      <c r="F27" s="59">
        <f>COUNTIF(F6:F26,"sim")</f>
        <v>17</v>
      </c>
      <c r="G27" s="59">
        <f t="shared" ref="G27" si="0">COUNTIF(G6:G26,"sim")</f>
        <v>17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0"/>
      <c r="B28" s="65" t="s">
        <v>19</v>
      </c>
      <c r="E28" s="60">
        <f>COUNTIF(E6:E27,"não")</f>
        <v>0</v>
      </c>
      <c r="F28" s="60">
        <f>COUNTIF(F6:F27,"não")</f>
        <v>1</v>
      </c>
      <c r="G28" s="60">
        <f t="shared" ref="G28" si="5">COUNTIF(G6:G27,"não")</f>
        <v>0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 t="shared" ref="G29" si="10">COUNTIF(G7:G28,"ausente")</f>
        <v>3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2"/>
      <c r="B30" s="67" t="s">
        <v>20</v>
      </c>
      <c r="E30" s="62">
        <f>COUNTIF(E8:E29,"abstenção")</f>
        <v>0</v>
      </c>
      <c r="F30" s="62">
        <f>COUNTIF(F8:F29,"abstenção")</f>
        <v>0</v>
      </c>
      <c r="G30" s="62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2026-04-09T15:40:48Z</dcterms:modified>
</cp:coreProperties>
</file>