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65D99D7C-C9B8-4B94-A9F7-98A91FCA86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A4" i="14"/>
  <c r="E27" i="2"/>
  <c r="E28" i="2"/>
  <c r="E29" i="2"/>
  <c r="E30" i="2"/>
  <c r="C27" i="3"/>
  <c r="C28" i="3"/>
  <c r="C29" i="3"/>
  <c r="C30" i="3"/>
  <c r="C27" i="2" l="1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<sst xmlns="http://schemas.openxmlformats.org/spreadsheetml/2006/main" count="478" uniqueCount="128">
  <si>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</si>
  <si>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</si>
  <si>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</si>
  <si>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</si>
  <si>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</si>
  <si>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</si>
  <si>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</si>
  <si>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</si>
  <si>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</si>
  <si>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</si>
  <si>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</si>
  <si>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</si>
  <si>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</si>
  <si>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</si>
  <si>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</si>
  <si>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</si>
  <si>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</si>
  <si>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</si>
  <si>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</si>
  <si>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</si>
  <si>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</si>
  <si>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</si>
  <si>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</si>
  <si>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</si>
  <si>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</si>
  <si>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</si>
  <si>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</si>
  <si>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</si>
  <si>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</si>
  <si>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</si>
  <si>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</si>
  <si>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</si>
  <si>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</si>
  <si>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</si>
  <si>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</si>
  <si>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</si>
  <si>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</si>
  <si>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</si>
  <si>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</si>
  <si>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</si>
  <si>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</si>
  <si>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</si>
  <si>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</si>
  <si>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</si>
  <si>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</si>
  <si>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</si>
  <si>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</si>
  <si>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</si>
  <si>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</si>
  <si>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</si>
  <si>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</si>
  <si>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</si>
  <si>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</si>
  <si>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</si>
  <si>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</si>
  <si>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</si>
  <si>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</si>
  <si>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</si>
  <si>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</si>
  <si>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</si>
  <si>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</si>
  <si>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</si>
  <si>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</si>
  <si>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</si>
  <si>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</si>
  <si>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</si>
  <si>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</si>
  <si>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</si>
  <si>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</si>
  <si>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Ralfi Silva</t>
  </si>
  <si>
    <t>APROVADO</t>
  </si>
  <si>
    <t>pela ausência do autor, será pautada na próxima sessão.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</si>
  <si>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</si>
  <si>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</si>
  <si>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</si>
  <si>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</si>
  <si>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</si>
  <si>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</si>
  <si>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</si>
  <si>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</si>
  <si>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</si>
  <si>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</si>
  <si>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</si>
  <si>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</si>
  <si>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</si>
  <si>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</si>
  <si>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</si>
  <si>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</si>
  <si>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</si>
  <si>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</si>
  <si>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</si>
  <si>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</si>
  <si>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</si>
  <si>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</si>
  <si>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</si>
  <si>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</si>
  <si>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</si>
  <si>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Rodolfo Cara</t>
  </si>
  <si>
    <t>na presidência</t>
  </si>
  <si>
    <r>
      <t xml:space="preserve">PROJETO DE RESOLUÇÃO Nº 6/2025 - JOSIAS DA JUCO – </t>
    </r>
    <r>
      <rPr>
        <sz val="11"/>
        <color theme="1"/>
        <rFont val="Arial"/>
        <family val="2"/>
      </rPr>
      <t>Institui o Programa Nossa História no âmbito da Câmara Municipal de Osasco e dá outras providências.</t>
    </r>
  </si>
  <si>
    <r>
      <t>MOÇÃO DE RECONHECIMENTO Nº 575/2025 – JOSIAS DA JUCO –</t>
    </r>
    <r>
      <rPr>
        <sz val="11"/>
        <color theme="1"/>
        <rFont val="Arial"/>
        <family val="2"/>
      </rPr>
      <t xml:space="preserve"> À Controladoria Geral Do Município por todo o trabalho realizado na promoção da transparência pública.</t>
    </r>
  </si>
  <si>
    <r>
      <t xml:space="preserve">MOÇÃO DE APLAUSO Nº 578/2025 – PAULO JÚNIOR – </t>
    </r>
    <r>
      <rPr>
        <sz val="11"/>
        <color theme="1"/>
        <rFont val="Arial"/>
        <family val="2"/>
      </rPr>
      <t>À Igreja Casa da Benção - ICB, liderada pelo apóstolo Jair de Oliveira e missionária Graça, e para Atus Comunidade, liderada pelos apóstolos Gilson e Mirian Matias, em reconhecimento pela realização da maior Conferência de Pastores e Líderes da cidade de Osasco.</t>
    </r>
  </si>
  <si>
    <r>
      <t>MOÇÃO DE APLAUSO Nº 579/2025 – PAULO JÚNIOR –</t>
    </r>
    <r>
      <rPr>
        <sz val="11"/>
        <color theme="1"/>
        <rFont val="Arial"/>
        <family val="2"/>
      </rPr>
      <t xml:space="preserve"> À Igreja do Nazareno – Jardim das Flores, pela celebração de seus 65 anos de fundação, comemorados no ano de 2025.</t>
    </r>
  </si>
  <si>
    <t>70ª SESSÃO ORDINÁRIA</t>
  </si>
  <si>
    <t>DIA 2 DE DEZEMBRO DE 2025 - TERÇA-FEIRA</t>
  </si>
  <si>
    <t>Ofício Prolegis nº 20250323809 – Prefeito do Município de Osasco – Informa a sanção da Lei Complementar nº 453, de 26 de novembro de 2025, referente ao Projeto de Lei Complementar nº 11/2025, que dispõe sobre a criação da Câmara de Conciliação e Transação Fiscal do Município de Osasco, bem como institui a transação tributária, e dá outras providências, de autoria do Prefeito do Município de Osasco.</t>
  </si>
  <si>
    <t>Decretos nº 14.921, 14.927, 14.928, 14.930 e 14.933, de novembro de 2025 - Prefeito do Município de Osasco – Dispõe sobre abertura de crédito adicional especial ao orçamento vigente e dá outras providências.</t>
  </si>
  <si>
    <t>Decretos nº 14.922 ao 14.926, 14.929, 14.931 e 14.932, de novembro de 2025 - Prefeito do Município de Osasco – Dispõe sobre abertura de crédito adicional suplementar ao orçamento vigente e dá outras providências.</t>
  </si>
  <si>
    <t>Projeto de Decreto Legislativo nº 86/2025 – Pedrinho Cantagessi – Dispõe sobre a concessão de Cartão de Prata ao Centro Educacional Desafio.</t>
  </si>
  <si>
    <t>Projeto de Decreto Legislativo nº 87/2025 – Alexandre Capriotti – Dispõe sobre a concessão de Diploma Líder Comunitário ao senhor Valdemilson da Conceição.</t>
  </si>
  <si>
    <t>Projeto de Decreto Legislativo nº 88/2025 – Heber do Juntoz – Dispõe sobre a concessão de Título de cidadão Osasquense ao Deputado Federal Kiko Celeguim.</t>
  </si>
  <si>
    <t>Projeto de Decreto Legislativo nº 89/2025 – Heber do Juntoz – Dispõe sobre a concessão de Diploma João Cândido – Almirante Negro à Prof.ª Zélia Lucas Patrício.</t>
  </si>
  <si>
    <r>
      <t>MOÇÃO DE APLAUSO Nº 533/2025 – BATISTA COMUNIDADE –</t>
    </r>
    <r>
      <rPr>
        <sz val="11"/>
        <color theme="1"/>
        <rFont val="Arial"/>
        <family val="2"/>
      </rPr>
      <t xml:space="preserve"> Ao Sr. Diney Castilho por seu notável trabalho social, político e comunitário em prol da população.</t>
    </r>
  </si>
  <si>
    <r>
      <t xml:space="preserve">MOÇÃO DE APLAUSO Nº 582/2025 – PAULO JÚNIOR – </t>
    </r>
    <r>
      <rPr>
        <sz val="11"/>
        <color theme="1"/>
        <rFont val="Arial"/>
        <family val="2"/>
      </rPr>
      <t>À Igreja Pentecostal Irmãos Unidos em Cristo, por seus 17 anos de ministério.</t>
    </r>
  </si>
  <si>
    <r>
      <t xml:space="preserve">MOÇÃO DE APLAUSO Nº 583/2025 – ALEXANDRE CAPRIOTTI – </t>
    </r>
    <r>
      <rPr>
        <sz val="11"/>
        <color theme="1"/>
        <rFont val="Arial"/>
        <family val="2"/>
      </rPr>
      <t>À Sra. Daniela Sequeira Valentim, servidora do município de Osasco desde 2019 no cargo de Professora do Ensino Básico, e atualmente como gestora escolar, pela conquista do título de Super Randonneur, título dado aos ciclistas que cumprem dentro de um tempo determinado uma distância longa de forma autossuficiente.</t>
    </r>
  </si>
  <si>
    <r>
      <t xml:space="preserve">MOÇÃO DE RECONHECIMENTO Nº 584/2025 – RODOLFO CARA – </t>
    </r>
    <r>
      <rPr>
        <sz val="11"/>
        <color theme="1"/>
        <rFont val="Arial"/>
        <family val="2"/>
      </rPr>
      <t>Ao Sr. Caio Rodrigo Campelo Ferreira, por ser referência na cidade de Osasco, contribuindo para a valorização da profissão de Barbeiro, fortalecendo o setor da beleza masculina.</t>
    </r>
  </si>
  <si>
    <r>
      <t xml:space="preserve">MOÇÃO DE PESAR Nº 585/2025 – PAULO JÚNIOR E ELÂNIA SILVA – </t>
    </r>
    <r>
      <rPr>
        <sz val="11"/>
        <color theme="1"/>
        <rFont val="Arial"/>
        <family val="2"/>
      </rPr>
      <t>Pelo falecimento do Pastor José Amaro da Silva.</t>
    </r>
  </si>
  <si>
    <t>pela ausência dos autores, será pautada na próxima sessão.</t>
  </si>
  <si>
    <r>
      <t xml:space="preserve">MOÇÃO DE RECONHECIMENTO Nº 586/2025 – CARMÔNIO BASTOS – </t>
    </r>
    <r>
      <rPr>
        <sz val="11"/>
        <color theme="1"/>
        <rFont val="Arial"/>
        <family val="2"/>
      </rPr>
      <t>À Team Altino Osasco, pelo legado esportivo e pelos resultados conquistados na temporada 2025, que fortaleceram o nome de Osasco no ciclismo nacional.</t>
    </r>
  </si>
  <si>
    <r>
      <t>MOÇÃO DE APELO Nº 587/2025 – CANTOR GOLEIRO –</t>
    </r>
    <r>
      <rPr>
        <sz val="11"/>
        <color theme="1"/>
        <rFont val="Arial"/>
        <family val="2"/>
      </rPr>
      <t xml:space="preserve"> Ao Sr. Prefeito para que seja executada a reforma completa e a manutenção permanente da UBS do Jardim Helena Maria.</t>
    </r>
  </si>
  <si>
    <r>
      <t xml:space="preserve">MOÇÃO DE APLAUSO Nº 588/2025 – PAULO JÚNIOR – </t>
    </r>
    <r>
      <rPr>
        <sz val="11"/>
        <color theme="1"/>
        <rFont val="Arial"/>
        <family val="2"/>
      </rPr>
      <t>À Igreja Assembleia de Deus na Vila dos Remédios, pelos seus 60 anos de fundação, comemorados neste ano.</t>
    </r>
  </si>
  <si>
    <r>
      <t>MOÇÃO DE APLAUSO Nº 589/2025 – PAULO JÚNIOR –</t>
    </r>
    <r>
      <rPr>
        <sz val="11"/>
        <color theme="1"/>
        <rFont val="Arial"/>
        <family val="2"/>
      </rPr>
      <t xml:space="preserve"> À Igreja Batista de Jardim Marieta - IBJM pelos seus 63 anos de fundação, comemorados neste ano.</t>
    </r>
  </si>
  <si>
    <r>
      <t xml:space="preserve">MOÇÃO DE APLAUSO Nº 590/2025 – GABRIEL SAÚDE – </t>
    </r>
    <r>
      <rPr>
        <sz val="11"/>
        <color theme="1"/>
        <rFont val="Arial"/>
        <family val="2"/>
      </rPr>
      <t>à CEO e Publisher Cláudia Azevedo, em reconhecimento aos 18 anos de excelência editorial e contribuição inestimável do Jornal Giro para o fortalecimento da comunicação e da cidadania na Região Oeste da Grande São Paulo.</t>
    </r>
  </si>
  <si>
    <r>
      <t xml:space="preserve">MOÇÃO DE REPÚDIO Nº 592/2025 – ALEXANDRE CAPRIOTTI – </t>
    </r>
    <r>
      <rPr>
        <sz val="11"/>
        <color theme="1"/>
        <rFont val="Arial"/>
        <family val="2"/>
      </rPr>
      <t>Às pessoas que soltam fogos de artifício com estampido, causando danos a animais, idosos, bebês, e pessoas com Transtorno do Espectro Autista, dentre outros.</t>
    </r>
  </si>
  <si>
    <r>
      <t xml:space="preserve">VETO TOTAL AO PROJETO DE LEI N.º 74/2025 – DELBIO TERUEL – </t>
    </r>
    <r>
      <rPr>
        <sz val="12"/>
        <color theme="1"/>
        <rFont val="Arial"/>
        <family val="2"/>
      </rPr>
      <t>Dispõe sobre a denominação da Praça São Mateus, no Jardim Cipava.</t>
    </r>
  </si>
  <si>
    <t>VETO 
ACEITO</t>
  </si>
  <si>
    <t>abstenção</t>
  </si>
  <si>
    <r>
      <t xml:space="preserve">PROJETO DE RESOLUÇÃO N.º 7/2025 – ELANIA SILVA – </t>
    </r>
    <r>
      <rPr>
        <sz val="14"/>
        <color theme="1"/>
        <rFont val="Arial"/>
        <family val="2"/>
      </rPr>
      <t>Institui, no âmbito da Câmara Municipal de Osasco o Programa ' Tampinhas do Bem'.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</si>
</sst>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2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tabSelected="1" zoomScale="70" zoomScaleNormal="70" workbookViewId="0">
      <selection activeCell="AC18" sqref="AC1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29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103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104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68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54</v>
      </c>
      <c r="B7" s="88">
        <v>2</v>
      </c>
      <c r="C7" s="102" t="s">
        <v>53</v>
      </c>
      <c r="D7" s="63"/>
      <c r="E7" s="62"/>
      <c r="F7" s="88">
        <v>2</v>
      </c>
      <c r="G7" s="102" t="s">
        <v>53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2</v>
      </c>
      <c r="K9" s="102" t="s">
        <v>53</v>
      </c>
      <c r="L9" s="67"/>
      <c r="M9" s="65"/>
      <c r="N9" s="63"/>
      <c r="O9" s="6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56</v>
      </c>
      <c r="B10" s="88">
        <v>1</v>
      </c>
      <c r="C10" s="62" t="s">
        <v>52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1</v>
      </c>
      <c r="K12" s="62" t="s">
        <v>52</v>
      </c>
      <c r="L12" s="67"/>
      <c r="M12" s="65"/>
      <c r="N12" s="63"/>
      <c r="O12" s="6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102"/>
      <c r="F13" s="88">
        <v>2</v>
      </c>
      <c r="G13" s="102" t="s">
        <v>53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" customHeight="1">
      <c r="A16" s="46" t="s">
        <v>59</v>
      </c>
      <c r="B16" s="88">
        <v>2</v>
      </c>
      <c r="C16" s="102" t="s">
        <v>53</v>
      </c>
      <c r="D16" s="63"/>
      <c r="E16" s="102"/>
      <c r="F16" s="88">
        <v>1</v>
      </c>
      <c r="G16" s="62" t="s">
        <v>52</v>
      </c>
      <c r="H16" s="63"/>
      <c r="I16" s="62"/>
      <c r="J16" s="63">
        <v>2</v>
      </c>
      <c r="K16" s="102" t="s">
        <v>53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2</v>
      </c>
      <c r="G17" s="102" t="s">
        <v>53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97</v>
      </c>
      <c r="B19" s="88">
        <v>1</v>
      </c>
      <c r="C19" s="62" t="s">
        <v>52</v>
      </c>
      <c r="D19" s="63"/>
      <c r="E19" s="6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/>
      <c r="O19" s="10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1</v>
      </c>
      <c r="G20" s="62" t="s">
        <v>52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2</v>
      </c>
      <c r="K21" s="102" t="s">
        <v>53</v>
      </c>
      <c r="L21" s="64"/>
      <c r="M21" s="64"/>
      <c r="N21" s="63"/>
      <c r="O21" s="62"/>
      <c r="P21" s="63"/>
      <c r="Q21" s="63"/>
      <c r="R21" s="62"/>
      <c r="S21" s="91"/>
      <c r="T21" s="150"/>
      <c r="U21" s="150"/>
      <c r="V21" s="150"/>
      <c r="W21" s="150"/>
      <c r="X21" s="150"/>
      <c r="Y21" s="150"/>
    </row>
    <row r="22" spans="1:28" ht="18" customHeight="1">
      <c r="A22" s="46" t="s">
        <v>69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2</v>
      </c>
      <c r="G23" s="102" t="s">
        <v>53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92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10</v>
      </c>
      <c r="C26" s="96" t="s">
        <v>46</v>
      </c>
      <c r="D26" s="98"/>
      <c r="E26" s="96" t="s">
        <v>46</v>
      </c>
      <c r="F26" s="98">
        <v>13</v>
      </c>
      <c r="G26" s="96" t="s">
        <v>46</v>
      </c>
      <c r="H26" s="100"/>
      <c r="I26" s="101"/>
      <c r="J26" s="98">
        <v>16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11</v>
      </c>
      <c r="C27" s="96" t="s">
        <v>47</v>
      </c>
      <c r="D27" s="98"/>
      <c r="E27" s="96" t="s">
        <v>47</v>
      </c>
      <c r="F27" s="98">
        <v>8</v>
      </c>
      <c r="G27" s="96" t="s">
        <v>47</v>
      </c>
      <c r="H27" s="100"/>
      <c r="I27" s="96"/>
      <c r="J27" s="98">
        <v>5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60</v>
      </c>
      <c r="V32" s="12"/>
      <c r="W32" s="12"/>
    </row>
    <row r="33" spans="1:23" ht="18">
      <c r="A33" s="34" t="s">
        <v>26</v>
      </c>
      <c r="V33" s="12"/>
      <c r="W33" s="12"/>
    </row>
    <row r="34" spans="1:23" ht="18">
      <c r="A34" s="34" t="s">
        <v>59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69</v>
      </c>
      <c r="V42" s="12"/>
      <c r="W42" s="12"/>
    </row>
    <row r="43" spans="1:23" ht="18">
      <c r="A43" s="34" t="s">
        <v>25</v>
      </c>
      <c r="V43" s="12"/>
      <c r="W43" s="12"/>
    </row>
    <row r="44" spans="1:23" ht="18">
      <c r="A44" s="34" t="s">
        <v>92</v>
      </c>
      <c r="V44" s="12"/>
      <c r="W44" s="12"/>
    </row>
    <row r="45" spans="1:23" ht="18">
      <c r="A45" s="34" t="s">
        <v>58</v>
      </c>
      <c r="V45" s="12"/>
      <c r="W45" s="12"/>
    </row>
    <row r="46" spans="1:23" ht="18">
      <c r="A46" s="34" t="s">
        <v>24</v>
      </c>
      <c r="B46" s="7"/>
      <c r="V46" s="12"/>
      <c r="W46" s="3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 t="s">
        <v>28</v>
      </c>
    </row>
    <row r="53" spans="1:23" ht="18">
      <c r="A53" s="34" t="s">
        <v>59</v>
      </c>
    </row>
    <row r="54" spans="1:23" ht="18">
      <c r="A54" s="34" t="s">
        <v>25</v>
      </c>
    </row>
    <row r="55" spans="1:23" ht="18">
      <c r="A55" s="34" t="s">
        <v>61</v>
      </c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Z39"/>
  <sheetViews>
    <sheetView workbookViewId="0">
      <pane xSplit="1" topLeftCell="B1" activePane="topRight" state="frozen"/>
      <selection pane="topRight" activeCell="Y13" sqref="Y13"/>
    </sheetView>
  </sheetViews>
  <sheetFormatPr defaultColWidth="9.140625" defaultRowHeight="12.75"/>
  <cols>
    <col min="1" max="1" width="47.7109375" style="22" customWidth="1"/>
    <col min="2" max="9" width="23.7109375" style="22" customWidth="1"/>
    <col min="10" max="10" width="19" style="22" customWidth="1"/>
    <col min="11" max="11" width="26.28515625" style="22" customWidth="1"/>
    <col min="12" max="12" width="22.140625" style="22" customWidth="1"/>
    <col min="13" max="26" width="22.7109375" style="22" customWidth="1"/>
    <col min="27" max="16384" width="9.140625" style="22"/>
  </cols>
  <sheetData>
    <row r="1" spans="1:26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26" ht="15">
      <c r="A2" s="76" t="s">
        <v>103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26" ht="17.25" customHeight="1">
      <c r="A3" s="76" t="s">
        <v>104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26" ht="63" customHeight="1">
      <c r="A4" s="51" t="str">
        <f>'[1]MOÇÃO E REQUERIMENTO'!B7</f>
        <v>EXPEDIENTE</v>
      </c>
      <c r="B4" s="50" t="s">
        <v>45</v>
      </c>
      <c r="C4" s="117" t="s">
        <v>105</v>
      </c>
      <c r="D4" s="117" t="s">
        <v>106</v>
      </c>
      <c r="E4" s="117" t="s">
        <v>107</v>
      </c>
      <c r="F4" s="117" t="s">
        <v>108</v>
      </c>
      <c r="G4" s="117" t="s">
        <v>109</v>
      </c>
      <c r="H4" s="117" t="s">
        <v>110</v>
      </c>
      <c r="I4" s="117" t="s">
        <v>111</v>
      </c>
      <c r="J4" s="112" t="s">
        <v>34</v>
      </c>
      <c r="K4" s="124"/>
      <c r="L4" s="50" t="s">
        <v>27</v>
      </c>
      <c r="M4" s="84" t="s">
        <v>112</v>
      </c>
      <c r="N4" s="84" t="s">
        <v>100</v>
      </c>
      <c r="O4" s="84" t="s">
        <v>101</v>
      </c>
      <c r="P4" s="84" t="s">
        <v>102</v>
      </c>
      <c r="Q4" s="84" t="s">
        <v>113</v>
      </c>
      <c r="R4" s="84" t="s">
        <v>114</v>
      </c>
      <c r="S4" s="84" t="s">
        <v>115</v>
      </c>
      <c r="T4" s="84" t="s">
        <v>116</v>
      </c>
      <c r="U4" s="84" t="s">
        <v>118</v>
      </c>
      <c r="V4" s="84" t="s">
        <v>119</v>
      </c>
      <c r="W4" s="84" t="s">
        <v>120</v>
      </c>
      <c r="X4" s="84" t="s">
        <v>121</v>
      </c>
      <c r="Y4" s="84" t="s">
        <v>122</v>
      </c>
      <c r="Z4" s="84" t="s">
        <v>123</v>
      </c>
    </row>
    <row r="5" spans="1:26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113"/>
      <c r="M5" s="113" t="s">
        <v>65</v>
      </c>
      <c r="N5" s="118" t="s">
        <v>71</v>
      </c>
      <c r="O5" s="118" t="s">
        <v>71</v>
      </c>
      <c r="P5" s="118" t="s">
        <v>71</v>
      </c>
      <c r="Q5" s="118" t="s">
        <v>71</v>
      </c>
      <c r="R5" s="118" t="s">
        <v>71</v>
      </c>
      <c r="S5" s="113" t="s">
        <v>65</v>
      </c>
      <c r="T5" s="118" t="s">
        <v>117</v>
      </c>
      <c r="U5" s="113" t="s">
        <v>65</v>
      </c>
      <c r="V5" s="118" t="s">
        <v>71</v>
      </c>
      <c r="W5" s="118" t="s">
        <v>71</v>
      </c>
      <c r="X5" s="118" t="s">
        <v>71</v>
      </c>
      <c r="Y5" s="118" t="s">
        <v>71</v>
      </c>
      <c r="Z5" s="113" t="s">
        <v>65</v>
      </c>
    </row>
    <row r="6" spans="1:26" ht="15.75">
      <c r="A6" s="127" t="s">
        <v>51</v>
      </c>
      <c r="L6" s="23"/>
    </row>
    <row r="7" spans="1:26" ht="15.75">
      <c r="A7" s="127" t="s">
        <v>68</v>
      </c>
      <c r="L7" s="23"/>
    </row>
    <row r="8" spans="1:26" ht="15.75">
      <c r="A8" s="127" t="s">
        <v>54</v>
      </c>
      <c r="L8" s="23"/>
    </row>
    <row r="9" spans="1:26" ht="15.75">
      <c r="A9" s="128" t="s">
        <v>55</v>
      </c>
      <c r="L9" s="23"/>
    </row>
    <row r="10" spans="1:26" ht="15.75">
      <c r="A10" s="127" t="s">
        <v>28</v>
      </c>
      <c r="L10" s="23"/>
    </row>
    <row r="11" spans="1:26" ht="15.75">
      <c r="A11" s="127" t="s">
        <v>56</v>
      </c>
      <c r="L11" s="23"/>
    </row>
    <row r="12" spans="1:26" ht="15.75">
      <c r="A12" s="127" t="s">
        <v>22</v>
      </c>
      <c r="L12" s="23"/>
    </row>
    <row r="13" spans="1:26" ht="15.75">
      <c r="A13" s="127" t="s">
        <v>23</v>
      </c>
      <c r="L13" s="23"/>
    </row>
    <row r="14" spans="1:26" ht="15.75">
      <c r="A14" s="127" t="s">
        <v>24</v>
      </c>
      <c r="L14" s="23"/>
    </row>
    <row r="15" spans="1:26" ht="15.75">
      <c r="A15" s="127" t="s">
        <v>57</v>
      </c>
      <c r="L15" s="23"/>
    </row>
    <row r="16" spans="1:26" ht="15.75">
      <c r="A16" s="127" t="s">
        <v>58</v>
      </c>
      <c r="L16" s="23"/>
    </row>
    <row r="17" spans="1:12" ht="15.75">
      <c r="A17" s="127" t="s">
        <v>59</v>
      </c>
      <c r="L17" s="23"/>
    </row>
    <row r="18" spans="1:12" ht="15.75">
      <c r="A18" s="127" t="s">
        <v>25</v>
      </c>
      <c r="L18" s="23"/>
    </row>
    <row r="19" spans="1:12" ht="15.75">
      <c r="A19" s="127" t="s">
        <v>60</v>
      </c>
      <c r="L19" s="23"/>
    </row>
    <row r="20" spans="1:12" ht="15.75">
      <c r="A20" s="127" t="s">
        <v>97</v>
      </c>
      <c r="L20" s="23"/>
    </row>
    <row r="21" spans="1:12" ht="15.75">
      <c r="A21" s="127" t="s">
        <v>26</v>
      </c>
      <c r="L21" s="23"/>
    </row>
    <row r="22" spans="1:12" ht="15.75">
      <c r="A22" s="127" t="s">
        <v>61</v>
      </c>
      <c r="L22" s="23"/>
    </row>
    <row r="23" spans="1:12" ht="15.75">
      <c r="A23" s="127" t="s">
        <v>69</v>
      </c>
      <c r="L23" s="23"/>
    </row>
    <row r="24" spans="1:12" ht="15.75">
      <c r="A24" s="127" t="s">
        <v>49</v>
      </c>
      <c r="L24" s="23"/>
    </row>
    <row r="25" spans="1:12" ht="15.75">
      <c r="A25" s="127" t="s">
        <v>92</v>
      </c>
      <c r="L25" s="23"/>
    </row>
    <row r="26" spans="1:12" ht="15.75">
      <c r="A26" s="127" t="s">
        <v>62</v>
      </c>
      <c r="L26" s="23"/>
    </row>
    <row r="27" spans="1:12" s="25" customFormat="1">
      <c r="A27" s="24" t="s">
        <v>18</v>
      </c>
    </row>
    <row r="28" spans="1:12" s="27" customFormat="1">
      <c r="A28" s="26" t="s">
        <v>19</v>
      </c>
    </row>
    <row r="29" spans="1:12">
      <c r="A29" s="28" t="s">
        <v>11</v>
      </c>
    </row>
    <row r="30" spans="1:12" s="30" customFormat="1">
      <c r="A30" s="29" t="s">
        <v>20</v>
      </c>
    </row>
    <row r="32" spans="1:12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F7" sqref="F7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103</v>
      </c>
      <c r="B2" s="49"/>
      <c r="C2" s="74"/>
    </row>
    <row r="3" spans="1:45" ht="17.25" customHeight="1">
      <c r="A3" s="76" t="s">
        <v>104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 t="s">
        <v>124</v>
      </c>
      <c r="D4" s="109" t="s">
        <v>6</v>
      </c>
      <c r="E4" s="140" t="s">
        <v>127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2" t="s">
        <v>125</v>
      </c>
      <c r="D5" s="79"/>
      <c r="E5" s="145" t="s">
        <v>70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 t="s">
        <v>66</v>
      </c>
      <c r="E6" s="107" t="s">
        <v>66</v>
      </c>
    </row>
    <row r="7" spans="1:45" ht="20.25">
      <c r="A7" s="46" t="s">
        <v>68</v>
      </c>
      <c r="C7" s="107" t="s">
        <v>66</v>
      </c>
      <c r="E7" s="107" t="s">
        <v>66</v>
      </c>
    </row>
    <row r="8" spans="1:45" ht="20.25">
      <c r="A8" s="46" t="s">
        <v>54</v>
      </c>
      <c r="C8" s="107" t="s">
        <v>66</v>
      </c>
      <c r="E8" s="107" t="s">
        <v>66</v>
      </c>
    </row>
    <row r="9" spans="1:45" ht="20.25">
      <c r="A9" s="82" t="s">
        <v>55</v>
      </c>
      <c r="C9" s="114" t="s">
        <v>98</v>
      </c>
      <c r="E9" s="114" t="s">
        <v>98</v>
      </c>
    </row>
    <row r="10" spans="1:45" ht="20.25">
      <c r="A10" s="46" t="s">
        <v>28</v>
      </c>
      <c r="C10" s="107" t="s">
        <v>66</v>
      </c>
      <c r="E10" s="107" t="s">
        <v>66</v>
      </c>
    </row>
    <row r="11" spans="1:45" ht="20.25">
      <c r="A11" s="46" t="s">
        <v>56</v>
      </c>
      <c r="C11" s="107" t="s">
        <v>66</v>
      </c>
      <c r="E11" s="107" t="s">
        <v>66</v>
      </c>
    </row>
    <row r="12" spans="1:45" ht="20.25">
      <c r="A12" s="46" t="s">
        <v>22</v>
      </c>
      <c r="C12" s="107" t="s">
        <v>66</v>
      </c>
      <c r="E12" s="107" t="s">
        <v>66</v>
      </c>
    </row>
    <row r="13" spans="1:45" ht="20.25">
      <c r="A13" s="46" t="s">
        <v>23</v>
      </c>
      <c r="C13" s="114" t="s">
        <v>53</v>
      </c>
      <c r="E13" s="114" t="s">
        <v>53</v>
      </c>
    </row>
    <row r="14" spans="1:45" ht="20.25">
      <c r="A14" s="46" t="s">
        <v>24</v>
      </c>
      <c r="C14" s="107" t="s">
        <v>66</v>
      </c>
      <c r="E14" s="107" t="s">
        <v>66</v>
      </c>
    </row>
    <row r="15" spans="1:45" ht="20.25">
      <c r="A15" s="46" t="s">
        <v>57</v>
      </c>
      <c r="C15" s="107" t="s">
        <v>66</v>
      </c>
      <c r="E15" s="107" t="s">
        <v>66</v>
      </c>
    </row>
    <row r="16" spans="1:45" ht="20.25">
      <c r="A16" s="46" t="s">
        <v>58</v>
      </c>
      <c r="C16" s="107" t="s">
        <v>66</v>
      </c>
      <c r="E16" s="107" t="s">
        <v>66</v>
      </c>
    </row>
    <row r="17" spans="1:130" ht="20.25">
      <c r="A17" s="46" t="s">
        <v>59</v>
      </c>
      <c r="C17" s="114" t="s">
        <v>126</v>
      </c>
      <c r="E17" s="107" t="s">
        <v>66</v>
      </c>
    </row>
    <row r="18" spans="1:130" ht="20.25">
      <c r="A18" s="46" t="s">
        <v>25</v>
      </c>
      <c r="C18" s="107" t="s">
        <v>66</v>
      </c>
      <c r="E18" s="107" t="s">
        <v>66</v>
      </c>
    </row>
    <row r="19" spans="1:130" ht="20.25">
      <c r="A19" s="46" t="s">
        <v>60</v>
      </c>
      <c r="C19" s="107" t="s">
        <v>66</v>
      </c>
      <c r="E19" s="107" t="s">
        <v>66</v>
      </c>
    </row>
    <row r="20" spans="1:130" ht="20.25">
      <c r="A20" s="46" t="s">
        <v>97</v>
      </c>
      <c r="C20" s="107" t="s">
        <v>66</v>
      </c>
      <c r="E20" s="107" t="s">
        <v>66</v>
      </c>
    </row>
    <row r="21" spans="1:130" ht="20.25">
      <c r="A21" s="46" t="s">
        <v>26</v>
      </c>
      <c r="C21" s="107" t="s">
        <v>66</v>
      </c>
      <c r="E21" s="107" t="s">
        <v>66</v>
      </c>
    </row>
    <row r="22" spans="1:130" ht="20.25">
      <c r="A22" s="46" t="s">
        <v>61</v>
      </c>
      <c r="C22" s="114" t="s">
        <v>53</v>
      </c>
      <c r="E22" s="114" t="s">
        <v>53</v>
      </c>
    </row>
    <row r="23" spans="1:130" ht="20.25">
      <c r="A23" s="46" t="s">
        <v>69</v>
      </c>
      <c r="C23" s="114" t="s">
        <v>53</v>
      </c>
      <c r="E23" s="114" t="s">
        <v>53</v>
      </c>
    </row>
    <row r="24" spans="1:130" ht="20.25">
      <c r="A24" s="46" t="s">
        <v>49</v>
      </c>
      <c r="C24" s="107" t="s">
        <v>66</v>
      </c>
      <c r="E24" s="107" t="s">
        <v>66</v>
      </c>
    </row>
    <row r="25" spans="1:130" ht="20.25">
      <c r="A25" s="46" t="s">
        <v>92</v>
      </c>
      <c r="C25" s="107" t="s">
        <v>66</v>
      </c>
      <c r="E25" s="107" t="s">
        <v>66</v>
      </c>
    </row>
    <row r="26" spans="1:130" ht="20.25">
      <c r="A26" s="46" t="s">
        <v>62</v>
      </c>
      <c r="C26" s="107" t="s">
        <v>66</v>
      </c>
      <c r="E26" s="107" t="s">
        <v>66</v>
      </c>
    </row>
    <row r="27" spans="1:130" s="16" customFormat="1" ht="15.75">
      <c r="A27" s="15" t="s">
        <v>18</v>
      </c>
      <c r="B27"/>
      <c r="C27" s="103">
        <f t="shared" ref="C27" si="0">COUNTIF(C6:C26,"sim")</f>
        <v>16</v>
      </c>
      <c r="D27"/>
      <c r="E27" s="103">
        <f t="shared" ref="E27" si="1">COUNTIF(E6:E26,"sim")</f>
        <v>17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3</v>
      </c>
      <c r="E29" s="40">
        <f t="shared" ref="E29" si="5">COUNTIF(E6:E26,"ausente")</f>
        <v>3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1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F5" sqref="F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99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44" t="s">
        <v>70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51</v>
      </c>
      <c r="C6" s="107" t="s">
        <v>66</v>
      </c>
      <c r="U6" s="7"/>
      <c r="V6" s="7"/>
    </row>
    <row r="7" spans="1:29" ht="18">
      <c r="A7" s="129" t="s">
        <v>68</v>
      </c>
      <c r="C7" s="107" t="s">
        <v>66</v>
      </c>
      <c r="U7" s="7"/>
      <c r="V7" s="7"/>
    </row>
    <row r="8" spans="1:29" ht="18">
      <c r="A8" s="129" t="s">
        <v>54</v>
      </c>
      <c r="C8" s="107" t="s">
        <v>66</v>
      </c>
      <c r="U8" s="7"/>
      <c r="V8" s="7"/>
    </row>
    <row r="9" spans="1:29" ht="18">
      <c r="A9" s="130" t="s">
        <v>55</v>
      </c>
      <c r="C9" s="114" t="s">
        <v>98</v>
      </c>
      <c r="U9" s="7"/>
      <c r="V9" s="7"/>
    </row>
    <row r="10" spans="1:29" ht="18">
      <c r="A10" s="129" t="s">
        <v>28</v>
      </c>
      <c r="C10" s="107" t="s">
        <v>66</v>
      </c>
      <c r="U10" s="7"/>
      <c r="V10" s="7"/>
    </row>
    <row r="11" spans="1:29" ht="18">
      <c r="A11" s="129" t="s">
        <v>56</v>
      </c>
      <c r="C11" s="107" t="s">
        <v>66</v>
      </c>
      <c r="U11" s="7"/>
      <c r="V11" s="7"/>
    </row>
    <row r="12" spans="1:29" ht="18">
      <c r="A12" s="129" t="s">
        <v>22</v>
      </c>
      <c r="C12" s="107" t="s">
        <v>66</v>
      </c>
      <c r="U12" s="7"/>
      <c r="V12" s="7"/>
    </row>
    <row r="13" spans="1:29" ht="18">
      <c r="A13" s="129" t="s">
        <v>23</v>
      </c>
      <c r="C13" s="114" t="s">
        <v>53</v>
      </c>
      <c r="U13" s="7"/>
      <c r="V13" s="7"/>
    </row>
    <row r="14" spans="1:29" ht="18">
      <c r="A14" s="129" t="s">
        <v>24</v>
      </c>
      <c r="C14" s="107" t="s">
        <v>66</v>
      </c>
      <c r="U14" s="7"/>
      <c r="V14" s="7"/>
    </row>
    <row r="15" spans="1:29" ht="18">
      <c r="A15" s="129" t="s">
        <v>57</v>
      </c>
      <c r="C15" s="107" t="s">
        <v>66</v>
      </c>
      <c r="U15" s="7"/>
      <c r="V15" s="7"/>
    </row>
    <row r="16" spans="1:29" ht="18">
      <c r="A16" s="129" t="s">
        <v>58</v>
      </c>
      <c r="C16" s="107" t="s">
        <v>66</v>
      </c>
      <c r="U16" s="7"/>
      <c r="V16" s="7"/>
    </row>
    <row r="17" spans="1:123" ht="15" customHeight="1">
      <c r="A17" s="129" t="s">
        <v>59</v>
      </c>
      <c r="C17" s="107" t="s">
        <v>66</v>
      </c>
      <c r="T17" s="8"/>
      <c r="U17" s="7"/>
      <c r="V17" s="7"/>
    </row>
    <row r="18" spans="1:123" ht="18">
      <c r="A18" s="129" t="s">
        <v>25</v>
      </c>
      <c r="C18" s="107" t="s">
        <v>66</v>
      </c>
      <c r="U18" s="7"/>
      <c r="V18" s="7"/>
    </row>
    <row r="19" spans="1:123" ht="18">
      <c r="A19" s="129" t="s">
        <v>60</v>
      </c>
      <c r="C19" s="107" t="s">
        <v>66</v>
      </c>
      <c r="U19" s="7"/>
      <c r="V19" s="7"/>
    </row>
    <row r="20" spans="1:123" ht="18">
      <c r="A20" s="129" t="s">
        <v>97</v>
      </c>
      <c r="C20" s="107" t="s">
        <v>66</v>
      </c>
      <c r="U20" s="7"/>
      <c r="V20" s="7"/>
    </row>
    <row r="21" spans="1:123" ht="18">
      <c r="A21" s="129" t="s">
        <v>26</v>
      </c>
      <c r="C21" s="107" t="s">
        <v>66</v>
      </c>
      <c r="U21" s="7"/>
      <c r="V21" s="7"/>
    </row>
    <row r="22" spans="1:123" ht="18">
      <c r="A22" s="129" t="s">
        <v>61</v>
      </c>
      <c r="C22" s="107" t="s">
        <v>66</v>
      </c>
      <c r="U22" s="7"/>
      <c r="V22" s="7"/>
    </row>
    <row r="23" spans="1:123" ht="18">
      <c r="A23" s="129" t="s">
        <v>69</v>
      </c>
      <c r="C23" s="114" t="s">
        <v>53</v>
      </c>
      <c r="U23" s="7"/>
      <c r="V23" s="7"/>
    </row>
    <row r="24" spans="1:123" ht="18">
      <c r="A24" s="129" t="s">
        <v>49</v>
      </c>
      <c r="C24" s="107" t="s">
        <v>66</v>
      </c>
      <c r="U24" s="7"/>
      <c r="V24" s="7"/>
    </row>
    <row r="25" spans="1:123" ht="18">
      <c r="A25" s="129" t="s">
        <v>92</v>
      </c>
      <c r="C25" s="107" t="s">
        <v>66</v>
      </c>
      <c r="U25" s="7"/>
      <c r="V25" s="7"/>
    </row>
    <row r="26" spans="1:123" ht="18">
      <c r="A26" s="129" t="s">
        <v>62</v>
      </c>
      <c r="C26" s="107" t="s">
        <v>66</v>
      </c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3">
        <f t="shared" ref="C27" si="1">COUNTIF(C6:C26,"sim")</f>
        <v>18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4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2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I5" sqref="I5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103</v>
      </c>
      <c r="B2" s="2"/>
    </row>
    <row r="3" spans="1:3" ht="15.75" thickBot="1">
      <c r="A3" s="121" t="s">
        <v>104</v>
      </c>
      <c r="B3" s="2"/>
    </row>
    <row r="4" spans="1:3" ht="78.75" customHeight="1" thickBot="1">
      <c r="A4" s="120" t="s">
        <v>5</v>
      </c>
      <c r="B4" s="111" t="s">
        <v>21</v>
      </c>
      <c r="C4" s="139"/>
    </row>
    <row r="5" spans="1:3" s="6" customFormat="1" ht="60.75" customHeight="1">
      <c r="A5" s="122"/>
      <c r="B5" s="111"/>
      <c r="C5" s="144"/>
    </row>
    <row r="6" spans="1:3" ht="15.75">
      <c r="A6" s="127" t="s">
        <v>51</v>
      </c>
      <c r="C6" s="107"/>
    </row>
    <row r="7" spans="1:3" ht="15.75">
      <c r="A7" s="127" t="s">
        <v>68</v>
      </c>
      <c r="C7" s="107"/>
    </row>
    <row r="8" spans="1:3" ht="15.75">
      <c r="A8" s="127" t="s">
        <v>54</v>
      </c>
      <c r="C8" s="107"/>
    </row>
    <row r="9" spans="1:3" ht="15.75">
      <c r="A9" s="128" t="s">
        <v>55</v>
      </c>
      <c r="C9" s="107"/>
    </row>
    <row r="10" spans="1:3" ht="15.75">
      <c r="A10" s="127" t="s">
        <v>28</v>
      </c>
      <c r="C10" s="114"/>
    </row>
    <row r="11" spans="1:3" ht="15.75">
      <c r="A11" s="127" t="s">
        <v>56</v>
      </c>
      <c r="C11" s="107"/>
    </row>
    <row r="12" spans="1:3" ht="15.75">
      <c r="A12" s="127" t="s">
        <v>22</v>
      </c>
      <c r="C12" s="107"/>
    </row>
    <row r="13" spans="1:3" ht="15.75">
      <c r="A13" s="127" t="s">
        <v>23</v>
      </c>
      <c r="B13" s="138"/>
      <c r="C13" s="114"/>
    </row>
    <row r="14" spans="1:3" ht="15.75">
      <c r="A14" s="127" t="s">
        <v>24</v>
      </c>
      <c r="C14" s="114"/>
    </row>
    <row r="15" spans="1:3" ht="15.75">
      <c r="A15" s="127" t="s">
        <v>57</v>
      </c>
      <c r="C15" s="107"/>
    </row>
    <row r="16" spans="1:3" ht="15.75">
      <c r="A16" s="127" t="s">
        <v>58</v>
      </c>
      <c r="C16" s="114"/>
    </row>
    <row r="17" spans="1:3" ht="15.75">
      <c r="A17" s="127" t="s">
        <v>59</v>
      </c>
      <c r="C17" s="107"/>
    </row>
    <row r="18" spans="1:3" ht="15.75">
      <c r="A18" s="127" t="s">
        <v>25</v>
      </c>
      <c r="C18" s="114"/>
    </row>
    <row r="19" spans="1:3" ht="15.75">
      <c r="A19" s="127" t="s">
        <v>60</v>
      </c>
      <c r="C19" s="107"/>
    </row>
    <row r="20" spans="1:3" ht="15.75">
      <c r="A20" s="127" t="s">
        <v>97</v>
      </c>
      <c r="C20" s="107"/>
    </row>
    <row r="21" spans="1:3" ht="15.75">
      <c r="A21" s="127" t="s">
        <v>26</v>
      </c>
      <c r="C21" s="107"/>
    </row>
    <row r="22" spans="1:3" ht="15.75">
      <c r="A22" s="127" t="s">
        <v>61</v>
      </c>
      <c r="C22" s="107"/>
    </row>
    <row r="23" spans="1:3" ht="15.75">
      <c r="A23" s="127" t="s">
        <v>69</v>
      </c>
      <c r="C23" s="107"/>
    </row>
    <row r="24" spans="1:3" ht="15.75">
      <c r="A24" s="127" t="s">
        <v>49</v>
      </c>
      <c r="C24" s="107"/>
    </row>
    <row r="25" spans="1:3" ht="15.75">
      <c r="A25" s="127" t="s">
        <v>92</v>
      </c>
      <c r="C25" s="107"/>
    </row>
    <row r="26" spans="1:3" ht="15.75">
      <c r="A26" s="127" t="s">
        <v>62</v>
      </c>
      <c r="C26" s="107"/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103</v>
      </c>
      <c r="B2" s="2"/>
      <c r="C2" s="54"/>
      <c r="D2" s="54"/>
      <c r="E2" s="54"/>
    </row>
    <row r="3" spans="1:9" ht="15.75" thickBot="1">
      <c r="A3" s="121" t="s">
        <v>104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93</v>
      </c>
      <c r="G4" s="143" t="s">
        <v>94</v>
      </c>
      <c r="H4" s="143" t="s">
        <v>95</v>
      </c>
      <c r="I4" s="143" t="s">
        <v>96</v>
      </c>
    </row>
    <row r="5" spans="1:9" ht="60.75" customHeight="1">
      <c r="A5" s="48"/>
      <c r="B5" s="10"/>
      <c r="C5" s="132"/>
      <c r="D5" s="131"/>
      <c r="E5" s="131"/>
      <c r="F5" s="40"/>
      <c r="G5" s="40"/>
      <c r="H5" s="40"/>
      <c r="I5" s="40"/>
    </row>
    <row r="6" spans="1:9" ht="18">
      <c r="A6" s="129" t="s">
        <v>51</v>
      </c>
      <c r="C6" s="133"/>
      <c r="D6" s="133"/>
      <c r="E6" s="133"/>
      <c r="F6" s="40"/>
      <c r="G6" s="40"/>
      <c r="H6" s="40"/>
      <c r="I6" s="40"/>
    </row>
    <row r="7" spans="1:9" ht="18">
      <c r="A7" s="129" t="s">
        <v>68</v>
      </c>
      <c r="C7" s="133"/>
      <c r="D7" s="133"/>
      <c r="E7" s="133"/>
      <c r="F7" s="40"/>
      <c r="G7" s="40"/>
      <c r="H7" s="40"/>
      <c r="I7" s="40"/>
    </row>
    <row r="8" spans="1:9" ht="18">
      <c r="A8" s="129" t="s">
        <v>54</v>
      </c>
      <c r="C8" s="133"/>
      <c r="D8" s="133"/>
      <c r="E8" s="133"/>
      <c r="F8" s="40"/>
      <c r="G8" s="40"/>
      <c r="H8" s="40"/>
      <c r="I8" s="40"/>
    </row>
    <row r="9" spans="1:9" ht="18">
      <c r="A9" s="130" t="s">
        <v>55</v>
      </c>
      <c r="C9" s="133"/>
      <c r="D9" s="133"/>
      <c r="E9" s="133"/>
      <c r="F9" s="40"/>
      <c r="G9" s="40"/>
      <c r="H9" s="40"/>
      <c r="I9" s="40"/>
    </row>
    <row r="10" spans="1:9" ht="18">
      <c r="A10" s="129" t="s">
        <v>28</v>
      </c>
      <c r="C10" s="133"/>
      <c r="D10" s="133"/>
      <c r="E10" s="133"/>
      <c r="F10" s="40"/>
      <c r="G10" s="40"/>
      <c r="H10" s="40"/>
      <c r="I10" s="40"/>
    </row>
    <row r="11" spans="1:9" ht="18">
      <c r="A11" s="129" t="s">
        <v>56</v>
      </c>
      <c r="C11" s="133"/>
      <c r="D11" s="133"/>
      <c r="E11" s="133"/>
      <c r="F11" s="40"/>
      <c r="G11" s="40"/>
      <c r="H11" s="40"/>
      <c r="I11" s="40"/>
    </row>
    <row r="12" spans="1:9" ht="18">
      <c r="A12" s="129" t="s">
        <v>22</v>
      </c>
      <c r="C12" s="133"/>
      <c r="D12" s="133"/>
      <c r="E12" s="133"/>
      <c r="F12" s="40"/>
      <c r="G12" s="40"/>
      <c r="H12" s="40"/>
      <c r="I12" s="40"/>
    </row>
    <row r="13" spans="1:9" ht="18">
      <c r="A13" s="129" t="s">
        <v>23</v>
      </c>
      <c r="C13" s="133"/>
      <c r="D13" s="133"/>
      <c r="E13" s="133"/>
      <c r="F13" s="40"/>
      <c r="G13" s="40"/>
      <c r="H13" s="40"/>
      <c r="I13" s="40"/>
    </row>
    <row r="14" spans="1:9" ht="18">
      <c r="A14" s="129" t="s">
        <v>24</v>
      </c>
      <c r="C14" s="133"/>
      <c r="D14" s="133"/>
      <c r="E14" s="133"/>
      <c r="F14" s="40"/>
      <c r="G14" s="40"/>
      <c r="H14" s="40"/>
      <c r="I14" s="40"/>
    </row>
    <row r="15" spans="1:9" ht="18">
      <c r="A15" s="129" t="s">
        <v>57</v>
      </c>
      <c r="C15" s="133"/>
      <c r="D15" s="133"/>
      <c r="E15" s="133"/>
      <c r="F15" s="40"/>
      <c r="G15" s="40"/>
      <c r="H15" s="40"/>
      <c r="I15" s="40"/>
    </row>
    <row r="16" spans="1:9" ht="18">
      <c r="A16" s="129" t="s">
        <v>58</v>
      </c>
      <c r="C16" s="133"/>
      <c r="D16" s="133"/>
      <c r="E16" s="133"/>
      <c r="F16" s="40"/>
      <c r="G16" s="40"/>
      <c r="H16" s="40"/>
      <c r="I16" s="40"/>
    </row>
    <row r="17" spans="1:9" ht="18">
      <c r="A17" s="129" t="s">
        <v>59</v>
      </c>
      <c r="C17" s="133"/>
      <c r="D17" s="133"/>
      <c r="E17" s="133"/>
      <c r="F17" s="40"/>
      <c r="G17" s="40"/>
      <c r="H17" s="40"/>
      <c r="I17" s="40"/>
    </row>
    <row r="18" spans="1:9" ht="18">
      <c r="A18" s="129" t="s">
        <v>25</v>
      </c>
      <c r="C18" s="133"/>
      <c r="D18" s="133"/>
      <c r="E18" s="133"/>
      <c r="F18" s="40"/>
      <c r="G18" s="40"/>
      <c r="H18" s="40"/>
      <c r="I18" s="40"/>
    </row>
    <row r="19" spans="1:9" ht="18">
      <c r="A19" s="129" t="s">
        <v>60</v>
      </c>
      <c r="C19" s="133"/>
      <c r="D19" s="133"/>
      <c r="E19" s="133"/>
      <c r="F19" s="40"/>
      <c r="G19" s="40"/>
      <c r="H19" s="40"/>
      <c r="I19" s="40"/>
    </row>
    <row r="20" spans="1:9" ht="18">
      <c r="A20" s="129" t="s">
        <v>97</v>
      </c>
      <c r="C20" s="133"/>
      <c r="D20" s="133"/>
      <c r="E20" s="133"/>
      <c r="F20" s="40"/>
      <c r="G20" s="40"/>
      <c r="H20" s="40"/>
      <c r="I20" s="40"/>
    </row>
    <row r="21" spans="1:9" ht="18">
      <c r="A21" s="129" t="s">
        <v>26</v>
      </c>
      <c r="C21" s="133"/>
      <c r="D21" s="133"/>
      <c r="E21" s="133"/>
      <c r="F21" s="40"/>
      <c r="G21" s="40"/>
      <c r="H21" s="40"/>
      <c r="I21" s="40"/>
    </row>
    <row r="22" spans="1:9" ht="18">
      <c r="A22" s="129" t="s">
        <v>61</v>
      </c>
      <c r="C22" s="133"/>
      <c r="D22" s="133"/>
      <c r="E22" s="133"/>
      <c r="F22" s="40"/>
      <c r="G22" s="40"/>
      <c r="H22" s="40"/>
      <c r="I22" s="40"/>
    </row>
    <row r="23" spans="1:9" ht="18">
      <c r="A23" s="129" t="s">
        <v>69</v>
      </c>
      <c r="C23" s="133"/>
      <c r="D23" s="133"/>
      <c r="E23" s="133"/>
      <c r="F23" s="40"/>
      <c r="G23" s="40"/>
      <c r="H23" s="40"/>
      <c r="I23" s="40"/>
    </row>
    <row r="24" spans="1:9" ht="18">
      <c r="A24" s="129" t="s">
        <v>49</v>
      </c>
      <c r="C24" s="133"/>
      <c r="D24" s="133"/>
      <c r="E24" s="133"/>
      <c r="F24" s="40"/>
      <c r="G24" s="40"/>
      <c r="H24" s="40"/>
      <c r="I24" s="40"/>
    </row>
    <row r="25" spans="1:9" ht="18">
      <c r="A25" s="129" t="s">
        <v>92</v>
      </c>
      <c r="C25" s="133"/>
      <c r="D25" s="133"/>
      <c r="E25" s="133"/>
      <c r="F25" s="40"/>
      <c r="G25" s="40"/>
      <c r="H25" s="40"/>
      <c r="I25" s="40"/>
    </row>
    <row r="26" spans="1:9" ht="18">
      <c r="A26" s="129" t="s">
        <v>62</v>
      </c>
      <c r="C26" s="133"/>
      <c r="D26" s="133"/>
      <c r="E26" s="133"/>
      <c r="F26" s="40"/>
      <c r="G26" s="40"/>
      <c r="H26" s="40"/>
      <c r="I26" s="40"/>
    </row>
    <row r="27" spans="1:9">
      <c r="C27" s="133"/>
      <c r="D27" s="133"/>
      <c r="E27" s="133"/>
      <c r="F27" s="40"/>
      <c r="G27" s="40"/>
      <c r="H27" s="40"/>
      <c r="I27" s="40"/>
    </row>
    <row r="28" spans="1:9" ht="15.75">
      <c r="A28" s="15" t="s">
        <v>18</v>
      </c>
      <c r="B28" s="16"/>
      <c r="C28" s="134">
        <f t="shared" ref="C28:I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>
        <f t="shared" si="0"/>
        <v>0</v>
      </c>
    </row>
    <row r="29" spans="1:9" ht="15.75">
      <c r="A29" s="17" t="s">
        <v>19</v>
      </c>
      <c r="B29" s="18"/>
      <c r="C29" s="135">
        <f t="shared" ref="C29:I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>
        <f t="shared" si="1"/>
        <v>0</v>
      </c>
    </row>
    <row r="30" spans="1:9" ht="15.75">
      <c r="A30" s="14" t="s">
        <v>11</v>
      </c>
      <c r="C30" s="133">
        <f t="shared" ref="C30:I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>
        <f t="shared" si="2"/>
        <v>0</v>
      </c>
    </row>
    <row r="31" spans="1:9" ht="15.75">
      <c r="A31" s="19" t="s">
        <v>20</v>
      </c>
      <c r="B31" s="20"/>
      <c r="C31" s="136">
        <f t="shared" ref="C31:I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B13" sqref="B1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103</v>
      </c>
      <c r="B2" s="2"/>
    </row>
    <row r="3" spans="1:23">
      <c r="A3" s="76" t="s">
        <v>104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72</v>
      </c>
      <c r="E4" s="106" t="s">
        <v>73</v>
      </c>
      <c r="F4" s="106" t="s">
        <v>74</v>
      </c>
      <c r="G4" s="106" t="s">
        <v>75</v>
      </c>
      <c r="H4" s="106" t="s">
        <v>76</v>
      </c>
      <c r="I4" s="106" t="s">
        <v>77</v>
      </c>
      <c r="J4" s="106" t="s">
        <v>78</v>
      </c>
      <c r="K4" s="106" t="s">
        <v>79</v>
      </c>
      <c r="L4" s="106" t="s">
        <v>80</v>
      </c>
      <c r="M4" s="106" t="s">
        <v>81</v>
      </c>
      <c r="N4" s="106" t="s">
        <v>82</v>
      </c>
      <c r="O4" s="106" t="s">
        <v>83</v>
      </c>
      <c r="P4" s="106" t="s">
        <v>84</v>
      </c>
      <c r="Q4" s="106" t="s">
        <v>85</v>
      </c>
      <c r="R4" s="106" t="s">
        <v>86</v>
      </c>
      <c r="S4" s="106" t="s">
        <v>87</v>
      </c>
      <c r="T4" s="106" t="s">
        <v>88</v>
      </c>
      <c r="U4" s="106" t="s">
        <v>89</v>
      </c>
      <c r="V4" s="106" t="s">
        <v>90</v>
      </c>
      <c r="W4" s="106" t="s">
        <v>91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97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69</v>
      </c>
    </row>
    <row r="24" spans="1:23" ht="15.75">
      <c r="A24" s="127" t="s">
        <v>49</v>
      </c>
    </row>
    <row r="25" spans="1:23" ht="15.75">
      <c r="A25" s="127" t="s">
        <v>92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2025-12-05T14:05:35Z</dcterms:modified>
</cp:coreProperties>
</file>