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815DD9BC-592B-48EC-8EFA-CF1EF41F57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C28" i="10"/>
  <c r="C29" i="10"/>
  <c r="C30" i="10"/>
  <c r="C31" i="10"/>
  <c r="C27" i="3"/>
  <c r="C28" i="3"/>
  <c r="C29" i="3"/>
  <c r="C30" i="3"/>
  <c r="F27" i="2" l="1"/>
  <c r="F28" i="2"/>
  <c r="F29" i="2"/>
  <c r="F30" i="2"/>
  <c r="A4" i="14"/>
  <c r="C27" i="2" l="1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<sst xmlns="http://schemas.openxmlformats.org/spreadsheetml/2006/main" count="417" uniqueCount="114">
  <si>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</si>
  <si>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</si>
  <si>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</si>
  <si>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</si>
  <si>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</si>
  <si>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</si>
  <si>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</si>
  <si>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</si>
  <si>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</si>
  <si>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</si>
  <si>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</si>
  <si>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</si>
  <si>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</si>
  <si>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</si>
  <si>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</si>
  <si>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</si>
  <si>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</si>
  <si>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</si>
  <si>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</si>
  <si>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</si>
  <si>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</si>
  <si>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</si>
  <si>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</si>
  <si>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</si>
  <si>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</si>
  <si>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</si>
  <si>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</si>
  <si>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</si>
  <si>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</si>
  <si>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</si>
  <si>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</si>
  <si>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</si>
  <si>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</si>
  <si>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</si>
  <si>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</si>
  <si>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</si>
  <si>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</si>
  <si>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</si>
  <si>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</si>
  <si>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</si>
  <si>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</si>
  <si>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</si>
  <si>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</si>
  <si>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</si>
  <si>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</si>
  <si>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</si>
  <si>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</si>
  <si>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</si>
  <si>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</si>
  <si>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</si>
  <si>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</si>
  <si>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</si>
  <si>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</si>
  <si>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</si>
  <si>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</si>
  <si>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</si>
  <si>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</si>
  <si>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</si>
  <si>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</si>
  <si>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</si>
  <si>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</si>
  <si>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</si>
  <si>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</si>
  <si>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</si>
  <si>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</si>
  <si>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sim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</si>
  <si>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</si>
  <si>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</si>
  <si>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</si>
  <si>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</si>
  <si>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</si>
  <si>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</si>
  <si>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</si>
  <si>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</si>
  <si>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</si>
  <si>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</si>
  <si>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</si>
  <si>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</si>
  <si>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</si>
  <si>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</si>
  <si>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</si>
  <si>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</si>
  <si>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</si>
  <si>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</si>
  <si>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</si>
  <si>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</si>
  <si>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</si>
  <si>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</si>
  <si>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</si>
  <si>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</si>
  <si>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</si>
  <si>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</si>
  <si>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</si>
  <si>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</si>
  <si>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na presidência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</si>
  <si>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</si>
  <si>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pela ausência do autor, será pautada na próxima sessão.</t>
  </si>
  <si>
    <t>Lúcia da Saúde</t>
  </si>
  <si>
    <r>
      <t>MOÇÃO DE APLAUSO Nº 625/2025 – SÉRGIO FONTELLAS -</t>
    </r>
    <r>
      <rPr>
        <sz val="11"/>
        <color theme="1"/>
        <rFont val="Arial"/>
        <family val="2"/>
      </rPr>
      <t xml:space="preserve"> Moção de Aplausos, à Liga de Karatê de Osasco – LKO, pelos relevantes serviços prestados ao esporte e à modalidade Karatê no município.</t>
    </r>
  </si>
  <si>
    <t>APROVADA</t>
  </si>
  <si>
    <r>
      <t xml:space="preserve">APROVADO
</t>
    </r>
    <r>
      <rPr>
        <b/>
        <sz val="10"/>
        <color rgb="FF00B050"/>
        <rFont val="Arial"/>
        <family val="2"/>
      </rPr>
      <t>VOTAÇÃO SIMBÓLICA</t>
    </r>
  </si>
  <si>
    <t>3ª SESSÃO ORDINÁRIA</t>
  </si>
  <si>
    <t>DIA 10 DE FEVEREIRO DE 2026 - TERÇA-FEIRA</t>
  </si>
  <si>
    <t>Justificativa de ausência da Vereadora Elsa Oliveira.</t>
  </si>
  <si>
    <t>PROJETO DE LEI Nº 9/2026 – LÚCIA DA SAÚDE – Institui o Programa Municipal de Divulgação, Prevenção e Tratamento da Endometriose.</t>
  </si>
  <si>
    <t>PROJETO DE LEI Nº 10/2026 - JOSIAS DA JUCO – Dispõe sobre a denominação de praça localizada no bairro Bela Vista, no Município de Osasco, e dá outras providências</t>
  </si>
  <si>
    <t>PROJETO DE LEI Nº 11/2026 - HEBER ROCHA FARIAS – Veda a divulgação ou exibição de propagandas de casas ou aplicativos de apostas (bets) em equipamentos públicos municipais, inclusive nos casos de concessão ou permissão de uso.</t>
  </si>
  <si>
    <r>
      <t xml:space="preserve">MOÇÃO DE RECONHECIMENTO Nº 5/2025 – GUILHERME PRADO - </t>
    </r>
    <r>
      <rPr>
        <sz val="11"/>
        <color theme="1"/>
        <rFont val="Arial"/>
        <family val="2"/>
      </rPr>
      <t>À Ana Carolina Ferreira Lopes, por sua destacada trajetória como atleta profissional de basquete, marcada por relevantes conquistas nacionais e internacionais, e pela projeção do nome de Osasco no cenário esportivo.</t>
    </r>
  </si>
  <si>
    <r>
      <t xml:space="preserve">PROJETO DE LEI Nº 106/2025 – LÚCIA DA SAÚDE – </t>
    </r>
    <r>
      <rPr>
        <sz val="14"/>
        <color theme="1"/>
        <rFont val="Arial"/>
        <family val="2"/>
      </rPr>
      <t>Institui o Dia das Unidades Básicas de Saúde - UBS de Osasco.</t>
    </r>
  </si>
  <si>
    <r>
      <t xml:space="preserve">PROJETO DE LEI 210/2025 – ALEXANDRE CAPRIOTTI - </t>
    </r>
    <r>
      <rPr>
        <sz val="14"/>
        <color theme="1"/>
        <rFont val="Arial"/>
        <family val="2"/>
      </rPr>
      <t>Institui no Calendário Oficial do Município de Osasco o “Dia Municipal de Empatia com Pet”, e dá outras providências.</t>
    </r>
  </si>
  <si>
    <t>pela ausência da autora, será pautado na próxima sessão.</t>
  </si>
  <si>
    <t xml:space="preserve">APROVADO
</t>
  </si>
  <si>
    <r>
      <t xml:space="preserve">PROJETO DE RESOLUÇÃO Nº 08/2025 – LÚCIA DA SAÚDE – </t>
    </r>
    <r>
      <rPr>
        <sz val="11"/>
        <color theme="1"/>
        <rFont val="Arial"/>
        <family val="2"/>
      </rPr>
      <t>Institui a Galeria Lilás nas dependências da Câmara Municipal de Osasco.</t>
    </r>
  </si>
  <si>
    <r>
      <t xml:space="preserve">PROJETO DE DECRETO LEGISLATIVO Nº 64/2025 – ELSA OLIVEIRA – </t>
    </r>
    <r>
      <rPr>
        <sz val="11"/>
        <color theme="1"/>
        <rFont val="Arial"/>
        <family val="2"/>
      </rPr>
      <t xml:space="preserve">Dispõe sobre a concessão de Placa Comemorativa pelos 10 anos do Centro de Defesa dos Direitos da Criança e do Adolescente - CEDECA.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</si>
</sst>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7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1"/>
  <sheetViews>
    <sheetView tabSelected="1" zoomScale="70" zoomScaleNormal="70" workbookViewId="0">
      <selection activeCell="A61" sqref="A61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101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102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51</v>
      </c>
      <c r="B5" s="88">
        <v>2</v>
      </c>
      <c r="C5" s="102" t="s">
        <v>53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67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54</v>
      </c>
      <c r="B7" s="88">
        <v>2</v>
      </c>
      <c r="C7" s="102" t="s">
        <v>53</v>
      </c>
      <c r="D7" s="63"/>
      <c r="E7" s="62"/>
      <c r="F7" s="88">
        <v>2</v>
      </c>
      <c r="G7" s="102" t="s">
        <v>53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2</v>
      </c>
      <c r="K9" s="102" t="s">
        <v>53</v>
      </c>
      <c r="L9" s="67"/>
      <c r="M9" s="65"/>
      <c r="N9" s="63"/>
      <c r="O9" s="6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2</v>
      </c>
      <c r="G10" s="102" t="s">
        <v>53</v>
      </c>
      <c r="H10" s="63"/>
      <c r="I10" s="62"/>
      <c r="J10" s="63">
        <v>1</v>
      </c>
      <c r="K10" s="62" t="s">
        <v>52</v>
      </c>
      <c r="L10" s="67"/>
      <c r="M10" s="65"/>
      <c r="N10" s="63"/>
      <c r="O10" s="6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2</v>
      </c>
      <c r="C11" s="102" t="s">
        <v>53</v>
      </c>
      <c r="D11" s="63"/>
      <c r="E11" s="62"/>
      <c r="F11" s="88">
        <v>2</v>
      </c>
      <c r="G11" s="102" t="s">
        <v>53</v>
      </c>
      <c r="H11" s="63"/>
      <c r="I11" s="62"/>
      <c r="J11" s="63">
        <v>2</v>
      </c>
      <c r="K11" s="102" t="s">
        <v>53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2</v>
      </c>
      <c r="K13" s="102" t="s">
        <v>53</v>
      </c>
      <c r="L13" s="67"/>
      <c r="M13" s="65"/>
      <c r="N13" s="63"/>
      <c r="O13" s="6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57</v>
      </c>
      <c r="B14" s="88">
        <v>2</v>
      </c>
      <c r="C14" s="102" t="s">
        <v>53</v>
      </c>
      <c r="D14" s="63"/>
      <c r="E14" s="102"/>
      <c r="F14" s="88">
        <v>2</v>
      </c>
      <c r="G14" s="102" t="s">
        <v>53</v>
      </c>
      <c r="H14" s="63"/>
      <c r="I14" s="62"/>
      <c r="J14" s="63">
        <v>2</v>
      </c>
      <c r="K14" s="102" t="s">
        <v>53</v>
      </c>
      <c r="L14" s="67"/>
      <c r="M14" s="65"/>
      <c r="N14" s="63"/>
      <c r="O14" s="6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2</v>
      </c>
      <c r="G17" s="102" t="s">
        <v>53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97</v>
      </c>
      <c r="B19" s="88">
        <v>2</v>
      </c>
      <c r="C19" s="102" t="s">
        <v>53</v>
      </c>
      <c r="D19" s="63"/>
      <c r="E19" s="62"/>
      <c r="F19" s="88">
        <v>1</v>
      </c>
      <c r="G19" s="62" t="s">
        <v>52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6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2</v>
      </c>
      <c r="K21" s="102" t="s">
        <v>53</v>
      </c>
      <c r="L21" s="64"/>
      <c r="M21" s="64"/>
      <c r="N21" s="63"/>
      <c r="O21" s="62"/>
      <c r="P21" s="63"/>
      <c r="Q21" s="63"/>
      <c r="R21" s="62"/>
      <c r="S21" s="91"/>
      <c r="T21" s="149"/>
      <c r="U21" s="149"/>
      <c r="V21" s="149"/>
      <c r="W21" s="149"/>
      <c r="X21" s="149"/>
      <c r="Y21" s="149"/>
    </row>
    <row r="22" spans="1:28" ht="18" customHeight="1">
      <c r="A22" s="46" t="s">
        <v>68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49</v>
      </c>
      <c r="B23" s="88">
        <v>1</v>
      </c>
      <c r="C23" s="62" t="s">
        <v>52</v>
      </c>
      <c r="D23" s="63"/>
      <c r="E23" s="62"/>
      <c r="F23" s="88">
        <v>1</v>
      </c>
      <c r="G23" s="62" t="s">
        <v>52</v>
      </c>
      <c r="H23" s="63"/>
      <c r="I23" s="62"/>
      <c r="J23" s="63">
        <v>2</v>
      </c>
      <c r="K23" s="102" t="s">
        <v>53</v>
      </c>
      <c r="L23" s="67"/>
      <c r="M23" s="65"/>
      <c r="N23" s="63"/>
      <c r="O23" s="62"/>
      <c r="P23" s="63"/>
      <c r="Q23" s="63"/>
      <c r="R23" s="6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89</v>
      </c>
      <c r="B24" s="88">
        <v>1</v>
      </c>
      <c r="C24" s="62" t="s">
        <v>52</v>
      </c>
      <c r="D24" s="63"/>
      <c r="E24" s="62"/>
      <c r="F24" s="88">
        <v>1</v>
      </c>
      <c r="G24" s="62" t="s">
        <v>52</v>
      </c>
      <c r="H24" s="63"/>
      <c r="I24" s="62"/>
      <c r="J24" s="63">
        <v>2</v>
      </c>
      <c r="K24" s="102" t="s">
        <v>53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10</v>
      </c>
      <c r="C26" s="96" t="s">
        <v>46</v>
      </c>
      <c r="D26" s="98"/>
      <c r="E26" s="96" t="s">
        <v>46</v>
      </c>
      <c r="F26" s="98">
        <v>13</v>
      </c>
      <c r="G26" s="96" t="s">
        <v>46</v>
      </c>
      <c r="H26" s="100"/>
      <c r="I26" s="101"/>
      <c r="J26" s="98">
        <v>9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11</v>
      </c>
      <c r="C27" s="96" t="s">
        <v>47</v>
      </c>
      <c r="D27" s="98"/>
      <c r="E27" s="96" t="s">
        <v>47</v>
      </c>
      <c r="F27" s="98">
        <v>8</v>
      </c>
      <c r="G27" s="96" t="s">
        <v>47</v>
      </c>
      <c r="H27" s="100"/>
      <c r="I27" s="96"/>
      <c r="J27" s="98">
        <v>12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66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51</v>
      </c>
      <c r="V32" s="12"/>
      <c r="W32" s="12"/>
    </row>
    <row r="33" spans="1:23" ht="18">
      <c r="A33" s="34" t="s">
        <v>60</v>
      </c>
      <c r="V33" s="12"/>
      <c r="W33" s="12"/>
    </row>
    <row r="34" spans="1:23" ht="18">
      <c r="A34" s="34" t="s">
        <v>97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54</v>
      </c>
      <c r="V44" s="12"/>
      <c r="W44" s="12"/>
    </row>
    <row r="45" spans="1:23" ht="18">
      <c r="A45" s="34" t="s">
        <v>56</v>
      </c>
      <c r="V45" s="12"/>
      <c r="W45" s="12"/>
    </row>
    <row r="46" spans="1:23" ht="18">
      <c r="A46" s="34" t="s">
        <v>23</v>
      </c>
      <c r="V46" s="12"/>
      <c r="W46" s="12"/>
    </row>
    <row r="47" spans="1:23" ht="18">
      <c r="A47" s="34" t="s">
        <v>57</v>
      </c>
      <c r="V47" s="12"/>
      <c r="W47" s="12"/>
    </row>
    <row r="48" spans="1:23" ht="18">
      <c r="A48" s="34" t="s">
        <v>25</v>
      </c>
      <c r="B48" s="7"/>
      <c r="V48" s="12"/>
      <c r="W48" s="32"/>
    </row>
    <row r="49" spans="1:23" ht="18">
      <c r="A49" s="34" t="s">
        <v>68</v>
      </c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M52"/>
      <c r="W52" s="12"/>
    </row>
    <row r="53" spans="1:23" ht="15.75">
      <c r="A53" s="5" t="s">
        <v>35</v>
      </c>
      <c r="M53"/>
      <c r="W53" s="12"/>
    </row>
    <row r="54" spans="1:23" ht="18">
      <c r="A54" s="34" t="s">
        <v>28</v>
      </c>
    </row>
    <row r="55" spans="1:23" ht="18">
      <c r="A55" s="34" t="s">
        <v>23</v>
      </c>
    </row>
    <row r="56" spans="1:23" ht="18">
      <c r="A56" s="34" t="s">
        <v>24</v>
      </c>
    </row>
    <row r="57" spans="1:23" ht="18">
      <c r="A57" s="34" t="s">
        <v>25</v>
      </c>
    </row>
    <row r="58" spans="1:23" ht="18">
      <c r="A58" s="34" t="s">
        <v>97</v>
      </c>
    </row>
    <row r="59" spans="1:23" ht="18">
      <c r="A59" s="34" t="s">
        <v>61</v>
      </c>
    </row>
    <row r="60" spans="1:23" ht="18">
      <c r="A60" s="34" t="s">
        <v>49</v>
      </c>
    </row>
    <row r="61" spans="1:23" ht="18">
      <c r="A61" s="34" t="s">
        <v>89</v>
      </c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5.75">
      <c r="A72" s="7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</sheetData>
  <mergeCells count="2">
    <mergeCell ref="B1:M3"/>
    <mergeCell ref="T1:Y25"/>
  </mergeCells>
  <dataValidations count="2">
    <dataValidation type="custom" allowBlank="1" showInputMessage="1" showErrorMessage="1" sqref="A73:A81 A63:A71" xr:uid="{201F3B03-C924-4B48-A5BC-AE6429F789F2}">
      <formula1>"a5:a25"</formula1>
    </dataValidation>
    <dataValidation type="list" allowBlank="1" showInputMessage="1" showErrorMessage="1" sqref="A44:A52 A54:A61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K39"/>
  <sheetViews>
    <sheetView workbookViewId="0">
      <pane xSplit="1" topLeftCell="B1" activePane="topRight" state="frozen"/>
      <selection pane="topRight" activeCell="I11" sqref="I11"/>
    </sheetView>
  </sheetViews>
  <sheetFormatPr defaultColWidth="9.140625" defaultRowHeight="12.75"/>
  <cols>
    <col min="1" max="1" width="47.7109375" style="22" customWidth="1"/>
    <col min="2" max="6" width="23.7109375" style="22" customWidth="1"/>
    <col min="7" max="7" width="19" style="22" customWidth="1"/>
    <col min="8" max="8" width="26.28515625" style="22" customWidth="1"/>
    <col min="9" max="9" width="22.140625" style="22" customWidth="1"/>
    <col min="10" max="11" width="22.7109375" style="22" customWidth="1"/>
    <col min="12" max="16384" width="9.140625" style="22"/>
  </cols>
  <sheetData>
    <row r="1" spans="1:11" ht="15">
      <c r="A1" s="76" t="s">
        <v>8</v>
      </c>
      <c r="B1" s="21"/>
      <c r="C1" s="21"/>
      <c r="D1" s="21"/>
      <c r="E1" s="21"/>
      <c r="F1" s="21"/>
      <c r="G1" s="21"/>
      <c r="H1" s="21"/>
    </row>
    <row r="2" spans="1:11" ht="15">
      <c r="A2" s="76" t="s">
        <v>101</v>
      </c>
      <c r="B2" s="21"/>
      <c r="C2" s="21"/>
      <c r="D2" s="21"/>
      <c r="E2" s="21"/>
      <c r="F2" s="21"/>
      <c r="G2" s="21"/>
      <c r="H2" s="21"/>
    </row>
    <row r="3" spans="1:11" ht="17.25" customHeight="1">
      <c r="A3" s="76" t="s">
        <v>102</v>
      </c>
      <c r="B3" s="21"/>
      <c r="C3" s="21"/>
      <c r="D3" s="21"/>
      <c r="E3" s="21"/>
      <c r="F3" s="21"/>
      <c r="G3" s="21"/>
      <c r="H3" s="21"/>
    </row>
    <row r="4" spans="1:11" ht="63" customHeight="1">
      <c r="A4" s="51" t="str">
        <f>'[1]MOÇÃO E REQUERIMENTO'!B7</f>
        <v>EXPEDIENTE</v>
      </c>
      <c r="B4" s="50" t="s">
        <v>45</v>
      </c>
      <c r="C4" s="117" t="s">
        <v>103</v>
      </c>
      <c r="D4" s="117" t="s">
        <v>104</v>
      </c>
      <c r="E4" s="117" t="s">
        <v>105</v>
      </c>
      <c r="F4" s="117" t="s">
        <v>106</v>
      </c>
      <c r="G4" s="112" t="s">
        <v>34</v>
      </c>
      <c r="H4" s="124"/>
      <c r="I4" s="50" t="s">
        <v>27</v>
      </c>
      <c r="J4" s="84" t="s">
        <v>98</v>
      </c>
      <c r="K4" s="84" t="s">
        <v>107</v>
      </c>
    </row>
    <row r="5" spans="1:11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113"/>
      <c r="J5" s="118" t="s">
        <v>96</v>
      </c>
      <c r="K5" s="113" t="s">
        <v>99</v>
      </c>
    </row>
    <row r="6" spans="1:11" ht="15.75">
      <c r="A6" s="127" t="s">
        <v>51</v>
      </c>
      <c r="I6" s="23"/>
    </row>
    <row r="7" spans="1:11" ht="15.75">
      <c r="A7" s="127" t="s">
        <v>67</v>
      </c>
      <c r="I7" s="23"/>
    </row>
    <row r="8" spans="1:11" ht="15.75">
      <c r="A8" s="127" t="s">
        <v>54</v>
      </c>
      <c r="I8" s="23"/>
    </row>
    <row r="9" spans="1:11" ht="15.75">
      <c r="A9" s="128" t="s">
        <v>55</v>
      </c>
      <c r="I9" s="23"/>
    </row>
    <row r="10" spans="1:11" ht="15.75">
      <c r="A10" s="127" t="s">
        <v>28</v>
      </c>
      <c r="I10" s="23"/>
    </row>
    <row r="11" spans="1:11" ht="15.75">
      <c r="A11" s="127" t="s">
        <v>56</v>
      </c>
      <c r="I11" s="23"/>
    </row>
    <row r="12" spans="1:11" ht="15.75">
      <c r="A12" s="127" t="s">
        <v>22</v>
      </c>
      <c r="I12" s="23"/>
    </row>
    <row r="13" spans="1:11" ht="15.75">
      <c r="A13" s="127" t="s">
        <v>23</v>
      </c>
      <c r="I13" s="23"/>
    </row>
    <row r="14" spans="1:11" ht="15.75">
      <c r="A14" s="127" t="s">
        <v>24</v>
      </c>
      <c r="I14" s="23"/>
    </row>
    <row r="15" spans="1:11" ht="15.75">
      <c r="A15" s="127" t="s">
        <v>57</v>
      </c>
      <c r="I15" s="23"/>
    </row>
    <row r="16" spans="1:11" ht="15.75">
      <c r="A16" s="127" t="s">
        <v>58</v>
      </c>
      <c r="I16" s="23"/>
    </row>
    <row r="17" spans="1:9" ht="15.75">
      <c r="A17" s="127" t="s">
        <v>59</v>
      </c>
      <c r="I17" s="23"/>
    </row>
    <row r="18" spans="1:9" ht="15.75">
      <c r="A18" s="127" t="s">
        <v>25</v>
      </c>
      <c r="I18" s="23"/>
    </row>
    <row r="19" spans="1:9" ht="15.75">
      <c r="A19" s="127" t="s">
        <v>60</v>
      </c>
      <c r="I19" s="23"/>
    </row>
    <row r="20" spans="1:9" ht="15.75">
      <c r="A20" s="127" t="s">
        <v>97</v>
      </c>
      <c r="I20" s="23"/>
    </row>
    <row r="21" spans="1:9" ht="15.75">
      <c r="A21" s="127" t="s">
        <v>26</v>
      </c>
      <c r="I21" s="23"/>
    </row>
    <row r="22" spans="1:9" ht="15.75">
      <c r="A22" s="127" t="s">
        <v>61</v>
      </c>
      <c r="I22" s="23"/>
    </row>
    <row r="23" spans="1:9" ht="15.75">
      <c r="A23" s="127" t="s">
        <v>68</v>
      </c>
      <c r="I23" s="23"/>
    </row>
    <row r="24" spans="1:9" ht="15.75">
      <c r="A24" s="127" t="s">
        <v>49</v>
      </c>
      <c r="I24" s="23"/>
    </row>
    <row r="25" spans="1:9" ht="15.75">
      <c r="A25" s="127" t="s">
        <v>89</v>
      </c>
      <c r="I25" s="23"/>
    </row>
    <row r="26" spans="1:9" ht="15.75">
      <c r="A26" s="127" t="s">
        <v>62</v>
      </c>
      <c r="I26" s="23"/>
    </row>
    <row r="27" spans="1:9" s="25" customFormat="1">
      <c r="A27" s="24" t="s">
        <v>18</v>
      </c>
    </row>
    <row r="28" spans="1:9" s="27" customFormat="1">
      <c r="A28" s="26" t="s">
        <v>19</v>
      </c>
    </row>
    <row r="29" spans="1:9">
      <c r="A29" s="28" t="s">
        <v>11</v>
      </c>
    </row>
    <row r="30" spans="1:9" s="30" customFormat="1">
      <c r="A30" s="29" t="s">
        <v>20</v>
      </c>
    </row>
    <row r="32" spans="1: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F5" sqref="E5:F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6" t="s">
        <v>8</v>
      </c>
      <c r="B1" s="49"/>
      <c r="C1" s="74"/>
    </row>
    <row r="2" spans="1:46" ht="18" customHeight="1">
      <c r="A2" s="76" t="s">
        <v>101</v>
      </c>
      <c r="B2" s="49"/>
      <c r="C2" s="74"/>
    </row>
    <row r="3" spans="1:46" ht="17.25" customHeight="1">
      <c r="A3" s="76" t="s">
        <v>102</v>
      </c>
      <c r="B3" s="49"/>
      <c r="C3" s="74"/>
      <c r="E3" s="116"/>
      <c r="F3" s="116"/>
    </row>
    <row r="4" spans="1:46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108</v>
      </c>
      <c r="F4" s="140" t="s">
        <v>109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1" customFormat="1" ht="48" customHeight="1">
      <c r="A5" s="99" t="s">
        <v>37</v>
      </c>
      <c r="B5" s="78"/>
      <c r="C5" s="142"/>
      <c r="D5" s="79"/>
      <c r="E5" s="144" t="s">
        <v>100</v>
      </c>
      <c r="F5" s="144" t="s">
        <v>100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</row>
    <row r="6" spans="1:46" ht="20.25">
      <c r="A6" s="46" t="s">
        <v>51</v>
      </c>
      <c r="C6" s="107"/>
      <c r="E6" s="107"/>
      <c r="F6" s="107"/>
    </row>
    <row r="7" spans="1:46" ht="20.25">
      <c r="A7" s="46" t="s">
        <v>67</v>
      </c>
      <c r="C7" s="107"/>
      <c r="E7" s="107"/>
      <c r="F7" s="107"/>
    </row>
    <row r="8" spans="1:46" ht="20.25">
      <c r="A8" s="46" t="s">
        <v>54</v>
      </c>
      <c r="C8" s="107"/>
      <c r="E8" s="107"/>
      <c r="F8" s="107"/>
    </row>
    <row r="9" spans="1:46" ht="20.25">
      <c r="A9" s="82" t="s">
        <v>55</v>
      </c>
      <c r="C9" s="114"/>
      <c r="E9" s="114"/>
      <c r="F9" s="114"/>
    </row>
    <row r="10" spans="1:46" ht="20.25">
      <c r="A10" s="46" t="s">
        <v>28</v>
      </c>
      <c r="C10" s="107"/>
      <c r="E10" s="107"/>
      <c r="F10" s="107"/>
    </row>
    <row r="11" spans="1:46" ht="20.25">
      <c r="A11" s="46" t="s">
        <v>56</v>
      </c>
      <c r="C11" s="107"/>
      <c r="E11" s="114"/>
      <c r="F11" s="114"/>
    </row>
    <row r="12" spans="1:46" ht="20.25">
      <c r="A12" s="46" t="s">
        <v>22</v>
      </c>
      <c r="C12" s="107"/>
      <c r="E12" s="107"/>
      <c r="F12" s="107"/>
    </row>
    <row r="13" spans="1:46" ht="20.25">
      <c r="A13" s="46" t="s">
        <v>23</v>
      </c>
      <c r="C13" s="114"/>
      <c r="E13" s="114"/>
      <c r="F13" s="114"/>
    </row>
    <row r="14" spans="1:46" ht="20.25">
      <c r="A14" s="46" t="s">
        <v>24</v>
      </c>
      <c r="C14" s="107"/>
      <c r="E14" s="107"/>
      <c r="F14" s="107"/>
    </row>
    <row r="15" spans="1:46" ht="20.25">
      <c r="A15" s="46" t="s">
        <v>57</v>
      </c>
      <c r="C15" s="107"/>
      <c r="E15" s="107"/>
      <c r="F15" s="107"/>
    </row>
    <row r="16" spans="1:46" ht="20.25">
      <c r="A16" s="46" t="s">
        <v>58</v>
      </c>
      <c r="C16" s="107"/>
      <c r="E16" s="107"/>
      <c r="F16" s="107"/>
    </row>
    <row r="17" spans="1:131" ht="20.25">
      <c r="A17" s="46" t="s">
        <v>59</v>
      </c>
      <c r="C17" s="114"/>
      <c r="E17" s="107"/>
      <c r="F17" s="107"/>
    </row>
    <row r="18" spans="1:131" ht="20.25">
      <c r="A18" s="46" t="s">
        <v>25</v>
      </c>
      <c r="C18" s="107"/>
      <c r="E18" s="107"/>
      <c r="F18" s="107"/>
    </row>
    <row r="19" spans="1:131" ht="20.25">
      <c r="A19" s="46" t="s">
        <v>60</v>
      </c>
      <c r="C19" s="107"/>
      <c r="E19" s="107"/>
      <c r="F19" s="107"/>
    </row>
    <row r="20" spans="1:131" ht="20.25">
      <c r="A20" s="46" t="s">
        <v>97</v>
      </c>
      <c r="C20" s="107"/>
      <c r="E20" s="114"/>
      <c r="F20" s="114"/>
    </row>
    <row r="21" spans="1:131" ht="20.25">
      <c r="A21" s="46" t="s">
        <v>26</v>
      </c>
      <c r="C21" s="107"/>
      <c r="E21" s="107"/>
      <c r="F21" s="107"/>
    </row>
    <row r="22" spans="1:131" ht="20.25">
      <c r="A22" s="46" t="s">
        <v>61</v>
      </c>
      <c r="C22" s="114"/>
      <c r="E22" s="107"/>
      <c r="F22" s="107"/>
    </row>
    <row r="23" spans="1:131" ht="20.25">
      <c r="A23" s="46" t="s">
        <v>68</v>
      </c>
      <c r="C23" s="114"/>
      <c r="E23" s="107"/>
      <c r="F23" s="107"/>
    </row>
    <row r="24" spans="1:131" ht="20.25">
      <c r="A24" s="46" t="s">
        <v>49</v>
      </c>
      <c r="C24" s="107"/>
      <c r="E24" s="107"/>
      <c r="F24" s="107"/>
    </row>
    <row r="25" spans="1:131" ht="20.25">
      <c r="A25" s="46" t="s">
        <v>89</v>
      </c>
      <c r="C25" s="107"/>
      <c r="E25" s="107"/>
      <c r="F25" s="107"/>
    </row>
    <row r="26" spans="1:131" ht="20.25">
      <c r="A26" s="46" t="s">
        <v>62</v>
      </c>
      <c r="C26" s="107"/>
      <c r="E26" s="107"/>
      <c r="F26" s="107"/>
    </row>
    <row r="27" spans="1:131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:F27" si="1">COUNTIF(E6:E26,"sim")</f>
        <v>0</v>
      </c>
      <c r="F27" s="103">
        <f t="shared" si="1"/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:F28" si="3">COUNTIF(E6:E26,"não")</f>
        <v>0</v>
      </c>
      <c r="F28" s="104">
        <f t="shared" si="3"/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 t="shared" ref="C29" si="4">COUNTIF(C6:C26,"ausente")</f>
        <v>0</v>
      </c>
      <c r="E29" s="40">
        <f t="shared" ref="E29:F29" si="5">COUNTIF(E6:E26,"ausente")</f>
        <v>0</v>
      </c>
      <c r="F29" s="40">
        <f t="shared" si="5"/>
        <v>0</v>
      </c>
    </row>
    <row r="30" spans="1:131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:F30" si="7">COUNTIF(E6:E26,"abstenção")</f>
        <v>0</v>
      </c>
      <c r="F30" s="105">
        <f t="shared" si="7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5"/>
      <c r="D31"/>
      <c r="E31" s="105"/>
      <c r="F31" s="10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F4" sqref="F4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112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50" t="s">
        <v>111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51</v>
      </c>
      <c r="C6" s="107" t="s">
        <v>65</v>
      </c>
      <c r="U6" s="7"/>
      <c r="V6" s="7"/>
    </row>
    <row r="7" spans="1:29" ht="18">
      <c r="A7" s="129" t="s">
        <v>67</v>
      </c>
      <c r="C7" s="107" t="s">
        <v>65</v>
      </c>
      <c r="U7" s="7"/>
      <c r="V7" s="7"/>
    </row>
    <row r="8" spans="1:29" ht="18">
      <c r="A8" s="129" t="s">
        <v>54</v>
      </c>
      <c r="C8" s="114" t="s">
        <v>53</v>
      </c>
      <c r="U8" s="7"/>
      <c r="V8" s="7"/>
    </row>
    <row r="9" spans="1:29" ht="18">
      <c r="A9" s="130" t="s">
        <v>55</v>
      </c>
      <c r="C9" s="114" t="s">
        <v>94</v>
      </c>
      <c r="U9" s="7"/>
      <c r="V9" s="7"/>
    </row>
    <row r="10" spans="1:29" ht="18">
      <c r="A10" s="129" t="s">
        <v>28</v>
      </c>
      <c r="C10" s="107" t="s">
        <v>65</v>
      </c>
      <c r="U10" s="7"/>
      <c r="V10" s="7"/>
    </row>
    <row r="11" spans="1:29" ht="18">
      <c r="A11" s="129" t="s">
        <v>56</v>
      </c>
      <c r="C11" s="107" t="s">
        <v>65</v>
      </c>
      <c r="U11" s="7"/>
      <c r="V11" s="7"/>
    </row>
    <row r="12" spans="1:29" ht="18">
      <c r="A12" s="129" t="s">
        <v>22</v>
      </c>
      <c r="C12" s="114" t="s">
        <v>53</v>
      </c>
      <c r="U12" s="7"/>
      <c r="V12" s="7"/>
    </row>
    <row r="13" spans="1:29" ht="18">
      <c r="A13" s="129" t="s">
        <v>23</v>
      </c>
      <c r="C13" s="114" t="s">
        <v>53</v>
      </c>
      <c r="U13" s="7"/>
      <c r="V13" s="7"/>
    </row>
    <row r="14" spans="1:29" ht="18">
      <c r="A14" s="129" t="s">
        <v>24</v>
      </c>
      <c r="C14" s="107" t="s">
        <v>65</v>
      </c>
      <c r="U14" s="7"/>
      <c r="V14" s="7"/>
    </row>
    <row r="15" spans="1:29" ht="18">
      <c r="A15" s="129" t="s">
        <v>57</v>
      </c>
      <c r="C15" s="114" t="s">
        <v>53</v>
      </c>
      <c r="U15" s="7"/>
      <c r="V15" s="7"/>
    </row>
    <row r="16" spans="1:29" ht="18">
      <c r="A16" s="129" t="s">
        <v>58</v>
      </c>
      <c r="C16" s="114" t="s">
        <v>53</v>
      </c>
      <c r="U16" s="7"/>
      <c r="V16" s="7"/>
    </row>
    <row r="17" spans="1:123" ht="15" customHeight="1">
      <c r="A17" s="129" t="s">
        <v>59</v>
      </c>
      <c r="C17" s="107" t="s">
        <v>65</v>
      </c>
      <c r="T17" s="8"/>
      <c r="U17" s="7"/>
      <c r="V17" s="7"/>
    </row>
    <row r="18" spans="1:123" ht="18">
      <c r="A18" s="129" t="s">
        <v>25</v>
      </c>
      <c r="C18" s="107" t="s">
        <v>65</v>
      </c>
      <c r="U18" s="7"/>
      <c r="V18" s="7"/>
    </row>
    <row r="19" spans="1:123" ht="18">
      <c r="A19" s="129" t="s">
        <v>60</v>
      </c>
      <c r="C19" s="114" t="s">
        <v>53</v>
      </c>
      <c r="U19" s="7"/>
      <c r="V19" s="7"/>
    </row>
    <row r="20" spans="1:123" ht="18">
      <c r="A20" s="129" t="s">
        <v>97</v>
      </c>
      <c r="C20" s="107" t="s">
        <v>65</v>
      </c>
      <c r="U20" s="7"/>
      <c r="V20" s="7"/>
    </row>
    <row r="21" spans="1:123" ht="18">
      <c r="A21" s="129" t="s">
        <v>26</v>
      </c>
      <c r="C21" s="114" t="s">
        <v>53</v>
      </c>
      <c r="U21" s="7"/>
      <c r="V21" s="7"/>
    </row>
    <row r="22" spans="1:123" ht="18">
      <c r="A22" s="129" t="s">
        <v>61</v>
      </c>
      <c r="C22" s="107" t="s">
        <v>65</v>
      </c>
      <c r="U22" s="7"/>
      <c r="V22" s="7"/>
    </row>
    <row r="23" spans="1:123" ht="18">
      <c r="A23" s="129" t="s">
        <v>68</v>
      </c>
      <c r="C23" s="114" t="s">
        <v>53</v>
      </c>
      <c r="U23" s="7"/>
      <c r="V23" s="7"/>
    </row>
    <row r="24" spans="1:123" ht="18">
      <c r="A24" s="129" t="s">
        <v>49</v>
      </c>
      <c r="C24" s="107" t="s">
        <v>65</v>
      </c>
      <c r="U24" s="7"/>
      <c r="V24" s="7"/>
    </row>
    <row r="25" spans="1:123" ht="18">
      <c r="A25" s="129" t="s">
        <v>89</v>
      </c>
      <c r="C25" s="107" t="s">
        <v>65</v>
      </c>
      <c r="U25" s="7"/>
      <c r="V25" s="7"/>
    </row>
    <row r="26" spans="1:123" ht="18">
      <c r="A26" s="129" t="s">
        <v>62</v>
      </c>
      <c r="C26" s="107" t="s">
        <v>65</v>
      </c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12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4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8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G12" sqref="G12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101</v>
      </c>
      <c r="B2" s="2"/>
    </row>
    <row r="3" spans="1:3" ht="15.75" thickBot="1">
      <c r="A3" s="121" t="s">
        <v>102</v>
      </c>
      <c r="B3" s="2"/>
    </row>
    <row r="4" spans="1:3" ht="78.75" customHeight="1" thickBot="1">
      <c r="A4" s="120" t="s">
        <v>5</v>
      </c>
      <c r="B4" s="111" t="s">
        <v>21</v>
      </c>
      <c r="C4" s="139" t="s">
        <v>113</v>
      </c>
    </row>
    <row r="5" spans="1:3" s="6" customFormat="1" ht="60.75" customHeight="1">
      <c r="A5" s="122"/>
      <c r="B5" s="111"/>
      <c r="C5" s="151" t="s">
        <v>110</v>
      </c>
    </row>
    <row r="6" spans="1:3" ht="15.75">
      <c r="A6" s="127" t="s">
        <v>51</v>
      </c>
      <c r="C6" s="107"/>
    </row>
    <row r="7" spans="1:3" ht="15.75">
      <c r="A7" s="127" t="s">
        <v>67</v>
      </c>
      <c r="C7" s="107"/>
    </row>
    <row r="8" spans="1:3" ht="15.75">
      <c r="A8" s="127" t="s">
        <v>54</v>
      </c>
      <c r="C8" s="107"/>
    </row>
    <row r="9" spans="1:3" ht="15.75">
      <c r="A9" s="128" t="s">
        <v>55</v>
      </c>
      <c r="C9" s="107"/>
    </row>
    <row r="10" spans="1:3" ht="15.75">
      <c r="A10" s="127" t="s">
        <v>28</v>
      </c>
      <c r="C10" s="107"/>
    </row>
    <row r="11" spans="1:3" ht="15.75">
      <c r="A11" s="127" t="s">
        <v>56</v>
      </c>
      <c r="C11" s="114"/>
    </row>
    <row r="12" spans="1:3" ht="15.75">
      <c r="A12" s="127" t="s">
        <v>22</v>
      </c>
      <c r="C12" s="107"/>
    </row>
    <row r="13" spans="1:3" ht="15.75">
      <c r="A13" s="127" t="s">
        <v>23</v>
      </c>
      <c r="B13" s="138"/>
      <c r="C13" s="107"/>
    </row>
    <row r="14" spans="1:3" ht="15.75">
      <c r="A14" s="127" t="s">
        <v>24</v>
      </c>
      <c r="C14" s="107"/>
    </row>
    <row r="15" spans="1:3" ht="15.75">
      <c r="A15" s="127" t="s">
        <v>57</v>
      </c>
      <c r="C15" s="107"/>
    </row>
    <row r="16" spans="1:3" ht="15.75">
      <c r="A16" s="127" t="s">
        <v>58</v>
      </c>
      <c r="C16" s="107"/>
    </row>
    <row r="17" spans="1:3" ht="15.75">
      <c r="A17" s="127" t="s">
        <v>59</v>
      </c>
      <c r="C17" s="107"/>
    </row>
    <row r="18" spans="1:3" ht="15.75">
      <c r="A18" s="127" t="s">
        <v>25</v>
      </c>
      <c r="C18" s="107"/>
    </row>
    <row r="19" spans="1:3" ht="15.75">
      <c r="A19" s="127" t="s">
        <v>60</v>
      </c>
      <c r="C19" s="107"/>
    </row>
    <row r="20" spans="1:3" ht="15.75">
      <c r="A20" s="127" t="s">
        <v>97</v>
      </c>
      <c r="C20" s="114"/>
    </row>
    <row r="21" spans="1:3" ht="15.75">
      <c r="A21" s="127" t="s">
        <v>26</v>
      </c>
      <c r="C21" s="107"/>
    </row>
    <row r="22" spans="1:3" ht="15.75">
      <c r="A22" s="127" t="s">
        <v>61</v>
      </c>
      <c r="C22" s="107"/>
    </row>
    <row r="23" spans="1:3" ht="15.75">
      <c r="A23" s="127" t="s">
        <v>68</v>
      </c>
      <c r="C23" s="114"/>
    </row>
    <row r="24" spans="1:3" ht="15.75">
      <c r="A24" s="127" t="s">
        <v>49</v>
      </c>
      <c r="C24" s="107"/>
    </row>
    <row r="25" spans="1:3" ht="15.75">
      <c r="A25" s="127" t="s">
        <v>89</v>
      </c>
      <c r="C25" s="107"/>
    </row>
    <row r="26" spans="1:3" ht="15.75">
      <c r="A26" s="127" t="s">
        <v>62</v>
      </c>
      <c r="C26" s="107"/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101</v>
      </c>
      <c r="B2" s="2"/>
      <c r="C2" s="54"/>
      <c r="D2" s="54"/>
      <c r="E2" s="54"/>
    </row>
    <row r="3" spans="1:10" ht="15.75" thickBot="1">
      <c r="A3" s="121" t="s">
        <v>102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90</v>
      </c>
      <c r="G4" s="143" t="s">
        <v>91</v>
      </c>
      <c r="H4" s="143" t="s">
        <v>92</v>
      </c>
      <c r="I4" s="143" t="s">
        <v>93</v>
      </c>
      <c r="J4" s="143" t="s">
        <v>95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67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97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68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89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101</v>
      </c>
      <c r="B2" s="2"/>
    </row>
    <row r="3" spans="1:23">
      <c r="A3" s="76" t="s">
        <v>102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69</v>
      </c>
      <c r="E4" s="106" t="s">
        <v>70</v>
      </c>
      <c r="F4" s="106" t="s">
        <v>71</v>
      </c>
      <c r="G4" s="106" t="s">
        <v>72</v>
      </c>
      <c r="H4" s="106" t="s">
        <v>73</v>
      </c>
      <c r="I4" s="106" t="s">
        <v>74</v>
      </c>
      <c r="J4" s="106" t="s">
        <v>75</v>
      </c>
      <c r="K4" s="106" t="s">
        <v>76</v>
      </c>
      <c r="L4" s="106" t="s">
        <v>77</v>
      </c>
      <c r="M4" s="106" t="s">
        <v>78</v>
      </c>
      <c r="N4" s="106" t="s">
        <v>79</v>
      </c>
      <c r="O4" s="106" t="s">
        <v>80</v>
      </c>
      <c r="P4" s="106" t="s">
        <v>81</v>
      </c>
      <c r="Q4" s="106" t="s">
        <v>82</v>
      </c>
      <c r="R4" s="106" t="s">
        <v>83</v>
      </c>
      <c r="S4" s="106" t="s">
        <v>84</v>
      </c>
      <c r="T4" s="106" t="s">
        <v>85</v>
      </c>
      <c r="U4" s="106" t="s">
        <v>86</v>
      </c>
      <c r="V4" s="106" t="s">
        <v>87</v>
      </c>
      <c r="W4" s="106" t="s">
        <v>88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67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97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68</v>
      </c>
    </row>
    <row r="24" spans="1:23" ht="15.75">
      <c r="A24" s="127" t="s">
        <v>49</v>
      </c>
    </row>
    <row r="25" spans="1:23" ht="15.75">
      <c r="A25" s="127" t="s">
        <v>89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2026-03-02T21:15:02Z</dcterms:modified>
</cp:coreProperties>
</file>