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52281B7-FFCD-49DC-AB57-E70438FD45C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C28" i="3"/>
  <c r="D28" i="3"/>
  <c r="E28" i="3"/>
  <c r="C29" i="3"/>
  <c r="D29" i="3"/>
  <c r="E29" i="3"/>
  <c r="C30" i="3"/>
  <c r="D30" i="3"/>
  <c r="E30" i="3"/>
  <c r="E27" i="2"/>
  <c r="E28" i="2"/>
  <c r="E29" i="2"/>
  <c r="E30" i="2"/>
  <c r="C28" i="10"/>
  <c r="C29" i="10"/>
  <c r="C30" i="10"/>
  <c r="C31" i="10"/>
  <c r="D28" i="10"/>
  <c r="D29" i="10"/>
  <c r="D30" i="10"/>
  <c r="D31" i="10"/>
  <c r="E28" i="10"/>
  <c r="E29" i="10"/>
  <c r="E30" i="10"/>
  <c r="E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<sst xmlns="http://schemas.openxmlformats.org/spreadsheetml/2006/main" count="518" uniqueCount="166">
  <si>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</si>
  <si>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</si>
  <si>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</si>
  <si>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</si>
  <si>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</si>
  <si>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</si>
  <si>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</si>
  <si>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</si>
  <si>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</si>
  <si>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</si>
  <si>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</si>
  <si>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</si>
  <si>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</si>
  <si>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</si>
  <si>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</si>
  <si>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</si>
  <si>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</si>
  <si>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</si>
  <si>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</si>
  <si>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</si>
  <si>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</si>
  <si>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</si>
  <si>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</si>
  <si>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</si>
  <si>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</si>
  <si>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</si>
  <si>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</si>
  <si>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</si>
  <si>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</si>
  <si>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</si>
  <si>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</si>
  <si>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</si>
  <si>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</si>
  <si>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</si>
  <si>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</si>
  <si>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</si>
  <si>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</si>
  <si>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</si>
  <si>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</si>
  <si>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</si>
  <si>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</si>
  <si>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</si>
  <si>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</si>
  <si>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</si>
  <si>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</si>
  <si>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</si>
  <si>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</si>
  <si>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</si>
  <si>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</si>
  <si>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</si>
  <si>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</si>
  <si>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</si>
  <si>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</si>
  <si>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</si>
  <si>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</si>
  <si>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</si>
  <si>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</si>
  <si>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</si>
  <si>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</si>
  <si>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</si>
  <si>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</si>
  <si>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</si>
  <si>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</si>
  <si>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</si>
  <si>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</si>
  <si>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</si>
  <si>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</si>
  <si>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</si>
  <si>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</si>
  <si>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</si>
  <si>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</si>
  <si>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</si>
  <si>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</si>
  <si>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</si>
  <si>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</si>
  <si>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</si>
  <si>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</si>
  <si>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</si>
  <si>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</si>
  <si>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</si>
  <si>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</si>
  <si>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</si>
  <si>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</si>
  <si>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</si>
  <si>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</si>
  <si>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</si>
  <si>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</si>
  <si>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</si>
  <si>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</si>
  <si>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</si>
  <si>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</si>
  <si>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</si>
  <si>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</si>
  <si>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</si>
  <si>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</si>
  <si>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</si>
  <si>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Fábio Chirinhan</t>
  </si>
  <si>
    <t>ARQUIVADA</t>
  </si>
  <si>
    <t>Alexandre Capriotti</t>
  </si>
  <si>
    <t>Pedrinho Cantagessi</t>
  </si>
  <si>
    <t>38ª SESSÃO ORDINÁRIA</t>
  </si>
  <si>
    <t>DIA 4 DE AGOSTO DE 2026 - TERÇA-FEIRA</t>
  </si>
  <si>
    <t>OFÍCIO PROLEGIS Nº 202603182466 – Prefeito do Município de Osasco – Informa a sanção da Lei nº 5.493, de 22 de junho de 2026, referente ao Projeto de Lei nº 220/2025, de autoria do vereador Paulo Júnior que dispõe sobre a obrigatoriedade de exposição, em hospitais públicos e privados do Município de Osasco, da legislação que garante o direito à visita religiosa, regulamenta os horários dessas visitas e dá outras providências.</t>
  </si>
  <si>
    <t>OFÍCIO PROLEGIS Nº 202603205008 – Prefeito do Município de Osasco – Informa a sanção da Lei nº 5.494, de 2 de julho de 2026, referente ao Projeto de Lei nº 110/2026, de autoria do Prefeito do Município de Osasco que dispõe sobre abertura adicional especial vigente e dá outras providências.</t>
  </si>
  <si>
    <t>OFÍCIO PROLEGIS Nº 202603207762 – Prefeito do Município de Osasco – Informa a sanção da Lei nº 5.495, de 3 de julho de 2026, referente ao Projeto de Lei nº 31/2026, de autoria da vereadora Elsa Oliveira que institui o Dia Municipal de Luto e de Memória às Mulheres Vítimas de Feminicídio no Município de Osasco e dá outras providências.</t>
  </si>
  <si>
    <t>OFÍCIO PROLEGIS Nº 202603207788 – Prefeito do Município de Osasco – Informa a sanção da Lei nº 5.496, de 3 de julho de 2026, referente ao Projeto de Lei nº 82/2026, de autoria do vereador Guilherme Prado que dispõe sobre a instituição do Dia do Dogueiro no Calendário Oficial do Município de Osasco.</t>
  </si>
  <si>
    <t>OFÍCIO PROLEGIS Nº 202603207803 – Prefeito do Município de Osasco – Informa a sanção da Lei nº 5.497, de 3 de julho de 2026, referente ao Projeto de Lei nº 90/2026, de autoria do vereador Rodrigo Gansinho que institui o Dia Municipal do Neuropsicopedagogo no Calendário Oficial do Município de Osasco.</t>
  </si>
  <si>
    <t>OFÍCIO PROLEGIS Nº 202603207825 – Prefeito do Município de Osasco – Informa a sanção da Lei nº 5.498, de 3 de julho de 2026, referente ao Projeto de Lei nº 90/2026, de autoria do vereador Rodrigo Gansinho que institui o Dia Municipal do Psicanalista Clínico no Calendário Oficial do Município de Osasco.</t>
  </si>
  <si>
    <t>OFÍCIO PROLEGIS Nº 202603215333 – Prefeito do Município de Osasco – Informa a sanção da Lei nº 5.499, de 7 de julho de 2026, referente ao Projeto de Lei nº 123/2026, de autoria do Prefeito do Município de Osasco que dispõe sobre as diretrizes orçamentárias do Município de Osasco para o exercício de 2027, no âmbito da Administração Direta e Indireta do Município, e dá outras providências.</t>
  </si>
  <si>
    <t>OFÍCIO PROLEGIS Nº 202603213639 – Prefeito do Município de Osasco – Informa a sanção da Lei nº 5.500, de 7 de julho de 2026, referente ao Projeto de Lei nº 211/2025, de autoria do vereador Délbio Teruel que institui no Calendário Oficial do Município de Osasco o “Dia Municipal do Supermercadista” a ser celebrado anualmente no dia 12 de novembro e dá outras providências.</t>
  </si>
  <si>
    <t>OFÍCIO PROLEGIS nº 202603227429 – Prefeito do Município de Osasco – Informa a sanção da Lei nº 5.501, de 22 de julho de 2026, referente ao Projeto de Lei nº 10/2026 de autoria do Vereador Josias da Juco que dispõe sobre a denominação da praça Michel Wilton Cardozo, no bairro Bela Vista.</t>
  </si>
  <si>
    <t>Decreto nº 15.140, de 28 de maio de 2026 - Prefeito do Município de Osasco - Dispõe sobre a criação da Imprensa Oficial do Município de Osasco Digital – IOMO, no âmbito do Programa Osasco Sem Papel, e estabelece normas elaboração, armazenamento, validade, para a gestão, publicação, autenticidade e disponibilização dos atos oficiais em meio eletrônico.</t>
  </si>
  <si>
    <t>Decretos nº 15.141, 15.143, 15.147 a 15.150, 15.156, 15.170, 15.171 e 15.174 de junho de 2026 – Prefeito do Município de Osasco - Dispõem sobre a abertura de crédito adicional suplementar ao orçamento vigente e dão outras providências.</t>
  </si>
  <si>
    <t>Decretos nº 15.145, 15.151 a 15.153, 15.156, 15.172 e 15.173 de junho de 2026 – Prefeito do Município de Osasco - Dispõem sobre a abertura de crédito adicional especial ao orçamento vigente e dão outras providências.</t>
  </si>
  <si>
    <t xml:space="preserve">Decreto nº 15.142, de 8 de junho de 2026 - Prefeito do Município de Osasco - Dispõe sobre a autorização excepcional para pintura de vias públicas por munícipes em comemoração à Copa do Mundo de Futebol de 2026, estabelece critérios de segurança viária, restrições técnicas e dá outras providências. </t>
  </si>
  <si>
    <t>Decreto nº 15.146, de 11 de junho de 2026 - Prefeito do Município de Osasco - Dispõe sobre o expediente nas repartições públicas nos dias dos jogos da Seleção Brasileira na 1ª fase da Copa do Mundo da FIFA 2026.</t>
  </si>
  <si>
    <t>Decreto nº 15.175, de 17 de julho de 2026 - Prefeito do Município de Osasco - Revoga o Decreto nº 13.247, de 03 de fevereiro de 2022 e regulamenta a Lei nº 5.157, de 15 de dezembro de 2021, com alterações promovidas pela Lei nº 5.464, de 1º de abril de 2026, no âmbito do Programa Nosso Futuro.</t>
  </si>
  <si>
    <t xml:space="preserve">PROJETO DE LEI Nº 148/2026 – Prefeito do Município de Osasco – Dispõe sobre a abertura de crédito adicional especial ao orçamento vigente e dá outras providências. </t>
  </si>
  <si>
    <t>PROJETO DE LEI Nº 153/2026 – Prefeito do Município de Osasco – Dispõe sobre a abertura de crédito adicional especial ao orçamento vigente e dá outras providências.</t>
  </si>
  <si>
    <t xml:space="preserve">PROJETO DE LEI Nº 158/2026 – Prefeito do Município de Osasco – Dispõe sobre a denominação oficial de logradouro no Assentamento Social Abas, Jardim Mutinga. </t>
  </si>
  <si>
    <t>PROJETO DE LEI Nº 158/2026 – Prefeito do Município de Osasco – Dispõe sobre abertura de crédito adicional especial ao orçamento vigente e dá outras providências.</t>
  </si>
  <si>
    <t xml:space="preserve">PROJETO DE LEI Nº 159/2026 – Prefeito do Município de Osasco – Dispõe sobre abertura de crédito adicional especial ao orçamento vigente e dá outras providências. </t>
  </si>
  <si>
    <t>PROJETO DE LEI Nº 161/2026 – Prefeito do Município de Osasco – Dispõe sobre abertura de crédito adicional especial ao orçamento vigente e dá outras providências.</t>
  </si>
  <si>
    <t>PROJETO DE LEI Nº 168/2026 – Prefeito do Município de Osasco – Dispõe sobre abertura de crédito adicional especial ao orçamento vigente e dá outras providências</t>
  </si>
  <si>
    <t>PROJETO DE LEI COMPLEMENTAR Nº 7/2026 – Prefeito do Município de Osasco – Institui o Plano de Carreira e Remuneração para o cargo de Agente de Trânsito de Osasco, cria novas escalas de vencimentos e dá outras providências.</t>
  </si>
  <si>
    <t xml:space="preserve">PROJETO DE LEI Nº 144/2026 – SÉRGIO FONTELLAS - Institui a Política de prevenção à violência contra os educadores da Rede Municipal de Ensino de Osasco. </t>
  </si>
  <si>
    <t xml:space="preserve">PROJETO DE LEI Nº 145/2026 – SÉRGIO FONTELLAS - Institui o Programa Praça dos Autistas, destinado à criação de Espaços Públicos Multissensoriais, com finalidade inclusiva para o lazer, a convivência e o desenvolvimento de crianças com transtorno do Espectro Autista (TEA). </t>
  </si>
  <si>
    <t xml:space="preserve">PROJETO DE LEI Nº 146/2026 – GUILHERME PRADO - Dispõe sobre a instituição, no âmbito da Guarda Municipal de Osasco, da Ronda Ostensiva com Motocicletas – ROMO. </t>
  </si>
  <si>
    <t xml:space="preserve">PROJETO DE LEI Nº 147/2026 – GABRIEL SAÚDE - Denomina Viela José Carlos de Arruda a atual Viela 15 do Loteamento Jardim Velloso, situado no Bairro Veloso. </t>
  </si>
  <si>
    <t xml:space="preserve">PROJETO DE LEI Nº 149/2026 – BATISTA COMUNIDADE - Reconhece como atividade extracurricular a prática do hip-hop, a ser difundida nas escolas da rede municipal de ensino de Osasco. </t>
  </si>
  <si>
    <t xml:space="preserve">PROJETO DE LEI Nº 152/2026 – BATISTA COMUNIDADE - Institui diretrizes para a implementação de ficha de anamnese ampliada para estudantes com Transtorno do Espectro Autista (TEA) nas instituições de ensino do Município de Osasco, e dá outras providências. </t>
  </si>
  <si>
    <t xml:space="preserve">PROJETO DE LEI Nº 154/2026 – PEDRINHO CANTAGESSI - Dispõe sobre a instalação de sistemas de sinalização sonora em semáforos e outros pontos de trânsito, com o objetivo de garantir a segurança e a mobilidade de pessoas com deficiência visual, e dá outras providências. </t>
  </si>
  <si>
    <t xml:space="preserve">PROJETO DE LEI Nº 155/2026 – HEBER DO JUNTOZ - Institui diretrizes para a promoção da fitoterapia no âmbito da rede pública municipal de saúde, por meio do Programa Municipal Farmácias Vivas. </t>
  </si>
  <si>
    <t xml:space="preserve">PROJETO DE LEI Nº 156/2026 – HEBER DO JUNTOZ - Dispõe sobre a concessão de Título de Utilidade Pública à Casaviva Instituto Cultural, Ambiental e de Atenção à Família. </t>
  </si>
  <si>
    <t xml:space="preserve">PROJETO DE LEI Nº 157/2026 – GABRIEL SAÚDE - Institui a Política Municipal de Proteção dos Direitos da Pessoa com Fibromialgia no Município de Osasco. </t>
  </si>
  <si>
    <t xml:space="preserve">PROJETO DE LEI Nº 160/2026 – GABRIEL SAÚDE - Dispõe sobre a promoção da alimentação adequada e saudável no ambiente escolar das redes municipal e privada de educação básica do Município de Osasco e dá outras providências. </t>
  </si>
  <si>
    <t xml:space="preserve">PROJETO DE LEI Nº 162/2026 – DELBIO TERUEL E CAPRIOTTI - Dispõe sobre a denominação do Centro Municipal de Educação Infantil CEMEI Vera Lúcia de Matos localizado no bairro Portal D’Oeste. </t>
  </si>
  <si>
    <t xml:space="preserve">PROJETO DE LEI Nº 163/2026 – GABRIEL SAÚDE - Institui, no âmbito do Município de Osasco, a Política Municipal de Comunicação Aumentativa e Alternativa (CAA) em Espaços Públicos. </t>
  </si>
  <si>
    <t xml:space="preserve">PROJETO DE LEI Nº 164/2026 – PEDRINHO CANTAGESSI - Institui o Programa Municipal de Acompanhamento Integral da Pessoa Idosa – PAI Osasco, no âmbito do Município de Osasco. </t>
  </si>
  <si>
    <t xml:space="preserve">PROJETO DE LEI Nº 165/2026 – PEDRINHO CANTAGESSI - Institui o Programa Municipal Unidade Odontológica Móvel Escolar no âmbito do Município de Osasco. </t>
  </si>
  <si>
    <t xml:space="preserve">PROJETO DE LEI Nº 166/2026 – CANTOR GOLEIRO - Institui diretrizes da Política Municipal de Promoção da Saúde Visual dos Estudantes da Rede Pública Municipal de Ensino de Osasco. </t>
  </si>
  <si>
    <t xml:space="preserve">PROJETO DE LEI Nº 167/2026 – LAÉRCIO MENDONÇA - Dispõe sobre normas de transparência para o cadastramento de estabelecimentos fornecedores de alimentos em plataformas de entrega em domicílio (delivery) no Município de Osasco. </t>
  </si>
  <si>
    <t xml:space="preserve">PROJETO DE DECRETO LEGISLATIVO Nº 29/2026 – SÉRGIO FONTELLAS - Dispõe sobre a concessão de Cartão de Prata à empresa Osasco Educacional Cursos Técnicos Ltda, nome fantasia Grau Técnico. </t>
  </si>
  <si>
    <t xml:space="preserve">PROJETO DE DECRETO LEGISLATIVO Nº 32/2026 – JOSIAS DA JUCO – Dispõe sobre a concessão de Placa Comemorativa à Transportadora RB, e dá outras providências. </t>
  </si>
  <si>
    <t xml:space="preserve">PROJETO DE DECRETO LEGISLATIVO Nº 33/2026 – ELÂNIA SILVA – Dispõe sobre a concessão de Cartão de Prata à Sra. Eurenilda Carneiro de Pontes. </t>
  </si>
  <si>
    <t>PROJETO DE DECRETO LEGISLATIVO Nº 34/2026 – ELSA OLIVEIRA – Dispõe sobre a concessão de Placa Comemorativa ao Colégio Anglo Leonardo da Vinci, em celebração aos seus 50 anos de fundação</t>
  </si>
  <si>
    <t xml:space="preserve">PROJETO DE DECRETO LEGISLATIVO Nº 35/2026 – PEDRINHO CANTAGESSI – Concede Medalha Antônio Raposo Tavares e Diploma Cidade de Osasco ao Sr. Jorge Luiz Cantagessi de Souza. </t>
  </si>
  <si>
    <r>
      <t xml:space="preserve">MOÇÃO DE APLAUSOS Nº 196/2026 – RALFI – </t>
    </r>
    <r>
      <rPr>
        <sz val="11"/>
        <color theme="1"/>
        <rFont val="Arial"/>
        <family val="2"/>
      </rPr>
      <t>À atleta Jamilly Pereira, pela conquista do Campeonato Brasileiro de Kickboxing de 2026.</t>
    </r>
  </si>
  <si>
    <t>pela ausência do autor, será pautada na próxima sessão.</t>
  </si>
  <si>
    <r>
      <t xml:space="preserve">MOÇÃO DE REPÚDIO Nº 197/2026 – LÚCIA DA SAÚDE – </t>
    </r>
    <r>
      <rPr>
        <sz val="11"/>
        <color theme="1"/>
        <rFont val="Arial"/>
        <family val="2"/>
      </rPr>
      <t>Ao médico Karlheinz Schneider Lucas Pinho pela conduta adotada nas redes sociais após o falecimento da bebê Aurora, ocorrido no município de Embu das Artes-SP.</t>
    </r>
  </si>
  <si>
    <r>
      <t xml:space="preserve">MOÇÃO DE PESAR Nº 198/2026 – JOSIAS DA JUCO – </t>
    </r>
    <r>
      <rPr>
        <sz val="11"/>
        <color theme="1"/>
        <rFont val="Arial"/>
        <family val="2"/>
      </rPr>
      <t>Pelo falecimento da Sra. Ivony Migliori Liberatti, no dia 2 de julho de 2026, aos 96 anos de idade.</t>
    </r>
  </si>
  <si>
    <r>
      <t xml:space="preserve">MOÇÃO DE APLAUSOS Nº 199/2026 – ALEXANDRE CAPRIOTTI – </t>
    </r>
    <r>
      <rPr>
        <sz val="11"/>
        <color theme="1"/>
        <rFont val="Arial"/>
        <family val="2"/>
      </rPr>
      <t>À Hellena Gama de Oliveira por levar o nome de Osasco ao topo da natação mirim.</t>
    </r>
  </si>
  <si>
    <r>
      <t xml:space="preserve">MOÇÃO DE RECONHECIMENTO Nº 200/2026 – RALFI – </t>
    </r>
    <r>
      <rPr>
        <sz val="11"/>
        <color theme="1"/>
        <rFont val="Arial"/>
        <family val="2"/>
      </rPr>
      <t>À Sra. Renata Cassoli, pela exemplar trajetória profissional e dedicação à sociedade através do Instituto Vozes que Renascem.</t>
    </r>
  </si>
  <si>
    <r>
      <t xml:space="preserve">MOÇÃO DE APLAUSOS Nº 201/2026 – RALFI – </t>
    </r>
    <r>
      <rPr>
        <sz val="11"/>
        <color theme="1"/>
        <rFont val="Arial"/>
        <family val="2"/>
      </rPr>
      <t>Ao Rotary Club de Osasco, pelos 67 anos de história, união e dedicação ao próximo.</t>
    </r>
  </si>
  <si>
    <r>
      <t xml:space="preserve">MOÇÃO DE APOIO Nº 202/2026 – ELSA OLIVEIRA – </t>
    </r>
    <r>
      <rPr>
        <sz val="11"/>
        <color theme="1"/>
        <rFont val="Arial"/>
        <family val="2"/>
      </rPr>
      <t>À Secretaria de Saúde, em apoio à Semana Mundial de Aleitamento Materno, celebrada anualmente de 1º a 7 de agosto.</t>
    </r>
  </si>
  <si>
    <r>
      <t xml:space="preserve">MOÇÃO DE APOIO Nº 203/2026 – ELSA OLIVEIRA – </t>
    </r>
    <r>
      <rPr>
        <sz val="11"/>
        <color theme="1"/>
        <rFont val="Arial"/>
        <family val="2"/>
      </rPr>
      <t>À Secretaria Executiva de Política para Mulheres e Promoção da Diversidade, Conselho Municipal dos Direitos da Mulher e Delegacia de Defesa da Mulher de Osasco pela Campanha Agosto Lilás – Mês de Conscientização pelo Fim da Violência contra a Mulher.</t>
    </r>
  </si>
  <si>
    <t>arquivada a pedido da autora.</t>
  </si>
  <si>
    <r>
      <t xml:space="preserve">MOÇÃO DE APOIO Nº 205/2026 – ELSA OLIVEIRA – </t>
    </r>
    <r>
      <rPr>
        <sz val="11"/>
        <color theme="1"/>
        <rFont val="Arial"/>
        <family val="2"/>
      </rPr>
      <t>À campanha Agosto Lilás 2026, para manifestar apoio por sua relevante contribuição para a conscientização, prevenção e enfrentamento da violência contra a mulher, promovendo a defesa dos direitos das mulheres e o fortalecimento da rede de proteção em todo o país.</t>
    </r>
  </si>
  <si>
    <r>
      <t xml:space="preserve">MOÇÃO DE RECONHECIMENTO Nº 206/2026 – ELSA OLIVEIRA – </t>
    </r>
    <r>
      <rPr>
        <sz val="11"/>
        <color theme="1"/>
        <rFont val="Arial"/>
        <family val="2"/>
      </rPr>
      <t>À Lei Federal Nº 11.340 de 7 de agosto de 2006, Lei Maria da Penha, em reconhecimento aos seus 20 anos de vigência, em homenagem ao seu legado histórico na proteção dos direitos das mulheres e a sua inestimável contribuição para o enfrentamento da violência doméstica e familiar no Brasil.</t>
    </r>
  </si>
  <si>
    <t xml:space="preserve">EMENDA N.1/26, DA CCJ, AO PROJETO DE LEI Nº 22/2026. </t>
  </si>
  <si>
    <t xml:space="preserve">EMENDA N.2/26, DO VEREADOR GABRIEL SAÚDE, AO PROJETO DE LEI Nº 22/2026. </t>
  </si>
  <si>
    <r>
      <t>PROJETO DE LEI Nº 22/2026 – GABRIEL SAÚDE -</t>
    </r>
    <r>
      <rPr>
        <sz val="11"/>
        <color theme="1"/>
        <rFont val="Arial"/>
        <family val="2"/>
      </rPr>
      <t xml:space="preserve"> Institui a Meia Maratona de Osasco – 21K no Calendário Oficial de Eventos do Município de Osasco, a ser realizada anualmente no último domingo do mês de fevereiro, e dá outras providências. </t>
    </r>
  </si>
  <si>
    <r>
      <rPr>
        <b/>
        <sz val="16"/>
        <color rgb="FF00B050"/>
        <rFont val="Arial"/>
        <family val="2"/>
      </rPr>
      <t>APROVADA</t>
    </r>
    <r>
      <rPr>
        <b/>
        <sz val="12"/>
        <color rgb="FF00B050"/>
        <rFont val="Arial"/>
        <family val="2"/>
      </rPr>
      <t xml:space="preserve">
VOTAÇÃO SIMBÓLICA</t>
    </r>
  </si>
  <si>
    <r>
      <t xml:space="preserve">PROJETO DE DECRETO LEGISLATIVO 17/2026 – STEPHANE ROSSI - </t>
    </r>
    <r>
      <rPr>
        <sz val="11"/>
        <color theme="1"/>
        <rFont val="Arial"/>
        <family val="2"/>
      </rPr>
      <t>Dispõe sobre a concessão do Diploma João Cândido - Almirante Negro ao senhor Bruno Vinicius Oliveira Santos.</t>
    </r>
  </si>
  <si>
    <r>
      <t xml:space="preserve">PROJETO DE LEI Nº 117/2026 - GUILHERME PRADO E OUTROS - </t>
    </r>
    <r>
      <rPr>
        <sz val="11"/>
        <color theme="1"/>
        <rFont val="Arial"/>
        <family val="2"/>
      </rPr>
      <t>Dispõe sobre alteração da denominação da Rua General Labatut para Rua Padre Leo Dolan – Padre Leo.</t>
    </r>
  </si>
  <si>
    <r>
      <t xml:space="preserve">PROJETO DE DECRETO LEGISLATIVO 18/2026 – ALEXANDRE CAPRIOTTI – </t>
    </r>
    <r>
      <rPr>
        <sz val="11"/>
        <color theme="1"/>
        <rFont val="Arial"/>
        <family val="2"/>
      </rPr>
      <t>Dispõe sobre a concessão de Medalha Antônio Raposo Tavares e Diploma Cidade de Osasco ao senhor Antônio César Felix de Sousa.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</si>
</sst>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9"/>
      <name val="Arial"/>
      <family val="2"/>
    </font>
    <font>
      <b/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9" sqref="A59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100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101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98</v>
      </c>
      <c r="B5" s="88">
        <v>2</v>
      </c>
      <c r="C5" s="102" t="s">
        <v>48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2</v>
      </c>
      <c r="K9" s="102" t="s">
        <v>48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2</v>
      </c>
      <c r="K11" s="102" t="s">
        <v>48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1</v>
      </c>
      <c r="G12" s="62" t="s">
        <v>47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2</v>
      </c>
      <c r="C16" s="102" t="s">
        <v>48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1</v>
      </c>
      <c r="C18" s="62" t="s">
        <v>47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1</v>
      </c>
      <c r="G20" s="62" t="s">
        <v>47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96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99</v>
      </c>
      <c r="B22" s="88">
        <v>2</v>
      </c>
      <c r="C22" s="102" t="s">
        <v>48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1</v>
      </c>
      <c r="C23" s="62" t="s">
        <v>47</v>
      </c>
      <c r="D23" s="63"/>
      <c r="E23" s="102"/>
      <c r="F23" s="88">
        <v>1</v>
      </c>
      <c r="G23" s="62" t="s">
        <v>47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2</v>
      </c>
      <c r="K24" s="102" t="s">
        <v>48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2</v>
      </c>
      <c r="C25" s="102" t="s">
        <v>48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21</v>
      </c>
      <c r="G26" s="96" t="s">
        <v>43</v>
      </c>
      <c r="H26" s="100"/>
      <c r="I26" s="101"/>
      <c r="J26" s="98">
        <v>15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0</v>
      </c>
      <c r="G27" s="96" t="s">
        <v>44</v>
      </c>
      <c r="H27" s="100"/>
      <c r="I27" s="96"/>
      <c r="J27" s="98">
        <v>6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98</v>
      </c>
      <c r="V32" s="12"/>
      <c r="W32" s="12"/>
    </row>
    <row r="33" spans="1:23" ht="18">
      <c r="A33" s="34" t="s">
        <v>99</v>
      </c>
      <c r="V33" s="12"/>
      <c r="W33" s="12"/>
    </row>
    <row r="34" spans="1:23" ht="18">
      <c r="A34" s="34" t="s">
        <v>83</v>
      </c>
      <c r="V34" s="12"/>
      <c r="W34" s="12"/>
    </row>
    <row r="35" spans="1:23" ht="18">
      <c r="A35" s="34" t="s">
        <v>82</v>
      </c>
      <c r="V35" s="12"/>
      <c r="W35" s="12"/>
    </row>
    <row r="36" spans="1:23" ht="18">
      <c r="A36" s="34" t="s">
        <v>90</v>
      </c>
      <c r="V36" s="32"/>
      <c r="W36" s="12"/>
    </row>
    <row r="37" spans="1:23" ht="18">
      <c r="A37" s="34" t="s">
        <v>56</v>
      </c>
      <c r="V37" s="12"/>
      <c r="W37" s="12"/>
    </row>
    <row r="38" spans="1:23" ht="18">
      <c r="A38" s="34" t="s">
        <v>51</v>
      </c>
      <c r="V38" s="12"/>
      <c r="W38" s="12"/>
    </row>
    <row r="39" spans="1:23" ht="18">
      <c r="A39" s="34" t="s">
        <v>89</v>
      </c>
      <c r="V39" s="12"/>
      <c r="W39" s="12"/>
    </row>
    <row r="40" spans="1:23" ht="18">
      <c r="A40" s="34" t="s">
        <v>24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26</v>
      </c>
    </row>
    <row r="56" spans="1:23" ht="18">
      <c r="A56" s="34" t="s">
        <v>54</v>
      </c>
    </row>
    <row r="57" spans="1:23" ht="18">
      <c r="A57" s="34" t="s">
        <v>24</v>
      </c>
    </row>
    <row r="58" spans="1:23" ht="18">
      <c r="A58" s="34" t="s">
        <v>82</v>
      </c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I39"/>
  <sheetViews>
    <sheetView workbookViewId="0">
      <pane xSplit="1" topLeftCell="B1" activePane="topRight" state="frozen"/>
      <selection pane="topRight" activeCell="BH13" sqref="BH13"/>
    </sheetView>
  </sheetViews>
  <sheetFormatPr defaultColWidth="9.140625" defaultRowHeight="12.75"/>
  <cols>
    <col min="1" max="1" width="47.7109375" style="22" customWidth="1"/>
    <col min="2" max="48" width="23.7109375" style="22" customWidth="1"/>
    <col min="49" max="49" width="19" style="22" customWidth="1"/>
    <col min="50" max="50" width="26.28515625" style="22" customWidth="1"/>
    <col min="51" max="51" width="22.140625" style="22" customWidth="1"/>
    <col min="52" max="61" width="22.7109375" style="22" customWidth="1"/>
    <col min="62" max="16384" width="9.140625" style="22"/>
  </cols>
  <sheetData>
    <row r="1" spans="1:6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61" ht="15">
      <c r="A2" s="76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</row>
    <row r="3" spans="1:61" ht="17.25" customHeight="1">
      <c r="A3" s="76" t="s">
        <v>101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spans="1:61" ht="63" customHeight="1">
      <c r="A4" s="51" t="str">
        <f>'[1]MOÇÃO E REQUERIMENTO'!B7</f>
        <v>EXPEDIENTE</v>
      </c>
      <c r="B4" s="50" t="s">
        <v>42</v>
      </c>
      <c r="C4" s="117" t="s">
        <v>102</v>
      </c>
      <c r="D4" s="117" t="s">
        <v>103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7" t="s">
        <v>108</v>
      </c>
      <c r="J4" s="117" t="s">
        <v>109</v>
      </c>
      <c r="K4" s="117" t="s">
        <v>110</v>
      </c>
      <c r="L4" s="117" t="s">
        <v>111</v>
      </c>
      <c r="M4" s="117" t="s">
        <v>112</v>
      </c>
      <c r="N4" s="117" t="s">
        <v>113</v>
      </c>
      <c r="O4" s="117" t="s">
        <v>114</v>
      </c>
      <c r="P4" s="117" t="s">
        <v>115</v>
      </c>
      <c r="Q4" s="117" t="s">
        <v>116</v>
      </c>
      <c r="R4" s="117" t="s">
        <v>117</v>
      </c>
      <c r="S4" s="117" t="s">
        <v>118</v>
      </c>
      <c r="T4" s="117" t="s">
        <v>119</v>
      </c>
      <c r="U4" s="117" t="s">
        <v>120</v>
      </c>
      <c r="V4" s="117" t="s">
        <v>121</v>
      </c>
      <c r="W4" s="117" t="s">
        <v>122</v>
      </c>
      <c r="X4" s="117" t="s">
        <v>123</v>
      </c>
      <c r="Y4" s="117" t="s">
        <v>124</v>
      </c>
      <c r="Z4" s="117" t="s">
        <v>125</v>
      </c>
      <c r="AA4" s="117" t="s">
        <v>126</v>
      </c>
      <c r="AB4" s="117" t="s">
        <v>127</v>
      </c>
      <c r="AC4" s="117" t="s">
        <v>128</v>
      </c>
      <c r="AD4" s="117" t="s">
        <v>129</v>
      </c>
      <c r="AE4" s="117" t="s">
        <v>130</v>
      </c>
      <c r="AF4" s="117" t="s">
        <v>131</v>
      </c>
      <c r="AG4" s="117" t="s">
        <v>132</v>
      </c>
      <c r="AH4" s="117" t="s">
        <v>133</v>
      </c>
      <c r="AI4" s="117" t="s">
        <v>134</v>
      </c>
      <c r="AJ4" s="117" t="s">
        <v>135</v>
      </c>
      <c r="AK4" s="117" t="s">
        <v>136</v>
      </c>
      <c r="AL4" s="117" t="s">
        <v>137</v>
      </c>
      <c r="AM4" s="117" t="s">
        <v>138</v>
      </c>
      <c r="AN4" s="117" t="s">
        <v>139</v>
      </c>
      <c r="AO4" s="117" t="s">
        <v>140</v>
      </c>
      <c r="AP4" s="117" t="s">
        <v>141</v>
      </c>
      <c r="AQ4" s="117" t="s">
        <v>142</v>
      </c>
      <c r="AR4" s="117" t="s">
        <v>143</v>
      </c>
      <c r="AS4" s="117" t="s">
        <v>144</v>
      </c>
      <c r="AT4" s="117" t="s">
        <v>145</v>
      </c>
      <c r="AU4" s="117" t="s">
        <v>145</v>
      </c>
      <c r="AV4" s="117" t="s">
        <v>146</v>
      </c>
      <c r="AW4" s="112" t="s">
        <v>32</v>
      </c>
      <c r="AX4" s="123"/>
      <c r="AY4" s="50" t="s">
        <v>25</v>
      </c>
      <c r="AZ4" s="84" t="s">
        <v>147</v>
      </c>
      <c r="BA4" s="84" t="s">
        <v>149</v>
      </c>
      <c r="BB4" s="84" t="s">
        <v>150</v>
      </c>
      <c r="BC4" s="84" t="s">
        <v>151</v>
      </c>
      <c r="BD4" s="84" t="s">
        <v>152</v>
      </c>
      <c r="BE4" s="84" t="s">
        <v>153</v>
      </c>
      <c r="BF4" s="84" t="s">
        <v>154</v>
      </c>
      <c r="BG4" s="84" t="s">
        <v>155</v>
      </c>
      <c r="BH4" s="84" t="s">
        <v>157</v>
      </c>
      <c r="BI4" s="84" t="s">
        <v>158</v>
      </c>
    </row>
    <row r="5" spans="1:61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113"/>
      <c r="AZ5" s="155" t="s">
        <v>148</v>
      </c>
      <c r="BA5" s="113" t="s">
        <v>84</v>
      </c>
      <c r="BB5" s="113" t="s">
        <v>84</v>
      </c>
      <c r="BC5" s="155" t="s">
        <v>148</v>
      </c>
      <c r="BD5" s="155" t="s">
        <v>148</v>
      </c>
      <c r="BE5" s="155" t="s">
        <v>148</v>
      </c>
      <c r="BF5" s="155" t="s">
        <v>148</v>
      </c>
      <c r="BG5" s="155" t="s">
        <v>156</v>
      </c>
      <c r="BH5" s="113" t="s">
        <v>84</v>
      </c>
      <c r="BI5" s="113" t="s">
        <v>84</v>
      </c>
    </row>
    <row r="6" spans="1:61" ht="15.75">
      <c r="A6" s="126" t="s">
        <v>98</v>
      </c>
      <c r="AY6" s="23"/>
    </row>
    <row r="7" spans="1:61" ht="15.75">
      <c r="A7" s="126" t="s">
        <v>60</v>
      </c>
      <c r="AY7" s="23"/>
    </row>
    <row r="8" spans="1:61" ht="15.75">
      <c r="A8" s="126" t="s">
        <v>49</v>
      </c>
      <c r="AY8" s="23"/>
    </row>
    <row r="9" spans="1:61" ht="15.75">
      <c r="A9" s="127" t="s">
        <v>50</v>
      </c>
      <c r="AY9" s="23"/>
    </row>
    <row r="10" spans="1:61" ht="15.75">
      <c r="A10" s="126" t="s">
        <v>26</v>
      </c>
      <c r="AY10" s="23"/>
    </row>
    <row r="11" spans="1:61" ht="15.75">
      <c r="A11" s="126" t="s">
        <v>51</v>
      </c>
      <c r="AY11" s="23"/>
    </row>
    <row r="12" spans="1:61" ht="15.75">
      <c r="A12" s="126" t="s">
        <v>22</v>
      </c>
      <c r="AY12" s="23"/>
    </row>
    <row r="13" spans="1:61" ht="15.75">
      <c r="A13" s="126" t="s">
        <v>23</v>
      </c>
      <c r="AY13" s="23"/>
    </row>
    <row r="14" spans="1:61" ht="15.75">
      <c r="A14" s="126" t="s">
        <v>52</v>
      </c>
      <c r="AY14" s="23"/>
    </row>
    <row r="15" spans="1:61" ht="15.75">
      <c r="A15" s="126" t="s">
        <v>53</v>
      </c>
      <c r="AY15" s="23"/>
    </row>
    <row r="16" spans="1:61" ht="15.75">
      <c r="A16" s="126" t="s">
        <v>54</v>
      </c>
      <c r="AY16" s="23"/>
    </row>
    <row r="17" spans="1:51" ht="15.75">
      <c r="A17" s="126" t="s">
        <v>89</v>
      </c>
      <c r="AY17" s="23"/>
    </row>
    <row r="18" spans="1:51" ht="15.75">
      <c r="A18" s="126" t="s">
        <v>24</v>
      </c>
      <c r="AY18" s="23"/>
    </row>
    <row r="19" spans="1:51" ht="15.75">
      <c r="A19" s="126" t="s">
        <v>55</v>
      </c>
      <c r="AY19" s="23"/>
    </row>
    <row r="20" spans="1:51" ht="15.75">
      <c r="A20" s="126" t="s">
        <v>90</v>
      </c>
      <c r="AY20" s="23"/>
    </row>
    <row r="21" spans="1:51" ht="15.75">
      <c r="A21" s="126" t="s">
        <v>83</v>
      </c>
      <c r="AY21" s="23"/>
    </row>
    <row r="22" spans="1:51" ht="15.75">
      <c r="A22" s="126" t="s">
        <v>96</v>
      </c>
      <c r="AY22" s="23"/>
    </row>
    <row r="23" spans="1:51" ht="15.75">
      <c r="A23" s="126" t="s">
        <v>99</v>
      </c>
      <c r="AY23" s="23"/>
    </row>
    <row r="24" spans="1:51" ht="15.75">
      <c r="A24" s="126" t="s">
        <v>61</v>
      </c>
      <c r="AY24" s="23"/>
    </row>
    <row r="25" spans="1:51" ht="15.75">
      <c r="A25" s="126" t="s">
        <v>82</v>
      </c>
      <c r="AY25" s="23"/>
    </row>
    <row r="26" spans="1:51" ht="15.75">
      <c r="A26" s="126" t="s">
        <v>56</v>
      </c>
      <c r="AY26" s="23"/>
    </row>
    <row r="27" spans="1:51" s="25" customFormat="1">
      <c r="A27" s="24" t="s">
        <v>18</v>
      </c>
    </row>
    <row r="28" spans="1:51" s="27" customFormat="1">
      <c r="A28" s="26" t="s">
        <v>19</v>
      </c>
    </row>
    <row r="29" spans="1:51">
      <c r="A29" s="28" t="s">
        <v>11</v>
      </c>
    </row>
    <row r="30" spans="1:51" s="30" customFormat="1">
      <c r="A30" s="29" t="s">
        <v>20</v>
      </c>
    </row>
    <row r="32" spans="1:5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H9" sqref="H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100</v>
      </c>
      <c r="B2" s="49"/>
      <c r="C2" s="74"/>
    </row>
    <row r="3" spans="1:45" ht="17.25" customHeight="1">
      <c r="A3" s="76" t="s">
        <v>101</v>
      </c>
      <c r="B3" s="49"/>
      <c r="C3" s="74"/>
      <c r="E3" s="116"/>
    </row>
    <row r="4" spans="1:45" ht="90.75" customHeight="1" thickBot="1">
      <c r="A4" s="52" t="s">
        <v>5</v>
      </c>
      <c r="B4" s="108" t="s">
        <v>29</v>
      </c>
      <c r="C4" s="140"/>
      <c r="D4" s="109" t="s">
        <v>6</v>
      </c>
      <c r="E4" s="13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35</v>
      </c>
      <c r="B5" s="78"/>
      <c r="C5" s="113"/>
      <c r="D5" s="79"/>
      <c r="E5" s="144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98</v>
      </c>
      <c r="C6" s="107"/>
      <c r="E6" s="107"/>
      <c r="F6" s="142"/>
    </row>
    <row r="7" spans="1:45" ht="20.25">
      <c r="A7" s="46" t="s">
        <v>60</v>
      </c>
      <c r="C7" s="107"/>
      <c r="E7" s="107"/>
    </row>
    <row r="8" spans="1:45" ht="20.25">
      <c r="A8" s="46" t="s">
        <v>49</v>
      </c>
      <c r="C8" s="107"/>
      <c r="E8" s="107"/>
    </row>
    <row r="9" spans="1:45" ht="20.25">
      <c r="A9" s="82" t="s">
        <v>50</v>
      </c>
      <c r="C9" s="114"/>
      <c r="E9" s="114"/>
    </row>
    <row r="10" spans="1:45" ht="20.25">
      <c r="A10" s="46" t="s">
        <v>26</v>
      </c>
      <c r="C10" s="107"/>
      <c r="E10" s="107"/>
    </row>
    <row r="11" spans="1:45" ht="20.25">
      <c r="A11" s="46" t="s">
        <v>51</v>
      </c>
      <c r="C11" s="114"/>
      <c r="E11" s="114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07"/>
    </row>
    <row r="14" spans="1:45" ht="20.25">
      <c r="A14" s="46" t="s">
        <v>52</v>
      </c>
      <c r="C14" s="114"/>
      <c r="E14" s="107"/>
    </row>
    <row r="15" spans="1:45" ht="20.25">
      <c r="A15" s="46" t="s">
        <v>53</v>
      </c>
      <c r="C15" s="107"/>
      <c r="E15" s="107"/>
    </row>
    <row r="16" spans="1:45" ht="20.25">
      <c r="A16" s="46" t="s">
        <v>54</v>
      </c>
      <c r="C16" s="143"/>
      <c r="E16" s="107"/>
    </row>
    <row r="17" spans="1:130" ht="20.25">
      <c r="A17" s="46" t="s">
        <v>89</v>
      </c>
      <c r="C17" s="107"/>
      <c r="E17" s="107"/>
    </row>
    <row r="18" spans="1:130" ht="20.25">
      <c r="A18" s="46" t="s">
        <v>24</v>
      </c>
      <c r="C18" s="107"/>
      <c r="E18" s="107"/>
    </row>
    <row r="19" spans="1:130" ht="20.25">
      <c r="A19" s="46" t="s">
        <v>55</v>
      </c>
      <c r="C19" s="114"/>
      <c r="E19" s="107"/>
    </row>
    <row r="20" spans="1:130" ht="20.25">
      <c r="A20" s="46" t="s">
        <v>90</v>
      </c>
      <c r="C20" s="107"/>
      <c r="E20" s="107"/>
    </row>
    <row r="21" spans="1:130" ht="20.25">
      <c r="A21" s="46" t="s">
        <v>83</v>
      </c>
      <c r="C21" s="114"/>
      <c r="E21" s="107"/>
    </row>
    <row r="22" spans="1:130" ht="20.25">
      <c r="A22" s="46" t="s">
        <v>96</v>
      </c>
      <c r="C22" s="107"/>
      <c r="E22" s="107"/>
    </row>
    <row r="23" spans="1:130" ht="20.25">
      <c r="A23" s="46" t="s">
        <v>99</v>
      </c>
      <c r="C23" s="107"/>
      <c r="E23" s="107"/>
    </row>
    <row r="24" spans="1:130" ht="20.25">
      <c r="A24" s="46" t="s">
        <v>61</v>
      </c>
      <c r="C24" s="107"/>
      <c r="E24" s="107"/>
    </row>
    <row r="25" spans="1:130" ht="20.25">
      <c r="A25" s="46" t="s">
        <v>82</v>
      </c>
      <c r="C25" s="107"/>
      <c r="E25" s="107"/>
    </row>
    <row r="26" spans="1:130" ht="20.25">
      <c r="A26" s="46" t="s">
        <v>56</v>
      </c>
      <c r="C26" s="143"/>
      <c r="E26" s="114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E4" sqref="E4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19" t="s">
        <v>5</v>
      </c>
      <c r="B4" s="118" t="s">
        <v>7</v>
      </c>
      <c r="C4" s="138" t="s">
        <v>161</v>
      </c>
      <c r="D4" s="138" t="s">
        <v>159</v>
      </c>
      <c r="E4" s="138" t="s">
        <v>160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45" t="s">
        <v>95</v>
      </c>
      <c r="D5" s="156" t="s">
        <v>97</v>
      </c>
      <c r="E5" s="145" t="s">
        <v>162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8" t="s">
        <v>98</v>
      </c>
      <c r="C6" s="107"/>
      <c r="D6" s="107"/>
      <c r="E6" s="107"/>
      <c r="W6" s="7"/>
      <c r="X6" s="7"/>
    </row>
    <row r="7" spans="1:31" ht="18">
      <c r="A7" s="128" t="s">
        <v>60</v>
      </c>
      <c r="C7" s="107"/>
      <c r="D7" s="107"/>
      <c r="E7" s="107"/>
      <c r="W7" s="7"/>
      <c r="X7" s="7"/>
    </row>
    <row r="8" spans="1:31" ht="18">
      <c r="A8" s="128" t="s">
        <v>49</v>
      </c>
      <c r="C8" s="107"/>
      <c r="D8" s="107"/>
      <c r="E8" s="107"/>
      <c r="W8" s="7"/>
      <c r="X8" s="7"/>
    </row>
    <row r="9" spans="1:31" ht="18">
      <c r="A9" s="129" t="s">
        <v>50</v>
      </c>
      <c r="C9" s="114"/>
      <c r="D9" s="114"/>
      <c r="E9" s="114"/>
      <c r="W9" s="7"/>
      <c r="X9" s="7"/>
    </row>
    <row r="10" spans="1:31" ht="18">
      <c r="A10" s="128" t="s">
        <v>26</v>
      </c>
      <c r="C10" s="107"/>
      <c r="D10" s="107"/>
      <c r="E10" s="107"/>
      <c r="W10" s="7"/>
      <c r="X10" s="7"/>
    </row>
    <row r="11" spans="1:31" ht="18">
      <c r="A11" s="128" t="s">
        <v>51</v>
      </c>
      <c r="C11" s="114"/>
      <c r="D11" s="114"/>
      <c r="E11" s="114"/>
      <c r="W11" s="7"/>
      <c r="X11" s="7"/>
    </row>
    <row r="12" spans="1:31" ht="18">
      <c r="A12" s="128" t="s">
        <v>22</v>
      </c>
      <c r="C12" s="107"/>
      <c r="D12" s="107"/>
      <c r="E12" s="107"/>
      <c r="W12" s="7"/>
      <c r="X12" s="7"/>
    </row>
    <row r="13" spans="1:31" ht="18">
      <c r="A13" s="128" t="s">
        <v>23</v>
      </c>
      <c r="C13" s="107"/>
      <c r="D13" s="107"/>
      <c r="E13" s="107"/>
      <c r="W13" s="7"/>
      <c r="X13" s="7"/>
    </row>
    <row r="14" spans="1:31" ht="18">
      <c r="A14" s="128" t="s">
        <v>52</v>
      </c>
      <c r="C14" s="107"/>
      <c r="D14" s="107"/>
      <c r="E14" s="107"/>
      <c r="W14" s="7"/>
      <c r="X14" s="7"/>
    </row>
    <row r="15" spans="1:31" ht="18">
      <c r="A15" s="128" t="s">
        <v>53</v>
      </c>
      <c r="C15" s="107"/>
      <c r="D15" s="107"/>
      <c r="E15" s="107"/>
      <c r="W15" s="7"/>
      <c r="X15" s="7"/>
    </row>
    <row r="16" spans="1:31" ht="18">
      <c r="A16" s="128" t="s">
        <v>54</v>
      </c>
      <c r="C16" s="114"/>
      <c r="D16" s="114"/>
      <c r="E16" s="114"/>
      <c r="W16" s="7"/>
      <c r="X16" s="7"/>
    </row>
    <row r="17" spans="1:125" ht="18">
      <c r="A17" s="128" t="s">
        <v>89</v>
      </c>
      <c r="C17" s="107"/>
      <c r="D17" s="107"/>
      <c r="E17" s="107"/>
      <c r="W17" s="7"/>
      <c r="X17" s="7"/>
    </row>
    <row r="18" spans="1:125" ht="15" customHeight="1">
      <c r="A18" s="128" t="s">
        <v>24</v>
      </c>
      <c r="C18" s="107"/>
      <c r="D18" s="107"/>
      <c r="E18" s="107"/>
      <c r="V18" s="8"/>
      <c r="W18" s="7"/>
      <c r="X18" s="7"/>
    </row>
    <row r="19" spans="1:125" ht="18">
      <c r="A19" s="128" t="s">
        <v>55</v>
      </c>
      <c r="C19" s="107"/>
      <c r="D19" s="107"/>
      <c r="E19" s="107"/>
      <c r="W19" s="7"/>
      <c r="X19" s="7"/>
    </row>
    <row r="20" spans="1:125" ht="18">
      <c r="A20" s="128" t="s">
        <v>90</v>
      </c>
      <c r="C20" s="107"/>
      <c r="D20" s="107"/>
      <c r="E20" s="107"/>
      <c r="W20" s="7"/>
      <c r="X20" s="7"/>
    </row>
    <row r="21" spans="1:125" ht="18">
      <c r="A21" s="128" t="s">
        <v>83</v>
      </c>
      <c r="C21" s="107"/>
      <c r="D21" s="107"/>
      <c r="E21" s="107"/>
      <c r="W21" s="7"/>
      <c r="X21" s="7"/>
    </row>
    <row r="22" spans="1:125" ht="18">
      <c r="A22" s="128" t="s">
        <v>96</v>
      </c>
      <c r="C22" s="107"/>
      <c r="D22" s="107"/>
      <c r="E22" s="107"/>
      <c r="W22" s="7"/>
      <c r="X22" s="7"/>
    </row>
    <row r="23" spans="1:125" ht="18">
      <c r="A23" s="128" t="s">
        <v>99</v>
      </c>
      <c r="C23" s="107"/>
      <c r="D23" s="107"/>
      <c r="E23" s="107"/>
      <c r="W23" s="7"/>
      <c r="X23" s="7"/>
    </row>
    <row r="24" spans="1:125" ht="18">
      <c r="A24" s="128" t="s">
        <v>61</v>
      </c>
      <c r="C24" s="107"/>
      <c r="D24" s="107"/>
      <c r="E24" s="107"/>
      <c r="W24" s="7"/>
      <c r="X24" s="7"/>
    </row>
    <row r="25" spans="1:125" ht="18">
      <c r="A25" s="128" t="s">
        <v>82</v>
      </c>
      <c r="C25" s="107"/>
      <c r="D25" s="107"/>
      <c r="E25" s="107"/>
      <c r="W25" s="7"/>
      <c r="X25" s="7"/>
    </row>
    <row r="26" spans="1:125" ht="18">
      <c r="A26" s="128" t="s">
        <v>56</v>
      </c>
      <c r="C26" s="114"/>
      <c r="D26" s="114"/>
      <c r="E26" s="114"/>
      <c r="W26" s="7"/>
      <c r="X26" s="7"/>
    </row>
    <row r="27" spans="1:125" s="16" customFormat="1" ht="15.75">
      <c r="A27" s="15" t="s">
        <v>18</v>
      </c>
      <c r="B27" s="146">
        <f>COUNTIF(B6:B26,"sim")</f>
        <v>0</v>
      </c>
      <c r="C27" s="103">
        <f t="shared" ref="C27:E27" si="0">COUNTIF(C6:C26,"sim")</f>
        <v>0</v>
      </c>
      <c r="D27" s="103">
        <f t="shared" si="0"/>
        <v>0</v>
      </c>
      <c r="E27" s="103">
        <f t="shared" si="0"/>
        <v>0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47">
        <f>COUNTIF(B6:B26,"não")</f>
        <v>0</v>
      </c>
      <c r="C28" s="104">
        <f t="shared" ref="C28:E28" si="5">COUNTIF(C6:C26,"não")</f>
        <v>0</v>
      </c>
      <c r="D28" s="104">
        <f t="shared" si="5"/>
        <v>0</v>
      </c>
      <c r="E28" s="104">
        <f t="shared" si="5"/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 s="148">
        <f>COUNTIF(B6:B26,"ausente")</f>
        <v>0</v>
      </c>
      <c r="C29" s="40">
        <f t="shared" ref="C29:E29" si="10">COUNTIF(C6:C26,"ausente")</f>
        <v>0</v>
      </c>
      <c r="D29" s="40">
        <f t="shared" si="10"/>
        <v>0</v>
      </c>
      <c r="E29" s="40">
        <f t="shared" si="10"/>
        <v>0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149">
        <f>COUNTIF(B6:B26,"abstenção")</f>
        <v>0</v>
      </c>
      <c r="C30" s="105">
        <f t="shared" ref="C30:E30" si="15">COUNTIF(C6:C26,"abstenção")</f>
        <v>0</v>
      </c>
      <c r="D30" s="105">
        <f t="shared" si="15"/>
        <v>0</v>
      </c>
      <c r="E30" s="105">
        <f t="shared" si="15"/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W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ref="BX30:DC30" si="18">COUNTIF(BX10:BX29,"abstenção")</f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ref="DD30:DU30" si="19">COUNTIF(DD10:DD29,"abstenção")</f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100</v>
      </c>
      <c r="B2" s="2"/>
    </row>
    <row r="3" spans="1:5" ht="15.75" thickBot="1">
      <c r="A3" s="120" t="s">
        <v>101</v>
      </c>
      <c r="B3" s="2"/>
    </row>
    <row r="4" spans="1:5" ht="78.75" customHeight="1" thickBot="1">
      <c r="A4" s="119" t="s">
        <v>5</v>
      </c>
      <c r="B4" s="111" t="s">
        <v>21</v>
      </c>
      <c r="C4" s="138" t="s">
        <v>163</v>
      </c>
      <c r="D4" s="138" t="s">
        <v>164</v>
      </c>
      <c r="E4" s="138" t="s">
        <v>165</v>
      </c>
    </row>
    <row r="5" spans="1:5" s="6" customFormat="1" ht="60.75" customHeight="1">
      <c r="A5" s="121"/>
      <c r="B5" s="111"/>
      <c r="C5" s="113" t="s">
        <v>87</v>
      </c>
      <c r="D5" s="113" t="s">
        <v>87</v>
      </c>
      <c r="E5" s="113" t="s">
        <v>87</v>
      </c>
    </row>
    <row r="6" spans="1:5" ht="15.75">
      <c r="A6" s="126" t="s">
        <v>98</v>
      </c>
      <c r="C6" s="107" t="s">
        <v>88</v>
      </c>
      <c r="D6" s="107" t="s">
        <v>88</v>
      </c>
      <c r="E6" s="107" t="s">
        <v>88</v>
      </c>
    </row>
    <row r="7" spans="1:5" ht="15.75">
      <c r="A7" s="126" t="s">
        <v>60</v>
      </c>
      <c r="C7" s="114" t="s">
        <v>48</v>
      </c>
      <c r="D7" s="114" t="s">
        <v>48</v>
      </c>
      <c r="E7" s="114" t="s">
        <v>48</v>
      </c>
    </row>
    <row r="8" spans="1:5" ht="15.75">
      <c r="A8" s="126" t="s">
        <v>49</v>
      </c>
      <c r="C8" s="107" t="s">
        <v>88</v>
      </c>
      <c r="D8" s="107" t="s">
        <v>88</v>
      </c>
      <c r="E8" s="107" t="s">
        <v>88</v>
      </c>
    </row>
    <row r="9" spans="1:5" ht="15.75">
      <c r="A9" s="127" t="s">
        <v>50</v>
      </c>
      <c r="C9" s="107" t="s">
        <v>88</v>
      </c>
      <c r="D9" s="107" t="s">
        <v>88</v>
      </c>
      <c r="E9" s="107" t="s">
        <v>88</v>
      </c>
    </row>
    <row r="10" spans="1:5" ht="15.75">
      <c r="A10" s="126" t="s">
        <v>26</v>
      </c>
      <c r="C10" s="107" t="s">
        <v>88</v>
      </c>
      <c r="D10" s="107" t="s">
        <v>88</v>
      </c>
      <c r="E10" s="107" t="s">
        <v>88</v>
      </c>
    </row>
    <row r="11" spans="1:5" ht="15.75">
      <c r="A11" s="126" t="s">
        <v>51</v>
      </c>
      <c r="C11" s="107" t="s">
        <v>88</v>
      </c>
      <c r="D11" s="107" t="s">
        <v>88</v>
      </c>
      <c r="E11" s="107" t="s">
        <v>88</v>
      </c>
    </row>
    <row r="12" spans="1:5" ht="15.75">
      <c r="A12" s="126" t="s">
        <v>22</v>
      </c>
      <c r="C12" s="114" t="s">
        <v>48</v>
      </c>
      <c r="D12" s="114" t="s">
        <v>48</v>
      </c>
      <c r="E12" s="114" t="s">
        <v>48</v>
      </c>
    </row>
    <row r="13" spans="1:5" ht="15.75">
      <c r="A13" s="126" t="s">
        <v>23</v>
      </c>
      <c r="C13" s="114" t="s">
        <v>48</v>
      </c>
      <c r="D13" s="107" t="s">
        <v>88</v>
      </c>
      <c r="E13" s="107" t="s">
        <v>88</v>
      </c>
    </row>
    <row r="14" spans="1:5" ht="15.75">
      <c r="A14" s="126" t="s">
        <v>52</v>
      </c>
      <c r="C14" s="114" t="s">
        <v>48</v>
      </c>
      <c r="D14" s="107" t="s">
        <v>88</v>
      </c>
      <c r="E14" s="107" t="s">
        <v>88</v>
      </c>
    </row>
    <row r="15" spans="1:5" ht="15.75">
      <c r="A15" s="126" t="s">
        <v>53</v>
      </c>
      <c r="B15" s="137"/>
      <c r="C15" s="107" t="s">
        <v>88</v>
      </c>
      <c r="D15" s="107" t="s">
        <v>88</v>
      </c>
      <c r="E15" s="107" t="s">
        <v>88</v>
      </c>
    </row>
    <row r="16" spans="1:5" ht="15.75">
      <c r="A16" s="126" t="s">
        <v>54</v>
      </c>
      <c r="C16" s="107" t="s">
        <v>88</v>
      </c>
      <c r="D16" s="107" t="s">
        <v>88</v>
      </c>
      <c r="E16" s="107" t="s">
        <v>88</v>
      </c>
    </row>
    <row r="17" spans="1:5" ht="15.75">
      <c r="A17" s="126" t="s">
        <v>89</v>
      </c>
      <c r="C17" s="107" t="s">
        <v>88</v>
      </c>
      <c r="D17" s="107" t="s">
        <v>88</v>
      </c>
      <c r="E17" s="107" t="s">
        <v>88</v>
      </c>
    </row>
    <row r="18" spans="1:5" ht="15.75">
      <c r="A18" s="126" t="s">
        <v>24</v>
      </c>
      <c r="C18" s="107" t="s">
        <v>88</v>
      </c>
      <c r="D18" s="107" t="s">
        <v>88</v>
      </c>
      <c r="E18" s="107" t="s">
        <v>88</v>
      </c>
    </row>
    <row r="19" spans="1:5" ht="15.75">
      <c r="A19" s="126" t="s">
        <v>55</v>
      </c>
      <c r="C19" s="114" t="s">
        <v>48</v>
      </c>
      <c r="D19" s="114" t="s">
        <v>48</v>
      </c>
      <c r="E19" s="114" t="s">
        <v>48</v>
      </c>
    </row>
    <row r="20" spans="1:5" ht="15.75">
      <c r="A20" s="126" t="s">
        <v>90</v>
      </c>
      <c r="C20" s="107" t="s">
        <v>88</v>
      </c>
      <c r="D20" s="107" t="s">
        <v>88</v>
      </c>
      <c r="E20" s="107" t="s">
        <v>88</v>
      </c>
    </row>
    <row r="21" spans="1:5" ht="15.75">
      <c r="A21" s="126" t="s">
        <v>83</v>
      </c>
      <c r="C21" s="107" t="s">
        <v>88</v>
      </c>
      <c r="D21" s="107" t="s">
        <v>88</v>
      </c>
      <c r="E21" s="107" t="s">
        <v>88</v>
      </c>
    </row>
    <row r="22" spans="1:5" ht="15.75">
      <c r="A22" s="126" t="s">
        <v>96</v>
      </c>
      <c r="C22" s="107" t="s">
        <v>88</v>
      </c>
      <c r="D22" s="107" t="s">
        <v>88</v>
      </c>
      <c r="E22" s="107" t="s">
        <v>88</v>
      </c>
    </row>
    <row r="23" spans="1:5" ht="15.75">
      <c r="A23" s="126" t="s">
        <v>99</v>
      </c>
      <c r="C23" s="107" t="s">
        <v>88</v>
      </c>
      <c r="D23" s="107" t="s">
        <v>88</v>
      </c>
      <c r="E23" s="107" t="s">
        <v>88</v>
      </c>
    </row>
    <row r="24" spans="1:5" ht="15.75">
      <c r="A24" s="126" t="s">
        <v>61</v>
      </c>
      <c r="C24" s="114" t="s">
        <v>48</v>
      </c>
      <c r="D24" s="114" t="s">
        <v>48</v>
      </c>
      <c r="E24" s="114" t="s">
        <v>48</v>
      </c>
    </row>
    <row r="25" spans="1:5" ht="15.75">
      <c r="A25" s="126" t="s">
        <v>82</v>
      </c>
      <c r="C25" s="107" t="s">
        <v>88</v>
      </c>
      <c r="D25" s="107" t="s">
        <v>88</v>
      </c>
      <c r="E25" s="107" t="s">
        <v>88</v>
      </c>
    </row>
    <row r="26" spans="1:5" ht="15.75">
      <c r="A26" s="126" t="s">
        <v>56</v>
      </c>
      <c r="C26" s="107" t="s">
        <v>88</v>
      </c>
      <c r="D26" s="107" t="s">
        <v>88</v>
      </c>
      <c r="E26" s="107" t="s">
        <v>88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" si="0">COUNTIF(C6:C26,"sim")</f>
        <v>15</v>
      </c>
      <c r="D28" s="103">
        <f t="shared" ref="D28" si="1">COUNTIF(D6:D26,"sim")</f>
        <v>17</v>
      </c>
      <c r="E28" s="103">
        <f t="shared" ref="E28" si="2">COUNTIF(E6:E26,"sim")</f>
        <v>17</v>
      </c>
    </row>
    <row r="29" spans="1:5" ht="15.75">
      <c r="A29" s="17" t="s">
        <v>19</v>
      </c>
      <c r="B29" s="18">
        <f>COUNTIF(B6:B26,"não")</f>
        <v>0</v>
      </c>
      <c r="C29" s="104">
        <f t="shared" ref="C29" si="3">COUNTIF(C6:C26,"não")</f>
        <v>0</v>
      </c>
      <c r="D29" s="104">
        <f t="shared" ref="D29" si="4">COUNTIF(D6:D26,"não")</f>
        <v>0</v>
      </c>
      <c r="E29" s="104">
        <f t="shared" ref="E29" si="5"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" si="6">COUNTIF(C6:C26,"ausente")</f>
        <v>6</v>
      </c>
      <c r="D30" s="40">
        <f t="shared" ref="D30" si="7">COUNTIF(D6:D26,"ausente")</f>
        <v>4</v>
      </c>
      <c r="E30" s="40">
        <f t="shared" ref="E30" si="8">COUNTIF(E6:E26,"ausente")</f>
        <v>4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" si="9">COUNTIF(C6:C26,"abstenção")</f>
        <v>0</v>
      </c>
      <c r="D31" s="105">
        <f t="shared" ref="D31" si="10">COUNTIF(D6:D26,"abstenção")</f>
        <v>0</v>
      </c>
      <c r="E31" s="105">
        <f t="shared" ref="E31" si="11"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topLeftCell="A4" workbookViewId="0">
      <selection activeCell="A23" sqref="A2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100</v>
      </c>
      <c r="B2" s="2"/>
      <c r="C2" s="54"/>
      <c r="D2" s="54"/>
      <c r="E2" s="54"/>
    </row>
    <row r="3" spans="1:9" ht="15.75" thickBot="1">
      <c r="A3" s="120" t="s">
        <v>101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98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96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99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23" sqref="A2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100</v>
      </c>
      <c r="B2" s="2"/>
    </row>
    <row r="3" spans="1:23">
      <c r="A3" s="76" t="s">
        <v>101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98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96</v>
      </c>
    </row>
    <row r="23" spans="1:23" ht="18">
      <c r="A23" s="128" t="s">
        <v>99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2026-08-06T15:03:37Z</dcterms:modified>
</cp:coreProperties>
</file>