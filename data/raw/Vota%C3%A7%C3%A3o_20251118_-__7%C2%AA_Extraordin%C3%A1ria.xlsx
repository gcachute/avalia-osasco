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79B9D78-3F36-4026-90FC-295349DA6913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2" l="1"/>
  <c r="G28" i="2" s="1"/>
  <c r="G29" i="2" l="1"/>
  <c r="G30" i="2" s="1"/>
  <c r="J6" i="7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E27" i="2" l="1"/>
  <c r="E28" i="2" s="1"/>
  <c r="E29" i="2" s="1"/>
  <c r="F27" i="2"/>
  <c r="F28" i="2" s="1"/>
  <c r="F29" i="2" s="1"/>
  <c r="H27" i="2"/>
  <c r="H28" i="2" s="1"/>
  <c r="H29" i="2" s="1"/>
  <c r="H30" i="2" s="1"/>
  <c r="F30" i="2" l="1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<sst xmlns="http://schemas.openxmlformats.org/spreadsheetml/2006/main" count="166" uniqueCount="65">
  <si>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</si>
  <si>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</si>
  <si>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</si>
  <si>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</si>
  <si>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</si>
  <si>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</si>
  <si>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</si>
  <si>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</si>
  <si>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</si>
  <si>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</si>
  <si>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</si>
  <si>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</si>
  <si>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</si>
  <si>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</si>
  <si>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</si>
  <si>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</si>
  <si>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</si>
  <si>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</si>
  <si>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</si>
  <si>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</si>
  <si>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</si>
  <si>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</si>
  <si>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</si>
  <si>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</si>
  <si>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</si>
  <si>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</si>
  <si>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</si>
  <si>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</si>
  <si>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</si>
  <si>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</si>
  <si>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</si>
  <si>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</si>
  <si>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</si>
  <si>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</si>
  <si>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</si>
  <si>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</si>
  <si>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</si>
  <si>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</si>
  <si>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</si>
  <si>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</si>
  <si>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</si>
  <si>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</si>
  <si>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</si>
  <si>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</si>
  <si>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</si>
  <si>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</si>
  <si>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</si>
  <si>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</si>
  <si>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</si>
  <si>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</si>
  <si>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</si>
  <si>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</si>
  <si>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</si>
  <si>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</si>
  <si>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</si>
  <si>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</si>
  <si>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Ralfi Silva</t>
  </si>
  <si>
    <t>Batista Comunidade</t>
  </si>
  <si>
    <t>Rodolfo Cara</t>
  </si>
  <si>
    <t>Sergio Fontellas</t>
  </si>
  <si>
    <t xml:space="preserve"> 7ª SESSÃO  EXTRAORDINÁRIA</t>
  </si>
  <si>
    <t>DIA 18 DE NOVEMBRO DE 2025 - TERÇA–FEIRA</t>
  </si>
  <si>
    <r>
      <t xml:space="preserve">7ª </t>
    </r>
    <r>
      <rPr>
        <b/>
        <sz val="12"/>
        <color theme="1"/>
        <rFont val="Arial"/>
        <family val="2"/>
      </rPr>
      <t>SESSÃO EXTRAORDINÁRIA</t>
    </r>
  </si>
  <si>
    <t>DIA 18 DE OUTUBRO DE 2025 - TERÇA–FEIRA</t>
  </si>
  <si>
    <r>
      <t xml:space="preserve">PROJETO DE LEI COMPLEMENTAR 11/2025 - PREFEITO DO MUNICÍPIO DE OSASCO - </t>
    </r>
    <r>
      <rPr>
        <sz val="12"/>
        <color theme="1"/>
        <rFont val="Arial"/>
        <family val="2"/>
      </rPr>
      <t xml:space="preserve">Dispõe sobre a criação da Câmara de Conciliação e Transação Fiscal do Município de Osasco, bem como institui a transação tributária, e dá outras providências.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</si>
</sst>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5" fillId="0" borderId="0" xfId="0" applyFont="1"/>
    <xf numFmtId="0" fontId="0" fillId="0" borderId="7" xfId="0" applyBorder="1"/>
    <xf numFmtId="0" fontId="7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B26" sqref="B26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60</v>
      </c>
      <c r="C2" s="15"/>
      <c r="D2" s="79" t="s">
        <v>62</v>
      </c>
      <c r="E2" s="80"/>
      <c r="F2" s="80"/>
      <c r="G2" s="81"/>
      <c r="L2" s="82" t="s">
        <v>33</v>
      </c>
      <c r="M2" s="80"/>
      <c r="N2" s="80"/>
      <c r="O2" s="81"/>
      <c r="P2" s="24" t="s">
        <v>10</v>
      </c>
      <c r="U2" s="14" t="s">
        <v>16</v>
      </c>
    </row>
    <row r="3" spans="1:26" ht="35.25" customHeight="1">
      <c r="B3" s="15" t="s">
        <v>61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5" t="s">
        <v>7</v>
      </c>
      <c r="E4" s="7"/>
      <c r="F4" s="24" t="s">
        <v>22</v>
      </c>
      <c r="G4" s="45" t="s">
        <v>31</v>
      </c>
      <c r="H4" s="8"/>
      <c r="I4" s="39" t="s">
        <v>23</v>
      </c>
      <c r="K4" s="8"/>
      <c r="L4" s="45" t="s">
        <v>29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78">
        <v>1</v>
      </c>
      <c r="B6" s="64" t="s">
        <v>36</v>
      </c>
      <c r="C6" s="20">
        <v>1</v>
      </c>
      <c r="D6" s="52" t="s">
        <v>37</v>
      </c>
      <c r="E6" s="11"/>
      <c r="F6" s="37"/>
      <c r="G6" s="52"/>
      <c r="H6" s="11"/>
      <c r="I6" s="37"/>
      <c r="J6" s="24" t="str">
        <f t="shared" ref="J6:J26" si="1">IF(H6="","",VLOOKUP(H6,O$1:P$3,2))</f>
        <v/>
      </c>
      <c r="K6" s="11"/>
      <c r="L6" s="75" t="str">
        <f t="shared" ref="L6:L26" si="2">IF(K6="","",VLOOKUP(K6,O$1:P$3,2))</f>
        <v/>
      </c>
      <c r="M6" s="11"/>
      <c r="N6" s="42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78">
        <v>2</v>
      </c>
      <c r="B7" s="64" t="s">
        <v>57</v>
      </c>
      <c r="C7" s="20">
        <v>1</v>
      </c>
      <c r="D7" s="52" t="s">
        <v>37</v>
      </c>
      <c r="E7" s="11"/>
      <c r="F7" s="37"/>
      <c r="G7" s="55"/>
      <c r="H7" s="11"/>
      <c r="I7" s="37"/>
      <c r="J7" s="24" t="str">
        <f t="shared" si="1"/>
        <v/>
      </c>
      <c r="K7" s="12"/>
      <c r="L7" s="43" t="str">
        <f t="shared" si="2"/>
        <v/>
      </c>
      <c r="M7" s="12"/>
      <c r="N7" s="42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78">
        <v>3</v>
      </c>
      <c r="B8" s="64" t="s">
        <v>46</v>
      </c>
      <c r="C8" s="20">
        <v>1</v>
      </c>
      <c r="D8" s="52" t="s">
        <v>37</v>
      </c>
      <c r="E8" s="11"/>
      <c r="F8" s="37"/>
      <c r="G8" s="48"/>
      <c r="H8" s="11"/>
      <c r="I8" s="37"/>
      <c r="J8" s="24" t="str">
        <f t="shared" si="1"/>
        <v/>
      </c>
      <c r="K8" s="12"/>
      <c r="L8" s="43" t="str">
        <f t="shared" si="2"/>
        <v/>
      </c>
      <c r="M8" s="12"/>
      <c r="N8" s="42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78">
        <v>4</v>
      </c>
      <c r="B9" s="64" t="s">
        <v>47</v>
      </c>
      <c r="C9" s="20">
        <v>1</v>
      </c>
      <c r="D9" s="52" t="s">
        <v>37</v>
      </c>
      <c r="E9" s="11"/>
      <c r="F9" s="37"/>
      <c r="G9" s="48"/>
      <c r="H9" s="11"/>
      <c r="I9" s="37"/>
      <c r="J9" s="24"/>
      <c r="K9" s="12"/>
      <c r="L9" s="43"/>
      <c r="M9" s="12"/>
      <c r="N9" s="42"/>
      <c r="O9" s="10"/>
      <c r="P9" s="17"/>
      <c r="S9" s="7"/>
    </row>
    <row r="10" spans="1:26" ht="18" customHeight="1">
      <c r="A10" s="78">
        <v>5</v>
      </c>
      <c r="B10" s="64" t="s">
        <v>48</v>
      </c>
      <c r="C10" s="20">
        <v>1</v>
      </c>
      <c r="D10" s="52" t="s">
        <v>37</v>
      </c>
      <c r="E10" s="11"/>
      <c r="F10" s="37"/>
      <c r="G10" s="48"/>
      <c r="H10" s="11"/>
      <c r="I10" s="37"/>
      <c r="J10" s="24"/>
      <c r="K10" s="12"/>
      <c r="L10" s="43"/>
      <c r="M10" s="12"/>
      <c r="N10" s="42"/>
      <c r="O10" s="10"/>
      <c r="P10" s="17"/>
      <c r="S10" s="7"/>
    </row>
    <row r="11" spans="1:26" ht="18" customHeight="1">
      <c r="A11" s="78">
        <v>6</v>
      </c>
      <c r="B11" s="64" t="s">
        <v>49</v>
      </c>
      <c r="C11" s="20">
        <v>2</v>
      </c>
      <c r="D11" s="55" t="s">
        <v>38</v>
      </c>
      <c r="E11" s="11"/>
      <c r="F11" s="37"/>
      <c r="G11" s="48"/>
      <c r="H11" s="11"/>
      <c r="I11" s="37"/>
      <c r="J11" s="24" t="str">
        <f t="shared" si="1"/>
        <v/>
      </c>
      <c r="K11" s="12"/>
      <c r="L11" s="43" t="str">
        <f t="shared" si="2"/>
        <v/>
      </c>
      <c r="M11" s="12"/>
      <c r="N11" s="42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78">
        <v>7</v>
      </c>
      <c r="B12" s="64" t="s">
        <v>24</v>
      </c>
      <c r="C12" s="20">
        <v>1</v>
      </c>
      <c r="D12" s="52" t="s">
        <v>37</v>
      </c>
      <c r="E12" s="11"/>
      <c r="F12" s="37"/>
      <c r="G12" s="48"/>
      <c r="H12" s="11"/>
      <c r="I12" s="37"/>
      <c r="J12" s="24" t="str">
        <f t="shared" si="1"/>
        <v/>
      </c>
      <c r="K12" s="12"/>
      <c r="L12" s="43" t="str">
        <f t="shared" si="2"/>
        <v/>
      </c>
      <c r="M12" s="12"/>
      <c r="N12" s="42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78">
        <v>8</v>
      </c>
      <c r="B13" s="64" t="s">
        <v>25</v>
      </c>
      <c r="C13" s="20">
        <v>2</v>
      </c>
      <c r="D13" s="55" t="s">
        <v>38</v>
      </c>
      <c r="E13" s="11"/>
      <c r="F13" s="37"/>
      <c r="G13" s="48"/>
      <c r="H13" s="11"/>
      <c r="I13" s="37"/>
      <c r="J13" s="24" t="str">
        <f t="shared" si="1"/>
        <v/>
      </c>
      <c r="K13" s="12"/>
      <c r="L13" s="43" t="str">
        <f t="shared" si="2"/>
        <v/>
      </c>
      <c r="M13" s="12"/>
      <c r="N13" s="42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78">
        <v>9</v>
      </c>
      <c r="B14" s="64" t="s">
        <v>26</v>
      </c>
      <c r="C14" s="20">
        <v>1</v>
      </c>
      <c r="D14" s="52" t="s">
        <v>37</v>
      </c>
      <c r="E14" s="11"/>
      <c r="F14" s="37"/>
      <c r="G14" s="48"/>
      <c r="H14" s="11"/>
      <c r="I14" s="37"/>
      <c r="J14" s="24" t="str">
        <f t="shared" si="1"/>
        <v/>
      </c>
      <c r="K14" s="12"/>
      <c r="L14" s="43" t="str">
        <f t="shared" si="2"/>
        <v/>
      </c>
      <c r="M14" s="12"/>
      <c r="N14" s="42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78">
        <v>10</v>
      </c>
      <c r="B15" s="64" t="s">
        <v>50</v>
      </c>
      <c r="C15" s="20">
        <v>1</v>
      </c>
      <c r="D15" s="52" t="s">
        <v>37</v>
      </c>
      <c r="E15" s="11"/>
      <c r="F15" s="37"/>
      <c r="G15" s="55"/>
      <c r="H15" s="11"/>
      <c r="I15" s="37"/>
      <c r="J15" s="24" t="str">
        <f t="shared" si="1"/>
        <v/>
      </c>
      <c r="K15" s="12"/>
      <c r="L15" s="43" t="str">
        <f t="shared" si="2"/>
        <v/>
      </c>
      <c r="M15" s="12"/>
      <c r="N15" s="42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78">
        <v>11</v>
      </c>
      <c r="B16" s="64" t="s">
        <v>51</v>
      </c>
      <c r="C16" s="20">
        <v>2</v>
      </c>
      <c r="D16" s="55" t="s">
        <v>38</v>
      </c>
      <c r="E16" s="11"/>
      <c r="F16" s="37"/>
      <c r="G16" s="48"/>
      <c r="H16" s="11"/>
      <c r="I16" s="37"/>
      <c r="J16" s="24" t="str">
        <f t="shared" si="1"/>
        <v/>
      </c>
      <c r="K16" s="12"/>
      <c r="L16" s="43" t="str">
        <f t="shared" si="2"/>
        <v/>
      </c>
      <c r="M16" s="12"/>
      <c r="N16" s="42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78">
        <v>12</v>
      </c>
      <c r="B17" s="64" t="s">
        <v>52</v>
      </c>
      <c r="C17" s="20">
        <v>1</v>
      </c>
      <c r="D17" s="52" t="s">
        <v>37</v>
      </c>
      <c r="E17" s="11"/>
      <c r="F17" s="37"/>
      <c r="G17" s="48"/>
      <c r="H17" s="11"/>
      <c r="I17" s="37"/>
      <c r="J17" s="24" t="str">
        <f t="shared" si="1"/>
        <v/>
      </c>
      <c r="K17" s="12"/>
      <c r="L17" s="43" t="str">
        <f t="shared" si="2"/>
        <v/>
      </c>
      <c r="M17" s="12"/>
      <c r="N17" s="42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78">
        <v>13</v>
      </c>
      <c r="B18" s="64" t="s">
        <v>27</v>
      </c>
      <c r="C18" s="20">
        <v>1</v>
      </c>
      <c r="D18" s="52" t="s">
        <v>37</v>
      </c>
      <c r="E18" s="11"/>
      <c r="F18" s="37"/>
      <c r="G18" s="48"/>
      <c r="H18" s="11"/>
      <c r="I18" s="37"/>
      <c r="J18" s="24" t="str">
        <f t="shared" si="1"/>
        <v/>
      </c>
      <c r="K18" s="12"/>
      <c r="L18" s="43" t="str">
        <f t="shared" si="2"/>
        <v/>
      </c>
      <c r="M18" s="12"/>
      <c r="N18" s="42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78">
        <v>14</v>
      </c>
      <c r="B19" s="64" t="s">
        <v>53</v>
      </c>
      <c r="C19" s="20">
        <v>1</v>
      </c>
      <c r="D19" s="52" t="s">
        <v>37</v>
      </c>
      <c r="E19" s="11"/>
      <c r="F19" s="37"/>
      <c r="G19" s="48"/>
      <c r="H19" s="11"/>
      <c r="I19" s="37"/>
      <c r="J19" s="24" t="str">
        <f t="shared" si="1"/>
        <v/>
      </c>
      <c r="K19" s="12"/>
      <c r="L19" s="43" t="str">
        <f t="shared" si="2"/>
        <v/>
      </c>
      <c r="M19" s="12"/>
      <c r="N19" s="42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78">
        <v>15</v>
      </c>
      <c r="B20" s="64" t="s">
        <v>58</v>
      </c>
      <c r="C20" s="20">
        <v>1</v>
      </c>
      <c r="D20" s="52" t="s">
        <v>37</v>
      </c>
      <c r="E20" s="11"/>
      <c r="F20" s="37"/>
      <c r="G20" s="48"/>
      <c r="H20" s="11"/>
      <c r="I20" s="37"/>
      <c r="J20" s="24" t="str">
        <f t="shared" si="1"/>
        <v/>
      </c>
      <c r="K20" s="12"/>
      <c r="L20" s="43" t="str">
        <f t="shared" si="2"/>
        <v/>
      </c>
      <c r="M20" s="12"/>
      <c r="N20" s="42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78">
        <v>16</v>
      </c>
      <c r="B21" s="64" t="s">
        <v>28</v>
      </c>
      <c r="C21" s="20">
        <v>1</v>
      </c>
      <c r="D21" s="52" t="s">
        <v>37</v>
      </c>
      <c r="E21" s="11"/>
      <c r="F21" s="37"/>
      <c r="G21" s="48"/>
      <c r="H21" s="11"/>
      <c r="I21" s="37"/>
      <c r="J21" s="24" t="str">
        <f t="shared" si="1"/>
        <v/>
      </c>
      <c r="K21" s="12"/>
      <c r="L21" s="43" t="str">
        <f t="shared" si="2"/>
        <v/>
      </c>
      <c r="M21" s="12"/>
      <c r="N21" s="42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78">
        <v>17</v>
      </c>
      <c r="B22" s="64" t="s">
        <v>54</v>
      </c>
      <c r="C22" s="23">
        <v>1</v>
      </c>
      <c r="D22" s="52" t="s">
        <v>37</v>
      </c>
      <c r="E22" s="11"/>
      <c r="F22" s="37"/>
      <c r="G22" s="48"/>
      <c r="H22" s="11"/>
      <c r="I22" s="37"/>
      <c r="J22" s="24" t="str">
        <f t="shared" si="1"/>
        <v/>
      </c>
      <c r="K22" s="12"/>
      <c r="L22" s="43" t="str">
        <f t="shared" si="2"/>
        <v/>
      </c>
      <c r="M22" s="12"/>
      <c r="N22" s="42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78">
        <v>18</v>
      </c>
      <c r="B23" s="64" t="s">
        <v>56</v>
      </c>
      <c r="C23" s="20">
        <v>1</v>
      </c>
      <c r="D23" s="52" t="s">
        <v>37</v>
      </c>
      <c r="E23" s="11"/>
      <c r="F23" s="37"/>
      <c r="G23" s="48"/>
      <c r="H23" s="11"/>
      <c r="I23" s="37"/>
      <c r="J23" s="24" t="str">
        <f t="shared" si="1"/>
        <v/>
      </c>
      <c r="K23" s="12"/>
      <c r="L23" s="43" t="str">
        <f t="shared" si="2"/>
        <v/>
      </c>
      <c r="M23" s="12"/>
      <c r="N23" s="42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78">
        <v>19</v>
      </c>
      <c r="B24" s="64" t="s">
        <v>41</v>
      </c>
      <c r="C24" s="20">
        <v>1</v>
      </c>
      <c r="D24" s="52" t="s">
        <v>37</v>
      </c>
      <c r="E24" s="11"/>
      <c r="F24" s="37"/>
      <c r="G24" s="48"/>
      <c r="H24" s="11"/>
      <c r="I24" s="37"/>
      <c r="J24" s="24" t="str">
        <f t="shared" si="1"/>
        <v/>
      </c>
      <c r="K24" s="12"/>
      <c r="L24" s="43" t="str">
        <f t="shared" si="2"/>
        <v/>
      </c>
      <c r="M24" s="12"/>
      <c r="N24" s="42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78">
        <v>20</v>
      </c>
      <c r="B25" s="64" t="s">
        <v>59</v>
      </c>
      <c r="C25" s="20">
        <v>1</v>
      </c>
      <c r="D25" s="52" t="s">
        <v>37</v>
      </c>
      <c r="E25" s="11"/>
      <c r="F25" s="37"/>
      <c r="G25" s="48"/>
      <c r="H25" s="11"/>
      <c r="I25" s="37"/>
      <c r="J25" s="25" t="str">
        <f t="shared" si="1"/>
        <v/>
      </c>
      <c r="K25" s="12"/>
      <c r="L25" s="43" t="str">
        <f t="shared" si="2"/>
        <v/>
      </c>
      <c r="M25" s="12"/>
      <c r="N25" s="42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78">
        <v>21</v>
      </c>
      <c r="B26" s="64" t="s">
        <v>55</v>
      </c>
      <c r="C26" s="20">
        <v>1</v>
      </c>
      <c r="D26" s="83" t="s">
        <v>37</v>
      </c>
      <c r="E26" s="11"/>
      <c r="F26" s="37"/>
      <c r="G26" s="73"/>
      <c r="H26" s="22"/>
      <c r="I26" s="38"/>
      <c r="J26" s="24" t="str">
        <f t="shared" si="1"/>
        <v/>
      </c>
      <c r="K26" s="12"/>
      <c r="L26" s="43" t="str">
        <f t="shared" si="2"/>
        <v/>
      </c>
      <c r="M26" s="72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18</v>
      </c>
      <c r="D27" s="54" t="s">
        <v>34</v>
      </c>
      <c r="G27" s="44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70"/>
      <c r="C32" s="14"/>
      <c r="D32" s="14"/>
      <c r="O32" s="13"/>
      <c r="S32" s="24"/>
      <c r="T32" s="24"/>
    </row>
    <row r="33" spans="2:20" ht="15.75">
      <c r="B33" s="70"/>
      <c r="C33"/>
      <c r="O33" s="13"/>
      <c r="S33" s="24"/>
      <c r="T33" s="24"/>
    </row>
    <row r="34" spans="2:20" ht="15.75">
      <c r="B34" s="70"/>
      <c r="S34" s="24"/>
      <c r="T34" s="24"/>
    </row>
    <row r="35" spans="2:20" ht="15.75">
      <c r="B35" s="70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30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K5" sqref="K5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60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76" t="s">
        <v>63</v>
      </c>
      <c r="C3" s="3"/>
      <c r="D3" s="3"/>
      <c r="E3" s="41"/>
      <c r="F3" s="41"/>
      <c r="G3" s="41"/>
      <c r="H3" s="41"/>
      <c r="I3" s="3"/>
      <c r="J3" s="3"/>
      <c r="K3" s="2"/>
    </row>
    <row r="4" spans="1:105" ht="108" customHeight="1">
      <c r="B4" s="62"/>
      <c r="C4" s="18" t="s">
        <v>5</v>
      </c>
      <c r="D4" s="32" t="s">
        <v>32</v>
      </c>
      <c r="E4" s="56" t="s">
        <v>42</v>
      </c>
      <c r="F4" s="56" t="s">
        <v>44</v>
      </c>
      <c r="G4" s="56" t="s">
        <v>64</v>
      </c>
      <c r="H4" s="50"/>
      <c r="I4" s="50"/>
      <c r="J4" s="50"/>
      <c r="K4" s="50"/>
      <c r="L4" s="50"/>
      <c r="M4" s="50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B5" s="62"/>
      <c r="C5" s="40" t="s">
        <v>45</v>
      </c>
      <c r="E5" s="57" t="s">
        <v>35</v>
      </c>
      <c r="F5" s="57" t="s">
        <v>35</v>
      </c>
      <c r="G5" s="74" t="s">
        <v>35</v>
      </c>
      <c r="H5" s="49"/>
      <c r="I5" s="49"/>
      <c r="J5" s="49"/>
      <c r="K5" s="49"/>
      <c r="L5" s="49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77">
        <v>1</v>
      </c>
      <c r="B6" s="64" t="s">
        <v>36</v>
      </c>
      <c r="E6" s="58" t="s">
        <v>39</v>
      </c>
      <c r="F6" s="58" t="s">
        <v>39</v>
      </c>
      <c r="G6" s="58" t="s">
        <v>39</v>
      </c>
      <c r="H6" s="46"/>
      <c r="I6" s="46"/>
      <c r="J6" s="46"/>
      <c r="K6" s="46"/>
      <c r="L6" s="46"/>
      <c r="M6" s="14"/>
      <c r="N6" s="14"/>
      <c r="O6" s="14"/>
      <c r="P6" s="14"/>
      <c r="Q6" s="14"/>
    </row>
    <row r="7" spans="1:105" ht="20.25">
      <c r="A7" s="77">
        <v>2</v>
      </c>
      <c r="B7" s="64" t="s">
        <v>57</v>
      </c>
      <c r="E7" s="58" t="s">
        <v>39</v>
      </c>
      <c r="F7" s="58" t="s">
        <v>39</v>
      </c>
      <c r="G7" s="58" t="s">
        <v>39</v>
      </c>
      <c r="H7" s="46"/>
      <c r="I7" s="46"/>
      <c r="J7" s="46"/>
      <c r="K7" s="46"/>
      <c r="L7" s="46"/>
      <c r="M7" s="14"/>
      <c r="N7" s="14"/>
      <c r="O7" s="14"/>
      <c r="P7" s="14"/>
      <c r="Q7" s="14"/>
    </row>
    <row r="8" spans="1:105" ht="20.25">
      <c r="A8" s="77">
        <v>3</v>
      </c>
      <c r="B8" s="64" t="s">
        <v>46</v>
      </c>
      <c r="E8" s="59" t="s">
        <v>40</v>
      </c>
      <c r="F8" s="58" t="s">
        <v>39</v>
      </c>
      <c r="G8" s="58" t="s">
        <v>39</v>
      </c>
      <c r="H8" s="47"/>
      <c r="I8" s="47"/>
      <c r="J8" s="47"/>
      <c r="K8" s="47"/>
      <c r="L8" s="47"/>
      <c r="M8" s="14"/>
      <c r="N8" s="14"/>
      <c r="O8" s="14"/>
      <c r="P8" s="14"/>
      <c r="Q8" s="14"/>
    </row>
    <row r="9" spans="1:105" ht="20.25">
      <c r="A9" s="77">
        <v>4</v>
      </c>
      <c r="B9" s="64" t="s">
        <v>47</v>
      </c>
      <c r="E9" s="58" t="s">
        <v>39</v>
      </c>
      <c r="F9" s="58" t="s">
        <v>39</v>
      </c>
      <c r="G9" s="69" t="s">
        <v>40</v>
      </c>
      <c r="H9" s="46"/>
      <c r="I9" s="46"/>
      <c r="J9" s="46"/>
      <c r="K9" s="46"/>
      <c r="L9" s="46"/>
      <c r="M9" s="14"/>
      <c r="N9" s="14"/>
      <c r="O9" s="14"/>
      <c r="P9" s="14"/>
      <c r="Q9" s="14"/>
    </row>
    <row r="10" spans="1:105" ht="20.25">
      <c r="A10" s="77">
        <v>5</v>
      </c>
      <c r="B10" s="64" t="s">
        <v>48</v>
      </c>
      <c r="E10" s="58" t="s">
        <v>39</v>
      </c>
      <c r="F10" s="58" t="s">
        <v>39</v>
      </c>
      <c r="G10" s="58" t="s">
        <v>39</v>
      </c>
      <c r="H10" s="46"/>
      <c r="I10" s="46"/>
      <c r="J10" s="46"/>
      <c r="K10" s="46"/>
      <c r="L10" s="46"/>
      <c r="M10" s="14"/>
      <c r="N10" s="14"/>
      <c r="O10" s="14"/>
      <c r="P10" s="14"/>
      <c r="Q10" s="14"/>
    </row>
    <row r="11" spans="1:105" ht="20.25">
      <c r="A11" s="77">
        <v>6</v>
      </c>
      <c r="B11" s="64" t="s">
        <v>49</v>
      </c>
      <c r="E11" s="58" t="s">
        <v>39</v>
      </c>
      <c r="F11" s="58" t="s">
        <v>39</v>
      </c>
      <c r="G11" s="69" t="s">
        <v>38</v>
      </c>
      <c r="H11" s="46"/>
      <c r="I11" s="46"/>
      <c r="J11" s="46"/>
      <c r="K11" s="46"/>
      <c r="L11" s="46"/>
      <c r="M11" s="14"/>
      <c r="N11" s="14"/>
      <c r="O11" s="14"/>
      <c r="P11" s="14"/>
      <c r="Q11" s="14"/>
    </row>
    <row r="12" spans="1:105" ht="20.25">
      <c r="A12" s="77">
        <v>7</v>
      </c>
      <c r="B12" s="64" t="s">
        <v>24</v>
      </c>
      <c r="E12" s="69" t="s">
        <v>38</v>
      </c>
      <c r="F12" s="69" t="s">
        <v>38</v>
      </c>
      <c r="G12" s="58" t="s">
        <v>39</v>
      </c>
      <c r="H12" s="51"/>
      <c r="I12" s="51"/>
      <c r="J12" s="51"/>
      <c r="K12" s="51"/>
      <c r="L12" s="51"/>
      <c r="M12" s="14"/>
      <c r="N12" s="14"/>
      <c r="O12" s="14"/>
      <c r="P12" s="14"/>
      <c r="Q12" s="14"/>
    </row>
    <row r="13" spans="1:105" ht="20.25">
      <c r="A13" s="77">
        <v>8</v>
      </c>
      <c r="B13" s="64" t="s">
        <v>25</v>
      </c>
      <c r="E13" s="58" t="s">
        <v>39</v>
      </c>
      <c r="F13" s="58" t="s">
        <v>39</v>
      </c>
      <c r="G13" s="69" t="s">
        <v>38</v>
      </c>
      <c r="H13" s="46"/>
      <c r="I13" s="46"/>
      <c r="J13" s="46"/>
      <c r="K13" s="46"/>
      <c r="L13" s="46"/>
      <c r="M13" s="14"/>
      <c r="N13" s="14"/>
      <c r="O13" s="14"/>
      <c r="P13" s="14"/>
      <c r="Q13" s="14"/>
    </row>
    <row r="14" spans="1:105" ht="20.25">
      <c r="A14" s="77">
        <v>9</v>
      </c>
      <c r="B14" s="64" t="s">
        <v>26</v>
      </c>
      <c r="E14" s="58"/>
      <c r="F14" s="58"/>
      <c r="G14" s="58" t="s">
        <v>39</v>
      </c>
      <c r="H14" s="46"/>
      <c r="I14" s="46"/>
      <c r="J14" s="46"/>
      <c r="K14" s="46"/>
      <c r="L14" s="46"/>
      <c r="M14" s="14"/>
      <c r="N14" s="14"/>
      <c r="O14" s="14"/>
      <c r="P14" s="14"/>
      <c r="Q14" s="14"/>
    </row>
    <row r="15" spans="1:105" ht="20.25">
      <c r="A15" s="77">
        <v>10</v>
      </c>
      <c r="B15" s="64" t="s">
        <v>50</v>
      </c>
      <c r="E15" s="58"/>
      <c r="F15" s="58"/>
      <c r="G15" s="58" t="s">
        <v>39</v>
      </c>
      <c r="H15" s="46"/>
      <c r="I15" s="46"/>
      <c r="J15" s="46"/>
      <c r="K15" s="46"/>
      <c r="L15" s="46"/>
      <c r="M15" s="14"/>
      <c r="N15" s="14"/>
      <c r="O15" s="14"/>
      <c r="P15" s="14"/>
      <c r="Q15" s="14"/>
    </row>
    <row r="16" spans="1:105" ht="20.25">
      <c r="A16" s="77">
        <v>11</v>
      </c>
      <c r="B16" s="64" t="s">
        <v>51</v>
      </c>
      <c r="E16" s="58" t="s">
        <v>39</v>
      </c>
      <c r="F16" s="58" t="s">
        <v>39</v>
      </c>
      <c r="G16" s="69" t="s">
        <v>38</v>
      </c>
      <c r="H16" s="46"/>
      <c r="I16" s="46"/>
      <c r="J16" s="46"/>
      <c r="K16" s="46"/>
      <c r="L16" s="46"/>
      <c r="M16" s="14"/>
      <c r="N16" s="14"/>
      <c r="O16" s="14"/>
      <c r="P16" s="14"/>
      <c r="Q16" s="14"/>
    </row>
    <row r="17" spans="1:132" ht="20.25">
      <c r="A17" s="77">
        <v>12</v>
      </c>
      <c r="B17" s="64" t="s">
        <v>52</v>
      </c>
      <c r="E17" s="58" t="s">
        <v>39</v>
      </c>
      <c r="F17" s="58" t="s">
        <v>39</v>
      </c>
      <c r="G17" s="71" t="s">
        <v>43</v>
      </c>
      <c r="H17" s="51"/>
      <c r="I17" s="51"/>
      <c r="J17" s="51"/>
      <c r="K17" s="51"/>
      <c r="L17" s="51"/>
      <c r="M17" s="14"/>
      <c r="N17" s="14"/>
      <c r="O17" s="14"/>
      <c r="P17" s="14"/>
      <c r="Q17" s="14"/>
    </row>
    <row r="18" spans="1:132" ht="20.25">
      <c r="A18" s="77">
        <v>13</v>
      </c>
      <c r="B18" s="64" t="s">
        <v>27</v>
      </c>
      <c r="E18" s="58" t="s">
        <v>39</v>
      </c>
      <c r="F18" s="58" t="s">
        <v>39</v>
      </c>
      <c r="G18" s="58" t="s">
        <v>39</v>
      </c>
      <c r="H18" s="46"/>
      <c r="I18" s="46"/>
      <c r="J18" s="46"/>
      <c r="K18" s="46"/>
      <c r="L18" s="46"/>
      <c r="M18" s="14"/>
      <c r="N18" s="14"/>
      <c r="O18" s="14"/>
      <c r="P18" s="14"/>
      <c r="Q18" s="14"/>
    </row>
    <row r="19" spans="1:132" ht="20.25">
      <c r="A19" s="77">
        <v>14</v>
      </c>
      <c r="B19" s="64" t="s">
        <v>53</v>
      </c>
      <c r="E19" s="58" t="s">
        <v>39</v>
      </c>
      <c r="F19" s="58" t="s">
        <v>39</v>
      </c>
      <c r="G19" s="58" t="s">
        <v>39</v>
      </c>
      <c r="H19" s="46"/>
      <c r="I19" s="46"/>
      <c r="J19" s="46"/>
      <c r="K19" s="46"/>
      <c r="L19" s="46"/>
      <c r="M19" s="14"/>
      <c r="N19" s="14"/>
      <c r="O19" s="14"/>
      <c r="P19" s="14"/>
      <c r="Q19" s="14"/>
    </row>
    <row r="20" spans="1:132" ht="20.25">
      <c r="A20" s="77">
        <v>15</v>
      </c>
      <c r="B20" s="64" t="s">
        <v>58</v>
      </c>
      <c r="E20" s="58" t="s">
        <v>39</v>
      </c>
      <c r="F20" s="58" t="s">
        <v>39</v>
      </c>
      <c r="G20" s="58" t="s">
        <v>39</v>
      </c>
      <c r="H20" s="46"/>
      <c r="I20" s="46"/>
      <c r="J20" s="46"/>
      <c r="K20" s="46"/>
      <c r="L20" s="46"/>
      <c r="M20" s="14"/>
      <c r="N20" s="14"/>
      <c r="O20" s="14"/>
      <c r="P20" s="14"/>
      <c r="Q20" s="14"/>
    </row>
    <row r="21" spans="1:132" ht="20.25">
      <c r="A21" s="77">
        <v>16</v>
      </c>
      <c r="B21" s="64" t="s">
        <v>28</v>
      </c>
      <c r="E21" s="58" t="s">
        <v>39</v>
      </c>
      <c r="F21" s="71" t="s">
        <v>43</v>
      </c>
      <c r="G21" s="58" t="s">
        <v>39</v>
      </c>
      <c r="H21" s="51"/>
      <c r="I21" s="51"/>
      <c r="J21" s="51"/>
      <c r="K21" s="51"/>
      <c r="L21" s="51"/>
      <c r="M21" s="14"/>
      <c r="N21" s="14"/>
      <c r="O21" s="14"/>
      <c r="P21" s="14"/>
      <c r="Q21" s="14"/>
    </row>
    <row r="22" spans="1:132" ht="20.25">
      <c r="A22" s="77">
        <v>17</v>
      </c>
      <c r="B22" s="64" t="s">
        <v>54</v>
      </c>
      <c r="E22" s="58" t="s">
        <v>39</v>
      </c>
      <c r="F22" s="58" t="s">
        <v>39</v>
      </c>
      <c r="G22" s="58" t="s">
        <v>39</v>
      </c>
      <c r="H22" s="46"/>
      <c r="I22" s="46"/>
      <c r="J22" s="46"/>
      <c r="K22" s="46"/>
      <c r="L22" s="46"/>
      <c r="M22" s="14"/>
      <c r="N22" s="14"/>
      <c r="O22" s="14"/>
      <c r="P22" s="14"/>
      <c r="Q22" s="14"/>
    </row>
    <row r="23" spans="1:132" ht="20.25">
      <c r="A23" s="77">
        <v>18</v>
      </c>
      <c r="B23" s="64" t="s">
        <v>56</v>
      </c>
      <c r="E23" s="58" t="s">
        <v>39</v>
      </c>
      <c r="F23" s="58" t="s">
        <v>39</v>
      </c>
      <c r="G23" s="58" t="s">
        <v>39</v>
      </c>
      <c r="H23" s="46"/>
      <c r="I23" s="46"/>
      <c r="J23" s="46"/>
      <c r="K23" s="46"/>
      <c r="L23" s="46"/>
      <c r="M23" s="14"/>
      <c r="N23" s="14"/>
      <c r="O23" s="14"/>
      <c r="P23" s="14"/>
      <c r="Q23" s="14"/>
    </row>
    <row r="24" spans="1:132" ht="20.25">
      <c r="A24" s="77">
        <v>19</v>
      </c>
      <c r="B24" s="64" t="s">
        <v>41</v>
      </c>
      <c r="E24" s="58" t="s">
        <v>39</v>
      </c>
      <c r="F24" s="58" t="s">
        <v>39</v>
      </c>
      <c r="G24" s="58" t="s">
        <v>39</v>
      </c>
      <c r="H24" s="51"/>
      <c r="I24" s="51"/>
      <c r="J24" s="51"/>
      <c r="K24" s="51"/>
      <c r="L24" s="51"/>
      <c r="M24" s="14"/>
      <c r="N24" s="14"/>
      <c r="O24" s="14"/>
      <c r="P24" s="14"/>
      <c r="Q24" s="14"/>
    </row>
    <row r="25" spans="1:132" ht="20.25">
      <c r="A25" s="77">
        <v>20</v>
      </c>
      <c r="B25" s="64" t="s">
        <v>59</v>
      </c>
      <c r="E25" s="58" t="s">
        <v>39</v>
      </c>
      <c r="F25" s="58" t="s">
        <v>39</v>
      </c>
      <c r="G25" s="58" t="s">
        <v>39</v>
      </c>
      <c r="H25" s="46"/>
      <c r="I25" s="46"/>
      <c r="J25" s="46"/>
      <c r="K25" s="46"/>
      <c r="L25" s="46"/>
      <c r="M25" s="14"/>
      <c r="N25" s="14"/>
      <c r="O25" s="14"/>
      <c r="P25" s="14"/>
      <c r="Q25" s="14"/>
    </row>
    <row r="26" spans="1:132" ht="20.25">
      <c r="A26" s="77">
        <v>21</v>
      </c>
      <c r="B26" s="64" t="s">
        <v>55</v>
      </c>
      <c r="E26" s="58" t="s">
        <v>39</v>
      </c>
      <c r="F26" s="58" t="s">
        <v>39</v>
      </c>
      <c r="G26" s="58" t="s">
        <v>39</v>
      </c>
      <c r="H26" s="51"/>
      <c r="I26" s="51"/>
      <c r="J26" s="51"/>
      <c r="K26" s="51"/>
      <c r="L26" s="51"/>
      <c r="M26" s="14"/>
      <c r="N26" s="14"/>
      <c r="O26" s="14"/>
      <c r="P26" s="14"/>
      <c r="Q26" s="14"/>
    </row>
    <row r="27" spans="1:132" s="28" customFormat="1" ht="15.75">
      <c r="A27" s="60"/>
      <c r="B27" s="65" t="s">
        <v>18</v>
      </c>
      <c r="E27" s="60">
        <f>COUNTIF(E6:E26,"sim")</f>
        <v>17</v>
      </c>
      <c r="F27" s="60">
        <f>COUNTIF(F6:F26,"sim")</f>
        <v>17</v>
      </c>
      <c r="G27" s="60">
        <f t="shared" ref="G27" si="0">COUNTIF(G6:G26,"sim")</f>
        <v>16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1"/>
      <c r="B28" s="66" t="s">
        <v>19</v>
      </c>
      <c r="E28" s="61">
        <f>COUNTIF(E6:E27,"não")</f>
        <v>0</v>
      </c>
      <c r="F28" s="61">
        <f>COUNTIF(F6:F27,"não")</f>
        <v>1</v>
      </c>
      <c r="G28" s="61">
        <f t="shared" ref="G28" si="5">COUNTIF(G6:G27,"não")</f>
        <v>1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2"/>
      <c r="B29" s="67" t="s">
        <v>10</v>
      </c>
      <c r="E29" s="62">
        <f>COUNTIF(E7:E28,"ausente")</f>
        <v>1</v>
      </c>
      <c r="F29" s="62">
        <f>COUNTIF(F7:F28,"ausente")</f>
        <v>1</v>
      </c>
      <c r="G29" s="62">
        <f t="shared" ref="G29" si="10">COUNTIF(G7:G28,"ausente")</f>
        <v>3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3"/>
      <c r="B30" s="68" t="s">
        <v>20</v>
      </c>
      <c r="E30" s="63">
        <f>COUNTIF(E8:E29,"abstenção")</f>
        <v>0</v>
      </c>
      <c r="F30" s="63">
        <f>COUNTIF(F8:F29,"abstenção")</f>
        <v>0</v>
      </c>
      <c r="G30" s="63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2025-11-26T14:39:32Z</dcterms:modified>
</cp:coreProperties>
</file>