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Z:\CHAMADA E VOTAÇÃO 2025\"/>
    </mc:Choice>
  </mc:AlternateContent>
  <xr:revisionPtr revIDLastSave="0" documentId="13_ncr:1_{208C09D1-B2F4-48D5-8A89-08E17FDC3908}" xr6:coauthVersionLast="47" xr6:coauthVersionMax="47" xr10:uidLastSave="{00000000-0000-0000-0000-000000000000}"/>
  <bookViews>
    <workbookView xWindow="-120" yWindow="-120" windowWidth="29040" windowHeight="15720" tabRatio="849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26" i="2" l="1"/>
  <c r="F26" i="2"/>
  <c r="E27" i="2"/>
  <c r="F27" i="2"/>
  <c r="E28" i="2"/>
  <c r="F28" i="2"/>
  <c r="E29" i="2"/>
  <c r="F29" i="2"/>
  <c r="C26" i="3"/>
  <c r="D26" i="3"/>
  <c r="C27" i="3"/>
  <c r="D27" i="3"/>
  <c r="C28" i="3"/>
  <c r="D28" i="3"/>
  <c r="C29" i="3"/>
  <c r="D29" i="3"/>
  <c r="C28" i="10"/>
  <c r="C29" i="10"/>
  <c r="C30" i="10"/>
  <c r="C31" i="10"/>
  <c r="J27" i="15" l="1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X27" i="15"/>
  <c r="Y27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X28" i="15"/>
  <c r="Y28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X29" i="15"/>
  <c r="Y29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X30" i="15"/>
  <c r="Y30" i="15"/>
  <c r="C26" i="2"/>
  <c r="C27" i="2"/>
  <c r="C28" i="2"/>
  <c r="C29" i="2"/>
  <c r="H30" i="15"/>
  <c r="I30" i="15"/>
  <c r="H29" i="15"/>
  <c r="I29" i="15"/>
  <c r="H28" i="15"/>
  <c r="I28" i="15"/>
  <c r="H27" i="15"/>
  <c r="I27" i="15"/>
  <c r="G27" i="15" l="1"/>
  <c r="G28" i="15"/>
  <c r="G29" i="15"/>
  <c r="G30" i="15"/>
  <c r="B28" i="10" l="1"/>
  <c r="B29" i="10"/>
  <c r="B30" i="10"/>
  <c r="B31" i="10"/>
  <c r="I28" i="11" l="1"/>
  <c r="I29" i="11"/>
  <c r="I30" i="11"/>
  <c r="I31" i="11"/>
  <c r="B26" i="3" l="1"/>
  <c r="B27" i="3"/>
  <c r="B28" i="3"/>
  <c r="B29" i="3"/>
  <c r="F27" i="15" l="1"/>
  <c r="F28" i="15"/>
  <c r="F29" i="15"/>
  <c r="F30" i="15"/>
  <c r="D27" i="15" l="1"/>
  <c r="E27" i="15"/>
  <c r="D28" i="15"/>
  <c r="E28" i="15"/>
  <c r="D29" i="15"/>
  <c r="E29" i="15"/>
  <c r="D30" i="15"/>
  <c r="E30" i="15"/>
  <c r="C27" i="15"/>
  <c r="C28" i="15"/>
  <c r="C29" i="15"/>
  <c r="C30" i="15"/>
  <c r="B30" i="15"/>
  <c r="B29" i="15"/>
  <c r="B28" i="15"/>
  <c r="B27" i="15"/>
  <c r="D28" i="11"/>
  <c r="E28" i="11"/>
  <c r="F28" i="11"/>
  <c r="G28" i="11"/>
  <c r="H28" i="11"/>
  <c r="D29" i="11"/>
  <c r="E29" i="11"/>
  <c r="F29" i="11"/>
  <c r="G29" i="11"/>
  <c r="H29" i="11"/>
  <c r="D30" i="11"/>
  <c r="E30" i="11"/>
  <c r="F30" i="11"/>
  <c r="G30" i="11"/>
  <c r="H30" i="11"/>
  <c r="D31" i="11"/>
  <c r="E31" i="11"/>
  <c r="F31" i="11"/>
  <c r="G31" i="11"/>
  <c r="H31" i="11"/>
  <c r="C31" i="11"/>
  <c r="C30" i="11"/>
  <c r="C29" i="11"/>
  <c r="C28" i="11"/>
  <c r="A4" i="14" l="1"/>
  <c r="DT26" i="3"/>
  <c r="DT27" i="3" s="1"/>
  <c r="DT28" i="3" s="1"/>
  <c r="DT29" i="3" s="1"/>
  <c r="DS26" i="3"/>
  <c r="DS27" i="3" s="1"/>
  <c r="DS28" i="3" s="1"/>
  <c r="DS29" i="3" s="1"/>
  <c r="DR26" i="3"/>
  <c r="DR27" i="3" s="1"/>
  <c r="DQ26" i="3"/>
  <c r="DP26" i="3"/>
  <c r="DP27" i="3" s="1"/>
  <c r="DP28" i="3" s="1"/>
  <c r="DP29" i="3" s="1"/>
  <c r="DO26" i="3"/>
  <c r="DO27" i="3" s="1"/>
  <c r="DO28" i="3" s="1"/>
  <c r="DO29" i="3" s="1"/>
  <c r="DN26" i="3"/>
  <c r="DN27" i="3" s="1"/>
  <c r="DN28" i="3" s="1"/>
  <c r="DN29" i="3" s="1"/>
  <c r="DM26" i="3"/>
  <c r="DL26" i="3"/>
  <c r="DL27" i="3" s="1"/>
  <c r="DK26" i="3"/>
  <c r="DK27" i="3" s="1"/>
  <c r="DJ26" i="3"/>
  <c r="DJ27" i="3" s="1"/>
  <c r="DI26" i="3"/>
  <c r="DI27" i="3" s="1"/>
  <c r="DH26" i="3"/>
  <c r="DH27" i="3" s="1"/>
  <c r="DH28" i="3" s="1"/>
  <c r="DG26" i="3"/>
  <c r="DG27" i="3" s="1"/>
  <c r="DG28" i="3" s="1"/>
  <c r="DG29" i="3" s="1"/>
  <c r="DF26" i="3"/>
  <c r="DF27" i="3" s="1"/>
  <c r="DE26" i="3"/>
  <c r="DE27" i="3" s="1"/>
  <c r="DD26" i="3"/>
  <c r="DD27" i="3" s="1"/>
  <c r="DD28" i="3" s="1"/>
  <c r="DC26" i="3"/>
  <c r="DC27" i="3" s="1"/>
  <c r="DB26" i="3"/>
  <c r="DB27" i="3" s="1"/>
  <c r="DB28" i="3" s="1"/>
  <c r="DA26" i="3"/>
  <c r="DA27" i="3" s="1"/>
  <c r="DA28" i="3" s="1"/>
  <c r="DA29" i="3" s="1"/>
  <c r="CZ26" i="3"/>
  <c r="CZ27" i="3" s="1"/>
  <c r="CY26" i="3"/>
  <c r="CY27" i="3" s="1"/>
  <c r="CY28" i="3" s="1"/>
  <c r="CY29" i="3" s="1"/>
  <c r="CX26" i="3"/>
  <c r="CX27" i="3" s="1"/>
  <c r="CW26" i="3"/>
  <c r="CV26" i="3"/>
  <c r="CV27" i="3" s="1"/>
  <c r="CV28" i="3" s="1"/>
  <c r="CU26" i="3"/>
  <c r="CU27" i="3" s="1"/>
  <c r="CT26" i="3"/>
  <c r="CT27" i="3" s="1"/>
  <c r="CT28" i="3" s="1"/>
  <c r="CT29" i="3" s="1"/>
  <c r="CS26" i="3"/>
  <c r="CS27" i="3" s="1"/>
  <c r="CS28" i="3" s="1"/>
  <c r="CS29" i="3" s="1"/>
  <c r="CR26" i="3"/>
  <c r="CR27" i="3" s="1"/>
  <c r="CQ26" i="3"/>
  <c r="CQ27" i="3" s="1"/>
  <c r="CQ28" i="3" s="1"/>
  <c r="CQ29" i="3" s="1"/>
  <c r="CP26" i="3"/>
  <c r="CP27" i="3" s="1"/>
  <c r="CO26" i="3"/>
  <c r="CO27" i="3" s="1"/>
  <c r="CN26" i="3"/>
  <c r="CN27" i="3" s="1"/>
  <c r="CN28" i="3" s="1"/>
  <c r="CN29" i="3" s="1"/>
  <c r="CM26" i="3"/>
  <c r="CM27" i="3" s="1"/>
  <c r="CL26" i="3"/>
  <c r="CL27" i="3" s="1"/>
  <c r="CL28" i="3" s="1"/>
  <c r="CK26" i="3"/>
  <c r="CK27" i="3" s="1"/>
  <c r="CJ26" i="3"/>
  <c r="CJ27" i="3" s="1"/>
  <c r="CI26" i="3"/>
  <c r="CI27" i="3" s="1"/>
  <c r="CI28" i="3" s="1"/>
  <c r="CI29" i="3" s="1"/>
  <c r="CH26" i="3"/>
  <c r="CH27" i="3" s="1"/>
  <c r="CG26" i="3"/>
  <c r="CG27" i="3" s="1"/>
  <c r="CF26" i="3"/>
  <c r="CE26" i="3"/>
  <c r="CE27" i="3" s="1"/>
  <c r="CD26" i="3"/>
  <c r="CD27" i="3" s="1"/>
  <c r="CD28" i="3" s="1"/>
  <c r="CD29" i="3" s="1"/>
  <c r="CC26" i="3"/>
  <c r="CB26" i="3"/>
  <c r="CB27" i="3" s="1"/>
  <c r="CA26" i="3"/>
  <c r="CA27" i="3" s="1"/>
  <c r="CA28" i="3" s="1"/>
  <c r="CA29" i="3" s="1"/>
  <c r="BZ26" i="3"/>
  <c r="BZ27" i="3" s="1"/>
  <c r="BY26" i="3"/>
  <c r="BY27" i="3" s="1"/>
  <c r="BY28" i="3" s="1"/>
  <c r="BX26" i="3"/>
  <c r="BX27" i="3" s="1"/>
  <c r="BX28" i="3" s="1"/>
  <c r="BW26" i="3"/>
  <c r="BW27" i="3" s="1"/>
  <c r="BV26" i="3"/>
  <c r="BV27" i="3" s="1"/>
  <c r="BU26" i="3"/>
  <c r="BU27" i="3" s="1"/>
  <c r="BT26" i="3"/>
  <c r="BT27" i="3" s="1"/>
  <c r="BS26" i="3"/>
  <c r="BS27" i="3" s="1"/>
  <c r="BS28" i="3" s="1"/>
  <c r="BS29" i="3" s="1"/>
  <c r="BR26" i="3"/>
  <c r="BR27" i="3" s="1"/>
  <c r="BQ26" i="3"/>
  <c r="BQ27" i="3" s="1"/>
  <c r="BP26" i="3"/>
  <c r="BP27" i="3" s="1"/>
  <c r="BO26" i="3"/>
  <c r="BO27" i="3" s="1"/>
  <c r="BN26" i="3"/>
  <c r="BN27" i="3" s="1"/>
  <c r="BN28" i="3" s="1"/>
  <c r="BM26" i="3"/>
  <c r="BL26" i="3"/>
  <c r="BL27" i="3" s="1"/>
  <c r="BL28" i="3" s="1"/>
  <c r="BK26" i="3"/>
  <c r="BK27" i="3" s="1"/>
  <c r="BK28" i="3" s="1"/>
  <c r="BK29" i="3" s="1"/>
  <c r="BJ26" i="3"/>
  <c r="BJ27" i="3" s="1"/>
  <c r="BI26" i="3"/>
  <c r="BI27" i="3" s="1"/>
  <c r="BH26" i="3"/>
  <c r="BH27" i="3" s="1"/>
  <c r="BH28" i="3" s="1"/>
  <c r="BH29" i="3" s="1"/>
  <c r="BG26" i="3"/>
  <c r="BG27" i="3" s="1"/>
  <c r="BF26" i="3"/>
  <c r="BF27" i="3" s="1"/>
  <c r="BF28" i="3" s="1"/>
  <c r="BF29" i="3" s="1"/>
  <c r="BE26" i="3"/>
  <c r="BE27" i="3" s="1"/>
  <c r="BE28" i="3" s="1"/>
  <c r="BE29" i="3" s="1"/>
  <c r="BD26" i="3"/>
  <c r="BD27" i="3" s="1"/>
  <c r="BD28" i="3" s="1"/>
  <c r="BD29" i="3" s="1"/>
  <c r="BC26" i="3"/>
  <c r="BC27" i="3" s="1"/>
  <c r="BB26" i="3"/>
  <c r="BB27" i="3" s="1"/>
  <c r="BA26" i="3"/>
  <c r="BA27" i="3" s="1"/>
  <c r="BA28" i="3" s="1"/>
  <c r="AZ26" i="3"/>
  <c r="AZ27" i="3" s="1"/>
  <c r="AZ28" i="3" s="1"/>
  <c r="AY26" i="3"/>
  <c r="AY27" i="3" s="1"/>
  <c r="AY28" i="3" s="1"/>
  <c r="AY29" i="3" s="1"/>
  <c r="AX26" i="3"/>
  <c r="AX27" i="3" s="1"/>
  <c r="AW26" i="3"/>
  <c r="AW27" i="3" s="1"/>
  <c r="AW28" i="3" s="1"/>
  <c r="AW29" i="3" s="1"/>
  <c r="AV26" i="3"/>
  <c r="AV27" i="3" s="1"/>
  <c r="AU26" i="3"/>
  <c r="AU27" i="3" s="1"/>
  <c r="AU28" i="3" s="1"/>
  <c r="AU29" i="3" s="1"/>
  <c r="AT26" i="3"/>
  <c r="AT27" i="3" s="1"/>
  <c r="AS26" i="3"/>
  <c r="AS27" i="3" s="1"/>
  <c r="AR26" i="3"/>
  <c r="AR27" i="3" s="1"/>
  <c r="AQ26" i="3"/>
  <c r="AQ27" i="3" s="1"/>
  <c r="AP26" i="3"/>
  <c r="AP27" i="3" s="1"/>
  <c r="AP28" i="3" s="1"/>
  <c r="AP29" i="3" s="1"/>
  <c r="AO26" i="3"/>
  <c r="AO27" i="3" s="1"/>
  <c r="AO28" i="3" s="1"/>
  <c r="AN26" i="3"/>
  <c r="AN27" i="3" s="1"/>
  <c r="AN28" i="3" s="1"/>
  <c r="AN29" i="3" s="1"/>
  <c r="AM26" i="3"/>
  <c r="AM27" i="3" s="1"/>
  <c r="AL26" i="3"/>
  <c r="AL27" i="3" s="1"/>
  <c r="AK26" i="3"/>
  <c r="AK27" i="3" s="1"/>
  <c r="AJ26" i="3"/>
  <c r="AJ27" i="3" s="1"/>
  <c r="AJ28" i="3" s="1"/>
  <c r="AI26" i="3"/>
  <c r="AI27" i="3" s="1"/>
  <c r="AI28" i="3" s="1"/>
  <c r="AH26" i="3"/>
  <c r="AH27" i="3" s="1"/>
  <c r="AH28" i="3" s="1"/>
  <c r="AG26" i="3"/>
  <c r="AF26" i="3"/>
  <c r="AF27" i="3" s="1"/>
  <c r="AF28" i="3" s="1"/>
  <c r="AF29" i="3" s="1"/>
  <c r="AE26" i="3"/>
  <c r="AE27" i="3" s="1"/>
  <c r="AD26" i="3"/>
  <c r="AD27" i="3" s="1"/>
  <c r="AD28" i="3" s="1"/>
  <c r="AD29" i="3" s="1"/>
  <c r="AC26" i="3"/>
  <c r="AC27" i="3" s="1"/>
  <c r="AC28" i="3" s="1"/>
  <c r="AB26" i="3"/>
  <c r="AB27" i="3" s="1"/>
  <c r="AA26" i="3"/>
  <c r="AA27" i="3" s="1"/>
  <c r="Z26" i="3"/>
  <c r="Z27" i="3" s="1"/>
  <c r="Y26" i="3"/>
  <c r="Y27" i="3" s="1"/>
  <c r="Y28" i="3" s="1"/>
  <c r="Y29" i="3" s="1"/>
  <c r="X26" i="3"/>
  <c r="X27" i="3" s="1"/>
  <c r="X28" i="3" s="1"/>
  <c r="X29" i="3" s="1"/>
  <c r="W26" i="3"/>
  <c r="W27" i="3" s="1"/>
  <c r="V26" i="3"/>
  <c r="U26" i="3"/>
  <c r="T26" i="3"/>
  <c r="T27" i="3" s="1"/>
  <c r="T28" i="3" s="1"/>
  <c r="S26" i="3"/>
  <c r="S27" i="3" s="1"/>
  <c r="R26" i="3"/>
  <c r="R27" i="3" s="1"/>
  <c r="R28" i="3" s="1"/>
  <c r="R29" i="3" s="1"/>
  <c r="Q26" i="3"/>
  <c r="Q27" i="3" s="1"/>
  <c r="P26" i="3"/>
  <c r="P27" i="3" s="1"/>
  <c r="P28" i="3" s="1"/>
  <c r="P29" i="3" s="1"/>
  <c r="O26" i="3"/>
  <c r="O27" i="3" s="1"/>
  <c r="N26" i="3"/>
  <c r="N27" i="3" s="1"/>
  <c r="N28" i="3" s="1"/>
  <c r="N29" i="3" s="1"/>
  <c r="M26" i="3"/>
  <c r="M27" i="3" s="1"/>
  <c r="L26" i="3"/>
  <c r="L27" i="3" s="1"/>
  <c r="L28" i="3" s="1"/>
  <c r="L29" i="3" s="1"/>
  <c r="K26" i="3"/>
  <c r="K27" i="3" s="1"/>
  <c r="DC28" i="3" l="1"/>
  <c r="DC29" i="3" s="1"/>
  <c r="BW28" i="3"/>
  <c r="BW29" i="3" s="1"/>
  <c r="CM28" i="3"/>
  <c r="CM29" i="3" s="1"/>
  <c r="AQ28" i="3"/>
  <c r="AQ29" i="3" s="1"/>
  <c r="CX28" i="3"/>
  <c r="CX29" i="3" s="1"/>
  <c r="BO28" i="3"/>
  <c r="BO29" i="3" s="1"/>
  <c r="BR28" i="3"/>
  <c r="BR29" i="3" s="1"/>
  <c r="BG28" i="3"/>
  <c r="BG29" i="3" s="1"/>
  <c r="BZ28" i="3"/>
  <c r="BZ29" i="3" s="1"/>
  <c r="S28" i="3"/>
  <c r="S29" i="3" s="1"/>
  <c r="AB28" i="3"/>
  <c r="AB29" i="3" s="1"/>
  <c r="BT28" i="3"/>
  <c r="BT29" i="3" s="1"/>
  <c r="AR28" i="3"/>
  <c r="AR29" i="3" s="1"/>
  <c r="CP28" i="3"/>
  <c r="CP29" i="3" s="1"/>
  <c r="CW27" i="3"/>
  <c r="CW28" i="3" s="1"/>
  <c r="CW29" i="3" s="1"/>
  <c r="DQ27" i="3"/>
  <c r="DQ28" i="3" s="1"/>
  <c r="DQ29" i="3" s="1"/>
  <c r="CH28" i="3"/>
  <c r="CH29" i="3" s="1"/>
  <c r="AG27" i="3"/>
  <c r="AG28" i="3" s="1"/>
  <c r="AG29" i="3" s="1"/>
  <c r="CC27" i="3"/>
  <c r="CC28" i="3" s="1"/>
  <c r="CC29" i="3" s="1"/>
  <c r="CG28" i="3"/>
  <c r="CG29" i="3" s="1"/>
  <c r="Z28" i="3"/>
  <c r="Z29" i="3" s="1"/>
  <c r="AK28" i="3"/>
  <c r="AK29" i="3" s="1"/>
  <c r="BM27" i="3"/>
  <c r="BM28" i="3" s="1"/>
  <c r="BM29" i="3" s="1"/>
  <c r="DM27" i="3"/>
  <c r="DM28" i="3" s="1"/>
  <c r="DM29" i="3" s="1"/>
  <c r="BI28" i="3"/>
  <c r="BI29" i="3" s="1"/>
  <c r="BP28" i="3"/>
  <c r="BP29" i="3" s="1"/>
  <c r="AH29" i="3"/>
  <c r="CV29" i="3"/>
  <c r="DF28" i="3"/>
  <c r="DF29" i="3" s="1"/>
  <c r="V27" i="3"/>
  <c r="V28" i="3" s="1"/>
  <c r="V29" i="3" s="1"/>
  <c r="AS28" i="3"/>
  <c r="AS29" i="3" s="1"/>
  <c r="CF27" i="3"/>
  <c r="CF28" i="3" s="1"/>
  <c r="CF29" i="3" s="1"/>
  <c r="M28" i="3"/>
  <c r="M29" i="3" s="1"/>
  <c r="Q28" i="3"/>
  <c r="Q29" i="3" s="1"/>
  <c r="DE28" i="3"/>
  <c r="DE29" i="3" s="1"/>
  <c r="DI28" i="3"/>
  <c r="DI29" i="3" s="1"/>
  <c r="K28" i="3"/>
  <c r="K29" i="3" s="1"/>
  <c r="CZ28" i="3"/>
  <c r="CZ29" i="3" s="1"/>
  <c r="DK28" i="3"/>
  <c r="DK29" i="3" s="1"/>
  <c r="BV28" i="3"/>
  <c r="BV29" i="3" s="1"/>
  <c r="CJ28" i="3"/>
  <c r="CJ29" i="3" s="1"/>
  <c r="CB28" i="3"/>
  <c r="CB29" i="3" s="1"/>
  <c r="T29" i="3"/>
  <c r="DL28" i="3"/>
  <c r="DL29" i="3" s="1"/>
  <c r="AO29" i="3"/>
  <c r="DB29" i="3"/>
  <c r="CU28" i="3"/>
  <c r="CU29" i="3" s="1"/>
  <c r="CE28" i="3"/>
  <c r="CE29" i="3" s="1"/>
  <c r="AA28" i="3"/>
  <c r="AA29" i="3" s="1"/>
  <c r="CR28" i="3"/>
  <c r="CR29" i="3" s="1"/>
  <c r="U27" i="3"/>
  <c r="U28" i="3" s="1"/>
  <c r="U29" i="3" s="1"/>
  <c r="DD29" i="3"/>
  <c r="AL28" i="3"/>
  <c r="AL29" i="3" s="1"/>
  <c r="AC29" i="3"/>
  <c r="AI29" i="3"/>
  <c r="BJ28" i="3"/>
  <c r="BJ29" i="3" s="1"/>
  <c r="AJ29" i="3"/>
  <c r="BU28" i="3"/>
  <c r="BU29" i="3" s="1"/>
  <c r="CO28" i="3"/>
  <c r="CO29" i="3" s="1"/>
  <c r="BA29" i="3"/>
  <c r="AZ29" i="3"/>
  <c r="BN29" i="3"/>
  <c r="CL29" i="3"/>
  <c r="W28" i="3"/>
  <c r="W29" i="3" s="1"/>
  <c r="BQ28" i="3"/>
  <c r="BQ29" i="3" s="1"/>
  <c r="AT28" i="3"/>
  <c r="AT29" i="3" s="1"/>
  <c r="CK28" i="3"/>
  <c r="CK29" i="3" s="1"/>
  <c r="BL29" i="3"/>
  <c r="AE28" i="3"/>
  <c r="AE29" i="3" s="1"/>
  <c r="BB28" i="3"/>
  <c r="BB29" i="3" s="1"/>
  <c r="DR28" i="3"/>
  <c r="DR29" i="3" s="1"/>
  <c r="DJ28" i="3"/>
  <c r="DJ29" i="3" s="1"/>
  <c r="DH29" i="3"/>
  <c r="O28" i="3"/>
  <c r="O29" i="3" s="1"/>
  <c r="AV28" i="3"/>
  <c r="AV29" i="3" s="1"/>
  <c r="BY29" i="3"/>
  <c r="BX29" i="3"/>
  <c r="AM28" i="3"/>
  <c r="AM29" i="3" s="1"/>
  <c r="AX28" i="3"/>
  <c r="AX29" i="3" s="1"/>
  <c r="BC28" i="3"/>
  <c r="BC29" i="3" s="1"/>
</calcChain>
</file>

<file path=xl/sharedStrings.xml><?xml version="1.0" encoding="utf-8"?>
<sst xmlns="http://schemas.openxmlformats.org/spreadsheetml/2006/main" count="474" uniqueCount="138">
  <si>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</si>
  <si>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</si>
  <si>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</si>
  <si>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</si>
  <si>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</si>
  <si>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</si>
  <si>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</si>
  <si>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</si>
  <si>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</si>
  <si>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</si>
  <si>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</si>
  <si>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</si>
  <si>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</si>
  <si>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</si>
  <si>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</si>
  <si>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</si>
  <si>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</si>
  <si>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</si>
  <si>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</si>
  <si>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</si>
  <si>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</si>
  <si>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</si>
  <si>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</si>
  <si>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</si>
  <si>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</si>
  <si>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</si>
  <si>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</si>
  <si>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Ralfi Silva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</si>
  <si>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</si>
  <si>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</si>
  <si>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</si>
  <si>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</si>
  <si>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</si>
  <si>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</si>
  <si>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</si>
  <si>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</si>
  <si>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</si>
  <si>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</si>
  <si>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</si>
  <si>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</si>
  <si>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</si>
  <si>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</si>
  <si>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</si>
  <si>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r>
      <rPr>
        <b/>
        <sz val="10"/>
        <color theme="1"/>
        <rFont val="Arial"/>
        <family val="2"/>
      </rPr>
      <t>4. RECURSO DE AUTORIA DO VEREADOR RALFI SILVA AO PL N.º 34/2020</t>
    </r>
    <r>
      <rPr>
        <sz val="10"/>
        <color theme="1"/>
        <rFont val="Arial"/>
        <family val="2"/>
      </rPr>
      <t>, que autoriza a contratação de Hospitais e Clínicas Particulares visando o tratamento da Corona Vírus (Covid 19) em face do parecer contrário da Comissão de Constituição e Justiça - CCJ de n.º 38/2021.</t>
    </r>
  </si>
  <si>
    <r>
      <rPr>
        <b/>
        <sz val="10"/>
        <color theme="1"/>
        <rFont val="Arial"/>
        <family val="2"/>
      </rPr>
      <t>5. RECURSO DE AUTORIA DO VEREADOR RALFI SILVA AO PL N.º 18/2020</t>
    </r>
    <r>
      <rPr>
        <sz val="10"/>
        <color theme="1"/>
        <rFont val="Arial"/>
        <family val="2"/>
      </rPr>
      <t>, que cria a Câmara de Conciliação para reposição de bens móveis e serviços de manutenção nas propriedades sofridas por enchentes, no âmbito do município de Osasco, em face do parecer contrário da Comissão de Constituição e Justiça - CCJ de n.º 39/2021.</t>
    </r>
  </si>
  <si>
    <r>
      <rPr>
        <b/>
        <sz val="10"/>
        <color theme="1"/>
        <rFont val="Arial"/>
        <family val="2"/>
      </rPr>
      <t>6. RECURSO DE AUTORIA DO VEREADOR RALFI SILVA AO PL N.º 77/2020</t>
    </r>
    <r>
      <rPr>
        <sz val="10"/>
        <color theme="1"/>
        <rFont val="Arial"/>
        <family val="2"/>
      </rPr>
      <t>, que dispõe sobre a concessão de auxílio emergencial aos prestadores de serviço de transporte escolar, público e privado, em virtude dos impactos sociais e econômicos da pandemia de COVID19, em face do parecer contrário da Comissão de Constituição e Justiça - CCJ de n.º 44/2021.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</si>
  <si>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</si>
  <si>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</si>
  <si>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</si>
  <si>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</si>
  <si>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</si>
  <si>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</si>
  <si>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</si>
  <si>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</si>
  <si>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</si>
  <si>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</si>
  <si>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</si>
  <si>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</si>
  <si>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</si>
  <si>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</si>
  <si>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</si>
  <si>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</si>
  <si>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</si>
  <si>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</si>
  <si>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</si>
  <si>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</si>
  <si>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Sérgio Fontellas</t>
  </si>
  <si>
    <t>Stephane Rossi</t>
  </si>
  <si>
    <r>
      <rPr>
        <b/>
        <sz val="10"/>
        <color theme="1"/>
        <rFont val="Arial"/>
        <family val="2"/>
      </rPr>
      <t>7.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</si>
  <si>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t>2. REQUERIMENTO N.º 11/2022 – RALFI – Requer o envio de ofício ao Poder Executivo solicitando informações relacionadas a todos os contratos vinculados à Secretaria de Saúde que estejam vigorando de forma emergencial.</t>
  </si>
  <si>
    <t xml:space="preserve">3. REQUERIMENTO N.º 12/2022 – RALFI – Requer o envio de ofício ao Poder Executivo solicitando informações relacionadas a todos os contratos vinculados à </t>
  </si>
  <si>
    <r>
      <t>4.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</si>
  <si>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5.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</si>
  <si>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6.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</si>
  <si>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7.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</si>
  <si>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8.REQUERIMENTO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</si>
  <si>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9.REQUERIMENTO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</si>
  <si>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10.REQUERIMENTO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</si>
  <si>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11.REQUERIMENTO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</si>
  <si>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12.REQUERIMENTO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</si>
  <si>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13.REQUERIMENTO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</si>
  <si>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14.REQUERIMENTO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</si>
  <si>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15.REQUERIMENTO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</si>
  <si>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16.REQUERIMENTO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</si>
  <si>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17.REQUERIMENTO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</si>
  <si>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18.REQUERIMENTO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</si>
  <si>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19.REQUERIMENTO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</si>
  <si>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20.REQUERIMENTO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</si>
  <si>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21.REQUERIMENTO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</si>
  <si>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22 - REQUERIMENTO N.º 15/2024 – EMERSON OSASCO – Requer o envio de ofício ao Poder Executivo solicitando informações relacionadas à reabertura da Casa de Angola de Osasco.</t>
  </si>
  <si>
    <t>23 -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</si>
  <si>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t xml:space="preserve"> Vereadores presentes após a chamada do expedinte</t>
  </si>
  <si>
    <t xml:space="preserve"> 1ª chamada abertura da sessão </t>
  </si>
  <si>
    <t>APROVADA</t>
  </si>
  <si>
    <t>pela ausência do autor, será pautada na próxima sessão.</t>
  </si>
  <si>
    <t>Rodolfo Cara</t>
  </si>
  <si>
    <t>Guiga</t>
  </si>
  <si>
    <t>APROVADO</t>
  </si>
  <si>
    <t>sim</t>
  </si>
  <si>
    <t>APROVADO
VOTAÇÃO SIMBÓLICA</t>
  </si>
  <si>
    <t>na presidência</t>
  </si>
  <si>
    <r>
      <t xml:space="preserve">MOÇÃO DE APLAUSOS Nº 240/2025 – EMERSON OSASCO - </t>
    </r>
    <r>
      <rPr>
        <sz val="11"/>
        <color theme="1"/>
        <rFont val="Arial"/>
        <family val="2"/>
      </rPr>
      <t>À Escola Estadual de Educação Integral “Professor João Baptista de Brito” pelo importante trabalho antirracista desenvolvido e que tem promovido a valorização da diversidade, o respeito às diferenças e a construção de uma sociedade mais justa e igualitária.</t>
    </r>
  </si>
  <si>
    <r>
      <t xml:space="preserve">MOÇÃO DE APLAUSOS Nº 242/2025 – EMERSON OSASCO - </t>
    </r>
    <r>
      <rPr>
        <sz val="11"/>
        <color theme="1"/>
        <rFont val="Arial"/>
        <family val="2"/>
      </rPr>
      <t>Ao Clube Antirracista da Escola de Educação Integral Professor João Baptista de Brito, clube que vem trabalhando pontualmente no fortalecimento da ancestralidade e no combate à discriminação racial no ambiente escolar.</t>
    </r>
  </si>
  <si>
    <t>31ª SESSÃO ORDINÁRIA</t>
  </si>
  <si>
    <t>DIA 3 DE JUNHO DE 2025 - TERÇA-FEIRA</t>
  </si>
  <si>
    <t>DIA 3 DE JUNHO DE 2025 - TERÇA–FEIRA</t>
  </si>
  <si>
    <r>
      <t xml:space="preserve">MOÇÃO DE RECONHECIMENTO Nº 229/2025 – LAÉRCIO MENDONÇA – </t>
    </r>
    <r>
      <rPr>
        <sz val="11"/>
        <color theme="1"/>
        <rFont val="Arial"/>
        <family val="2"/>
      </rPr>
      <t>À Paróquia São José e seus representes legais pelo evento Festa da Família que ocorreu nos dias 24 e 25 de maio na Arena Concha Acústica da FITO.</t>
    </r>
  </si>
  <si>
    <t>Justificativa de ausência do Vereador Emerson Osasco.</t>
  </si>
  <si>
    <r>
      <t xml:space="preserve">Decretos nº 14.658 e 14.659 de maio de 2025 - Prefeito do Município de Osasco - </t>
    </r>
    <r>
      <rPr>
        <sz val="12"/>
        <color rgb="FF000000"/>
        <rFont val="Calibri"/>
        <family val="2"/>
      </rPr>
      <t>Dispõe sobre abertura de crédito adicional suplementar ao orçamento vigente e dá outras providências.</t>
    </r>
  </si>
  <si>
    <r>
      <t xml:space="preserve">Decreto nº 14.657 de 28 de de maio de 2025 - Prefeito do Município de Osasco - </t>
    </r>
    <r>
      <rPr>
        <sz val="12"/>
        <color rgb="FF000000"/>
        <rFont val="Calibri"/>
        <family val="2"/>
      </rPr>
      <t>Cria o Programa de Equilíbrio Trabalho-Família no Município de Osasco e o Selo Empresa Mais Família.</t>
    </r>
  </si>
  <si>
    <r>
      <t xml:space="preserve">Ofício Prolegis nº 13/2025 – Prefeito do Município de Osasco – </t>
    </r>
    <r>
      <rPr>
        <sz val="12"/>
        <color rgb="FF000000"/>
        <rFont val="Calibri"/>
        <family val="2"/>
      </rPr>
      <t>Informa a sanção da Lei Complementar nº 445, de 28 de maio de 2025, referente ao projeto de lei complementar nº 02/2025, que dispõe sobre a concessão de reajuste, de pagamento de abono e revisão de padrão de vencimento dos cargos públicos de provimento efetivo, funções, empregos públicos e dos cargos de provimento em comissão da Administração Direta e Indireta de Direito Público, e dá outras providências.</t>
    </r>
  </si>
  <si>
    <r>
      <t xml:space="preserve">Projeto de Lei nº 32/2025 – Ralfi Rafael da Silva - </t>
    </r>
    <r>
      <rPr>
        <sz val="12"/>
        <color rgb="FF000000"/>
        <rFont val="Calibri"/>
        <family val="2"/>
      </rPr>
      <t>Assegura o ingresso e a permanência de cães de assistência a pessoas com deficiência ou transtorno do espectro autista - TEA em locais de uso público ou privado.</t>
    </r>
  </si>
  <si>
    <r>
      <t xml:space="preserve">Projeto de Lei nº 76/2025 – Pedrinho Cantagessi – </t>
    </r>
    <r>
      <rPr>
        <sz val="12"/>
        <color rgb="FF000000"/>
        <rFont val="Calibri"/>
        <family val="2"/>
      </rPr>
      <t xml:space="preserve">Institui a Semana Municipal de Conscientização sobre o Vitiligo. </t>
    </r>
  </si>
  <si>
    <r>
      <t xml:space="preserve">Projeto de Lei nº 83/2025 – Guiga – </t>
    </r>
    <r>
      <rPr>
        <sz val="12"/>
        <color rgb="FF000000"/>
        <rFont val="Calibri"/>
        <family val="2"/>
      </rPr>
      <t>Institui o Osasco Tattoo Festival.</t>
    </r>
  </si>
  <si>
    <r>
      <t>Projeto de Decreto Legislativo nº 52/2024 – Josias da Juco –</t>
    </r>
    <r>
      <rPr>
        <sz val="12"/>
        <color rgb="FF000000"/>
        <rFont val="Calibri"/>
        <family val="2"/>
      </rPr>
      <t xml:space="preserve"> Dispõe sobre a concessão de cartão de Prata à clínica ZY Odontologia. </t>
    </r>
  </si>
  <si>
    <r>
      <t xml:space="preserve">Projeto de Decreto Legislativo nº 20/2025 – Guilherme Prado – </t>
    </r>
    <r>
      <rPr>
        <sz val="12"/>
        <color rgb="FF000000"/>
        <rFont val="Calibri"/>
        <family val="2"/>
      </rPr>
      <t xml:space="preserve">Dispõe sobre a concessão de Cartão de Prata à Construíde – Organização da Sociedade Civil. </t>
    </r>
  </si>
  <si>
    <r>
      <t xml:space="preserve">Projeto de Decreto Legislativo nº 23/2025 – Délbio Teruel – </t>
    </r>
    <r>
      <rPr>
        <sz val="12"/>
        <color rgb="FF000000"/>
        <rFont val="Calibri"/>
        <family val="2"/>
      </rPr>
      <t>Dispõe sobre a concessão de Título de Cidadão Osasquense ao Tenente-Coronel PM Joaquim Keida Mendonça Ishy.</t>
    </r>
  </si>
  <si>
    <r>
      <t xml:space="preserve">ATO DA PRESIDÊNCIA N° 8/2025 - </t>
    </r>
    <r>
      <rPr>
        <sz val="12"/>
        <color rgb="FF000000"/>
        <rFont val="Calibri"/>
        <family val="2"/>
      </rPr>
      <t>Dispõe sobre a convocação do senhor André Luís Alves Pereira, primeiro suplente de vereador.</t>
    </r>
  </si>
  <si>
    <t>MOÇÃO DE CONGRATULAÇÕES Nº 235/2025 – DÉLBIO TERUEL - Pelo aniversário do Pastor Jairo Lucas Sacramento - Presidente da Assembleia de Deus Ministério Missão Internacional, destacando sua liderança espiritual e a atuação transformadora da Igreja.</t>
  </si>
  <si>
    <r>
      <t xml:space="preserve">MOÇÃO DE APLAUSOS Nº 241/2025 – EMERSON OSASCO - </t>
    </r>
    <r>
      <rPr>
        <sz val="11"/>
        <color theme="1"/>
        <rFont val="Arial"/>
        <family val="2"/>
      </rPr>
      <t>À Coordenadora de Gestão Pedagógica da Área de Ciências Humanas, Carolina Pereira, pela coordenação do Projeto Clube Antirracista na Escola Estadual de Educação Integral Professor João Baptista de Brito.</t>
    </r>
  </si>
  <si>
    <r>
      <t xml:space="preserve">MOÇÃO DE APLAUSOS Nº 247/2025 – GUIGA - </t>
    </r>
    <r>
      <rPr>
        <sz val="11"/>
        <color theme="1"/>
        <rFont val="Arial"/>
        <family val="2"/>
      </rPr>
      <t>À Magda Aparecido Cassiano por sua dedicação ao Serviço Público.</t>
    </r>
  </si>
  <si>
    <r>
      <t xml:space="preserve">MOÇÃO DE APOIO Nº 248/2025 – ELSA OLIVEIRA - </t>
    </r>
    <r>
      <rPr>
        <sz val="11"/>
        <color theme="1"/>
        <rFont val="Arial"/>
        <family val="2"/>
      </rPr>
      <t>Ao Dia Mundial Contra a Agressão Infantil, celebrado em 4 de junho, data instituída pela Organização das Nações Unidas (ONU) em 1982, como um momento de reflexão e ação em prol da proteção integral das crianças vítimas de violência no mundo todo.</t>
    </r>
  </si>
  <si>
    <r>
      <t>MOÇÃO DE RECONHECIMENTO Nº 250/2025 – RODOLFO CARA -</t>
    </r>
    <r>
      <rPr>
        <sz val="11"/>
        <color theme="1"/>
        <rFont val="Arial"/>
        <family val="2"/>
      </rPr>
      <t xml:space="preserve"> À Sandra Neuza Macedo que transforma com dedicação, empatia e liderança, cada passo de sua jornada na saúde pública em um legado de cuidado humano e compromisso com a vida.</t>
    </r>
  </si>
  <si>
    <r>
      <t xml:space="preserve">MOÇÃO DE APLAUSOS Nº 252/2025 – SÉRGIO FONTELLAS - </t>
    </r>
    <r>
      <rPr>
        <sz val="11"/>
        <color theme="1"/>
        <rFont val="Arial"/>
        <family val="2"/>
      </rPr>
      <t>Ao Presidente Nacional do Republicanos e Deputado Federal Marcos Pereira, por destinar R$ 2 milhões de recursos públicos, através de Emenda Parlamentar, para investimento na Área da Saúde em Osasco.</t>
    </r>
  </si>
  <si>
    <r>
      <t>MOÇÃO DE RECONHECIMENTO Nº 253/2025 – RODOLFO CARA -</t>
    </r>
    <r>
      <rPr>
        <sz val="11"/>
        <color theme="1"/>
        <rFont val="Arial"/>
        <family val="2"/>
      </rPr>
      <t xml:space="preserve"> A Dirceu Ono Honda que transformou com dedicação, humanidade e visão, sua missão na saúde pública em um legado de cuidado e esperança para milhares de osasquenses.</t>
    </r>
  </si>
  <si>
    <r>
      <t>MOÇÃO DE APLAUSOS Nº 254/2025 – GUIGA -</t>
    </r>
    <r>
      <rPr>
        <sz val="11"/>
        <color theme="1"/>
        <rFont val="Arial"/>
        <family val="2"/>
      </rPr>
      <t xml:space="preserve"> A Ferreira Two Hobby, pelo excelente serviço prestado e qualidade no atendimento.</t>
    </r>
  </si>
  <si>
    <r>
      <t xml:space="preserve">MOÇÃO DE APELO Nº 255/2025 – HEBER JUNTOZ - </t>
    </r>
    <r>
      <rPr>
        <sz val="11"/>
        <color theme="1"/>
        <rFont val="Arial"/>
        <family val="2"/>
      </rPr>
      <t>Ao Poder Executivo e à CMTO - Companhia Municipal de Transportes de Osasco - pela manutenção da Linha 032 (Helena Maria x Vila Yolanda).</t>
    </r>
  </si>
  <si>
    <t>REJEITADA</t>
  </si>
  <si>
    <r>
      <t xml:space="preserve">MOÇÃO DE APLAUSOS Nº 256/2025 – SÉRGIO FONTELLAS - </t>
    </r>
    <r>
      <rPr>
        <sz val="11"/>
        <color theme="1"/>
        <rFont val="Arial"/>
        <family val="2"/>
      </rPr>
      <t>À Fundação Republicana Brasileira, por promover o curso Mobiliza de Comunicação e Liderança, Módulo São Paulo, no dia 30 de maio.</t>
    </r>
  </si>
  <si>
    <r>
      <t xml:space="preserve">MOÇÃO DE RECONHECIMENTO Nº 257/2025 – GABRIEL SAÚDE - </t>
    </r>
    <r>
      <rPr>
        <sz val="11"/>
        <color theme="1"/>
        <rFont val="Arial"/>
        <family val="2"/>
      </rPr>
      <t>Ao Dr. Marco Aurélio Nunes, presidente da BIOGESP - Associação de Gestão e Execução de Serviços Públicos Sociais, em reconhecimento à sua destacada trajetória profissional e compromisso social.</t>
    </r>
  </si>
  <si>
    <r>
      <t xml:space="preserve">MOÇÃO DE APLAUSOS Nº 264/2025 – RODOLFO CARA - </t>
    </r>
    <r>
      <rPr>
        <sz val="11"/>
        <color theme="1"/>
        <rFont val="Arial"/>
        <family val="2"/>
      </rPr>
      <t>Ao Altino Deck Bar, em reconhecimento à conquista do 2º
prêmio no "Desafio Maizena do Comida di Buteco 2025", disputando com mais de 140 bares da cidade
de São Paulo.</t>
    </r>
  </si>
  <si>
    <t>VETO TOTAL AO PROJETO DE LEI Nº 43/2025 – MESA DIRETORA - Dispõe sobre reajuste aos servidores ativos e inativos da Câmara Municipal de Osasco.</t>
  </si>
  <si>
    <t>não</t>
  </si>
  <si>
    <t>VETO ACEITO</t>
  </si>
  <si>
    <r>
      <t xml:space="preserve">PROJETO DE LEI Nº 87/2022 – JOSIAS DA JUCO - </t>
    </r>
    <r>
      <rPr>
        <sz val="14"/>
        <color theme="1"/>
        <rFont val="Arial"/>
        <family val="2"/>
      </rPr>
      <t>Institui a semana da conscientização e combate à aporofobia.</t>
    </r>
  </si>
  <si>
    <r>
      <t xml:space="preserve">PROJETO DE LEI Nº 69/2024 – CARMÔNIO BASTOS – </t>
    </r>
    <r>
      <rPr>
        <sz val="14"/>
        <color theme="1"/>
        <rFont val="Arial"/>
        <family val="2"/>
      </rPr>
      <t>Dispõe sobre a concessão de Título de Utilidade Pública ao Instituto Divertere.</t>
    </r>
  </si>
  <si>
    <r>
      <t xml:space="preserve">PROJETO DE LEI COMPLEMENTAR Nº 1/2025 – PREFEITO DO MUNICÍPIO DE OSASCO – </t>
    </r>
    <r>
      <rPr>
        <sz val="11"/>
        <color theme="1"/>
        <rFont val="Arial"/>
        <family val="2"/>
      </rPr>
      <t>Dispõe sobre a alteração da Lei Complementar n° 442, de 20 de dezembro de 2024.</t>
    </r>
  </si>
  <si>
    <r>
      <t xml:space="preserve">PROJETO DE LEI Nº 45/2025 - LAÉRCIO MENDONÇA – </t>
    </r>
    <r>
      <rPr>
        <sz val="11"/>
        <color theme="1"/>
        <rFont val="Arial"/>
        <family val="2"/>
      </rPr>
      <t>Institui a Semana da Saúde Mental do Servidor Público.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</si>
</sst>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sz val="12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4" fillId="0" borderId="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wrapText="1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6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24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7"/>
  <sheetViews>
    <sheetView tabSelected="1" zoomScale="70" zoomScaleNormal="70" workbookViewId="0">
      <selection activeCell="O33" sqref="O33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4" t="s">
        <v>8</v>
      </c>
      <c r="B1" s="146" t="s">
        <v>30</v>
      </c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71"/>
      <c r="O1" s="71"/>
      <c r="P1" s="71"/>
      <c r="Q1" s="40">
        <v>1</v>
      </c>
      <c r="R1" s="36" t="s">
        <v>10</v>
      </c>
      <c r="T1" s="150"/>
      <c r="U1" s="150"/>
      <c r="V1" s="150"/>
      <c r="W1" s="150"/>
      <c r="X1" s="150"/>
      <c r="Y1" s="150"/>
      <c r="Z1" s="7" t="s">
        <v>16</v>
      </c>
    </row>
    <row r="2" spans="1:28" ht="19.5" customHeight="1">
      <c r="A2" s="84" t="s">
        <v>103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49"/>
      <c r="N2" s="71"/>
      <c r="O2" s="71"/>
      <c r="P2" s="71"/>
      <c r="Q2" s="35">
        <v>2</v>
      </c>
      <c r="R2" s="36" t="s">
        <v>11</v>
      </c>
      <c r="T2" s="150"/>
      <c r="U2" s="150"/>
      <c r="V2" s="150"/>
      <c r="W2" s="150"/>
      <c r="X2" s="150"/>
      <c r="Y2" s="150"/>
      <c r="Z2" s="7" t="s">
        <v>17</v>
      </c>
    </row>
    <row r="3" spans="1:28" ht="19.5" customHeight="1" thickBot="1">
      <c r="A3" s="84" t="s">
        <v>104</v>
      </c>
      <c r="B3" s="148"/>
      <c r="C3" s="149"/>
      <c r="D3" s="149"/>
      <c r="E3" s="149"/>
      <c r="F3" s="149"/>
      <c r="G3" s="149"/>
      <c r="H3" s="149"/>
      <c r="I3" s="149"/>
      <c r="J3" s="149"/>
      <c r="K3" s="149"/>
      <c r="L3" s="149"/>
      <c r="M3" s="149"/>
      <c r="N3" s="71"/>
      <c r="O3" s="71"/>
      <c r="P3" s="71"/>
      <c r="Q3" s="41">
        <v>3</v>
      </c>
      <c r="R3" s="37" t="s">
        <v>12</v>
      </c>
      <c r="T3" s="150"/>
      <c r="U3" s="150"/>
      <c r="V3" s="150"/>
      <c r="W3" s="150"/>
      <c r="X3" s="150"/>
      <c r="Y3" s="150"/>
    </row>
    <row r="4" spans="1:28" ht="46.5" thickBot="1">
      <c r="A4" s="47"/>
      <c r="B4" s="88"/>
      <c r="C4" s="93" t="s">
        <v>92</v>
      </c>
      <c r="D4" s="93"/>
      <c r="E4" s="93"/>
      <c r="F4" s="44"/>
      <c r="G4" s="43" t="s">
        <v>54</v>
      </c>
      <c r="H4" s="43"/>
      <c r="I4" s="70" t="s">
        <v>52</v>
      </c>
      <c r="J4" s="45"/>
      <c r="K4" s="43" t="s">
        <v>31</v>
      </c>
      <c r="L4" s="45"/>
      <c r="M4" s="43" t="s">
        <v>31</v>
      </c>
      <c r="N4" s="45"/>
      <c r="O4" s="43" t="s">
        <v>48</v>
      </c>
      <c r="P4" s="45"/>
      <c r="Q4" s="42"/>
      <c r="R4" s="61" t="s">
        <v>9</v>
      </c>
      <c r="S4" s="94"/>
      <c r="T4" s="150"/>
      <c r="U4" s="150"/>
      <c r="V4" s="150"/>
      <c r="W4" s="150"/>
      <c r="X4" s="150"/>
      <c r="Y4" s="150"/>
    </row>
    <row r="5" spans="1:28" ht="18" customHeight="1">
      <c r="A5" s="46" t="s">
        <v>55</v>
      </c>
      <c r="B5" s="89">
        <v>1</v>
      </c>
      <c r="C5" s="62" t="s">
        <v>56</v>
      </c>
      <c r="D5" s="63"/>
      <c r="E5" s="103"/>
      <c r="F5" s="89">
        <v>1</v>
      </c>
      <c r="G5" s="62" t="s">
        <v>56</v>
      </c>
      <c r="H5" s="63"/>
      <c r="I5" s="62"/>
      <c r="J5" s="63">
        <v>1</v>
      </c>
      <c r="K5" s="62" t="s">
        <v>56</v>
      </c>
      <c r="L5" s="126"/>
      <c r="M5" s="127"/>
      <c r="N5" s="63"/>
      <c r="O5" s="62"/>
      <c r="P5" s="63"/>
      <c r="Q5" s="63"/>
      <c r="R5" s="103"/>
      <c r="S5" s="116"/>
      <c r="T5" s="150"/>
      <c r="U5" s="150"/>
      <c r="V5" s="150"/>
      <c r="W5" s="150"/>
      <c r="X5" s="150"/>
      <c r="Y5" s="150"/>
    </row>
    <row r="6" spans="1:28" ht="18" customHeight="1">
      <c r="A6" s="46" t="s">
        <v>95</v>
      </c>
      <c r="B6" s="89">
        <v>2</v>
      </c>
      <c r="C6" s="103" t="s">
        <v>57</v>
      </c>
      <c r="D6" s="63"/>
      <c r="E6" s="103"/>
      <c r="F6" s="89">
        <v>1</v>
      </c>
      <c r="G6" s="62" t="s">
        <v>56</v>
      </c>
      <c r="H6" s="63"/>
      <c r="I6" s="62"/>
      <c r="J6" s="63">
        <v>1</v>
      </c>
      <c r="K6" s="62" t="s">
        <v>56</v>
      </c>
      <c r="L6" s="67"/>
      <c r="M6" s="65"/>
      <c r="N6" s="63"/>
      <c r="O6" s="103"/>
      <c r="P6" s="63"/>
      <c r="Q6" s="63"/>
      <c r="R6" s="103"/>
      <c r="S6" s="90"/>
      <c r="T6" s="150"/>
      <c r="U6" s="150"/>
      <c r="V6" s="150"/>
      <c r="W6" s="150"/>
      <c r="X6" s="150"/>
      <c r="Y6" s="150"/>
    </row>
    <row r="7" spans="1:28" ht="18" customHeight="1">
      <c r="A7" s="46" t="s">
        <v>58</v>
      </c>
      <c r="B7" s="89">
        <v>1</v>
      </c>
      <c r="C7" s="62" t="s">
        <v>56</v>
      </c>
      <c r="D7" s="63"/>
      <c r="E7" s="62"/>
      <c r="F7" s="89">
        <v>1</v>
      </c>
      <c r="G7" s="62" t="s">
        <v>56</v>
      </c>
      <c r="H7" s="63"/>
      <c r="I7" s="62"/>
      <c r="J7" s="63">
        <v>1</v>
      </c>
      <c r="K7" s="62" t="s">
        <v>56</v>
      </c>
      <c r="L7" s="67"/>
      <c r="M7" s="65"/>
      <c r="N7" s="63"/>
      <c r="O7" s="103"/>
      <c r="P7" s="63"/>
      <c r="Q7" s="63"/>
      <c r="R7" s="103"/>
      <c r="S7" s="90"/>
      <c r="T7" s="150"/>
      <c r="U7" s="150"/>
      <c r="V7" s="150"/>
      <c r="W7" s="150"/>
      <c r="X7" s="150"/>
      <c r="Y7" s="150"/>
    </row>
    <row r="8" spans="1:28" ht="18" customHeight="1">
      <c r="A8" s="83" t="s">
        <v>59</v>
      </c>
      <c r="B8" s="89">
        <v>1</v>
      </c>
      <c r="C8" s="62" t="s">
        <v>56</v>
      </c>
      <c r="D8" s="63"/>
      <c r="E8" s="62"/>
      <c r="F8" s="89">
        <v>1</v>
      </c>
      <c r="G8" s="62" t="s">
        <v>56</v>
      </c>
      <c r="H8" s="63"/>
      <c r="I8" s="62"/>
      <c r="J8" s="63">
        <v>1</v>
      </c>
      <c r="K8" s="62" t="s">
        <v>56</v>
      </c>
      <c r="L8" s="67"/>
      <c r="M8" s="65"/>
      <c r="N8" s="63"/>
      <c r="O8" s="62"/>
      <c r="P8" s="63"/>
      <c r="Q8" s="63"/>
      <c r="R8" s="62"/>
      <c r="S8" s="90"/>
      <c r="T8" s="150"/>
      <c r="U8" s="150"/>
      <c r="V8" s="150"/>
      <c r="W8" s="150"/>
      <c r="X8" s="150"/>
      <c r="Y8" s="150"/>
    </row>
    <row r="9" spans="1:28" ht="18" customHeight="1">
      <c r="A9" s="46" t="s">
        <v>29</v>
      </c>
      <c r="B9" s="89">
        <v>2</v>
      </c>
      <c r="C9" s="103" t="s">
        <v>57</v>
      </c>
      <c r="D9" s="63"/>
      <c r="E9" s="62"/>
      <c r="F9" s="89">
        <v>1</v>
      </c>
      <c r="G9" s="62" t="s">
        <v>56</v>
      </c>
      <c r="H9" s="63"/>
      <c r="I9" s="62"/>
      <c r="J9" s="63">
        <v>1</v>
      </c>
      <c r="K9" s="62" t="s">
        <v>56</v>
      </c>
      <c r="L9" s="67"/>
      <c r="M9" s="65"/>
      <c r="N9" s="63"/>
      <c r="O9" s="103"/>
      <c r="P9" s="63"/>
      <c r="Q9" s="63"/>
      <c r="R9" s="103"/>
      <c r="S9" s="90"/>
      <c r="T9" s="150"/>
      <c r="U9" s="150"/>
      <c r="V9" s="150"/>
      <c r="W9" s="150"/>
      <c r="X9" s="150"/>
      <c r="Y9" s="150"/>
    </row>
    <row r="10" spans="1:28" ht="18" customHeight="1">
      <c r="A10" s="46" t="s">
        <v>60</v>
      </c>
      <c r="B10" s="89">
        <v>1</v>
      </c>
      <c r="C10" s="62" t="s">
        <v>56</v>
      </c>
      <c r="D10" s="63"/>
      <c r="E10" s="62"/>
      <c r="F10" s="89">
        <v>2</v>
      </c>
      <c r="G10" s="103" t="s">
        <v>57</v>
      </c>
      <c r="H10" s="63"/>
      <c r="I10" s="62"/>
      <c r="J10" s="63">
        <v>1</v>
      </c>
      <c r="K10" s="62" t="s">
        <v>56</v>
      </c>
      <c r="L10" s="67"/>
      <c r="M10" s="65"/>
      <c r="N10" s="63"/>
      <c r="O10" s="62"/>
      <c r="P10" s="63"/>
      <c r="Q10" s="63"/>
      <c r="R10" s="62"/>
      <c r="S10" s="90"/>
      <c r="T10" s="150"/>
      <c r="U10" s="150"/>
      <c r="V10" s="150"/>
      <c r="W10" s="150"/>
      <c r="X10" s="150"/>
      <c r="Y10" s="150"/>
    </row>
    <row r="11" spans="1:28" ht="20.25">
      <c r="A11" s="46" t="s">
        <v>22</v>
      </c>
      <c r="B11" s="89">
        <v>1</v>
      </c>
      <c r="C11" s="62" t="s">
        <v>56</v>
      </c>
      <c r="D11" s="63"/>
      <c r="E11" s="62"/>
      <c r="F11" s="89">
        <v>1</v>
      </c>
      <c r="G11" s="62" t="s">
        <v>56</v>
      </c>
      <c r="H11" s="63"/>
      <c r="I11" s="62"/>
      <c r="J11" s="63">
        <v>1</v>
      </c>
      <c r="K11" s="62" t="s">
        <v>56</v>
      </c>
      <c r="L11" s="67"/>
      <c r="M11" s="65"/>
      <c r="N11" s="63"/>
      <c r="O11" s="103"/>
      <c r="P11" s="63"/>
      <c r="Q11" s="63"/>
      <c r="R11" s="62"/>
      <c r="S11" s="91"/>
      <c r="T11" s="150"/>
      <c r="U11" s="150"/>
      <c r="V11" s="150"/>
      <c r="W11" s="150"/>
      <c r="X11" s="150"/>
      <c r="Y11" s="150"/>
    </row>
    <row r="12" spans="1:28" ht="18" customHeight="1">
      <c r="A12" s="46" t="s">
        <v>23</v>
      </c>
      <c r="B12" s="89">
        <v>2</v>
      </c>
      <c r="C12" s="103" t="s">
        <v>57</v>
      </c>
      <c r="D12" s="63"/>
      <c r="E12" s="103"/>
      <c r="F12" s="89">
        <v>2</v>
      </c>
      <c r="G12" s="103" t="s">
        <v>57</v>
      </c>
      <c r="H12" s="63"/>
      <c r="I12" s="68"/>
      <c r="J12" s="63">
        <v>2</v>
      </c>
      <c r="K12" s="103" t="s">
        <v>57</v>
      </c>
      <c r="L12" s="67"/>
      <c r="M12" s="65"/>
      <c r="N12" s="63"/>
      <c r="O12" s="103"/>
      <c r="P12" s="63"/>
      <c r="Q12" s="63"/>
      <c r="R12" s="103"/>
      <c r="S12" s="92"/>
      <c r="T12" s="150"/>
      <c r="U12" s="150"/>
      <c r="V12" s="150"/>
      <c r="W12" s="150"/>
      <c r="X12" s="150"/>
      <c r="Y12" s="150"/>
      <c r="AB12" s="12"/>
    </row>
    <row r="13" spans="1:28" ht="18" customHeight="1">
      <c r="A13" s="46" t="s">
        <v>24</v>
      </c>
      <c r="B13" s="89">
        <v>2</v>
      </c>
      <c r="C13" s="103" t="s">
        <v>57</v>
      </c>
      <c r="D13" s="63"/>
      <c r="E13" s="62"/>
      <c r="F13" s="89">
        <v>1</v>
      </c>
      <c r="G13" s="62" t="s">
        <v>56</v>
      </c>
      <c r="H13" s="63"/>
      <c r="I13" s="62"/>
      <c r="J13" s="63">
        <v>1</v>
      </c>
      <c r="K13" s="62" t="s">
        <v>56</v>
      </c>
      <c r="L13" s="67"/>
      <c r="M13" s="65"/>
      <c r="N13" s="63"/>
      <c r="O13" s="62"/>
      <c r="P13" s="63"/>
      <c r="Q13" s="63"/>
      <c r="R13" s="103"/>
      <c r="S13" s="92"/>
      <c r="T13" s="150"/>
      <c r="U13" s="150"/>
      <c r="V13" s="150"/>
      <c r="W13" s="150"/>
      <c r="X13" s="150"/>
      <c r="Y13" s="150"/>
    </row>
    <row r="14" spans="1:28" ht="18" customHeight="1">
      <c r="A14" s="46" t="s">
        <v>61</v>
      </c>
      <c r="B14" s="89">
        <v>2</v>
      </c>
      <c r="C14" s="103" t="s">
        <v>57</v>
      </c>
      <c r="D14" s="63"/>
      <c r="E14" s="62"/>
      <c r="F14" s="89">
        <v>2</v>
      </c>
      <c r="G14" s="103" t="s">
        <v>57</v>
      </c>
      <c r="H14" s="63"/>
      <c r="I14" s="62"/>
      <c r="J14" s="63">
        <v>1</v>
      </c>
      <c r="K14" s="62" t="s">
        <v>56</v>
      </c>
      <c r="L14" s="67"/>
      <c r="M14" s="65"/>
      <c r="N14" s="63"/>
      <c r="O14" s="62"/>
      <c r="P14" s="63"/>
      <c r="Q14" s="63"/>
      <c r="R14" s="103"/>
      <c r="S14" s="92"/>
      <c r="T14" s="150"/>
      <c r="U14" s="150"/>
      <c r="V14" s="150"/>
      <c r="W14" s="150"/>
      <c r="X14" s="150"/>
      <c r="Y14" s="150"/>
    </row>
    <row r="15" spans="1:28" ht="18" customHeight="1">
      <c r="A15" s="46" t="s">
        <v>62</v>
      </c>
      <c r="B15" s="89">
        <v>1</v>
      </c>
      <c r="C15" s="62" t="s">
        <v>56</v>
      </c>
      <c r="D15" s="63"/>
      <c r="E15" s="62"/>
      <c r="F15" s="89">
        <v>2</v>
      </c>
      <c r="G15" s="103" t="s">
        <v>57</v>
      </c>
      <c r="H15" s="63"/>
      <c r="I15" s="62"/>
      <c r="J15" s="63">
        <v>1</v>
      </c>
      <c r="K15" s="62" t="s">
        <v>56</v>
      </c>
      <c r="L15" s="67"/>
      <c r="M15" s="65"/>
      <c r="N15" s="63"/>
      <c r="O15" s="62"/>
      <c r="P15" s="63"/>
      <c r="Q15" s="63"/>
      <c r="R15" s="103"/>
      <c r="S15" s="92"/>
      <c r="T15" s="150"/>
      <c r="U15" s="150"/>
      <c r="V15" s="150"/>
      <c r="W15" s="150"/>
      <c r="X15" s="150"/>
      <c r="Y15" s="150"/>
    </row>
    <row r="16" spans="1:28" ht="18" customHeight="1">
      <c r="A16" s="46" t="s">
        <v>63</v>
      </c>
      <c r="B16" s="89">
        <v>2</v>
      </c>
      <c r="C16" s="103" t="s">
        <v>57</v>
      </c>
      <c r="D16" s="63"/>
      <c r="E16" s="62"/>
      <c r="F16" s="89">
        <v>1</v>
      </c>
      <c r="G16" s="62" t="s">
        <v>56</v>
      </c>
      <c r="H16" s="63"/>
      <c r="I16" s="62"/>
      <c r="J16" s="63">
        <v>1</v>
      </c>
      <c r="K16" s="62" t="s">
        <v>56</v>
      </c>
      <c r="L16" s="67"/>
      <c r="M16" s="65"/>
      <c r="N16" s="63"/>
      <c r="O16" s="62"/>
      <c r="P16" s="63"/>
      <c r="Q16" s="63"/>
      <c r="R16" s="103"/>
      <c r="S16" s="92"/>
      <c r="T16" s="150"/>
      <c r="U16" s="150"/>
      <c r="V16" s="150"/>
      <c r="W16" s="150"/>
      <c r="X16" s="150"/>
      <c r="Y16" s="150"/>
    </row>
    <row r="17" spans="1:25" ht="18.75" customHeight="1">
      <c r="A17" s="46" t="s">
        <v>25</v>
      </c>
      <c r="B17" s="89">
        <v>1</v>
      </c>
      <c r="C17" s="62" t="s">
        <v>56</v>
      </c>
      <c r="D17" s="63"/>
      <c r="E17" s="62"/>
      <c r="F17" s="89">
        <v>1</v>
      </c>
      <c r="G17" s="62" t="s">
        <v>56</v>
      </c>
      <c r="H17" s="63"/>
      <c r="I17" s="68"/>
      <c r="J17" s="63">
        <v>1</v>
      </c>
      <c r="K17" s="62" t="s">
        <v>56</v>
      </c>
      <c r="L17" s="67"/>
      <c r="M17" s="65"/>
      <c r="N17" s="63"/>
      <c r="O17" s="62"/>
      <c r="P17" s="63"/>
      <c r="Q17" s="63"/>
      <c r="R17" s="103"/>
      <c r="S17" s="92"/>
      <c r="T17" s="150"/>
      <c r="U17" s="150"/>
      <c r="V17" s="150"/>
      <c r="W17" s="150"/>
      <c r="X17" s="150"/>
      <c r="Y17" s="150"/>
    </row>
    <row r="18" spans="1:25" ht="17.25" customHeight="1">
      <c r="A18" s="46" t="s">
        <v>64</v>
      </c>
      <c r="B18" s="89">
        <v>1</v>
      </c>
      <c r="C18" s="62" t="s">
        <v>56</v>
      </c>
      <c r="D18" s="63"/>
      <c r="E18" s="62"/>
      <c r="F18" s="89">
        <v>2</v>
      </c>
      <c r="G18" s="103" t="s">
        <v>57</v>
      </c>
      <c r="H18" s="63"/>
      <c r="I18" s="62"/>
      <c r="J18" s="63">
        <v>1</v>
      </c>
      <c r="K18" s="62" t="s">
        <v>56</v>
      </c>
      <c r="L18" s="67"/>
      <c r="M18" s="65"/>
      <c r="N18" s="63"/>
      <c r="O18" s="62"/>
      <c r="P18" s="63"/>
      <c r="Q18" s="63"/>
      <c r="R18" s="103"/>
      <c r="S18" s="92"/>
      <c r="T18" s="150"/>
      <c r="U18" s="150"/>
      <c r="V18" s="150"/>
      <c r="W18" s="150"/>
      <c r="X18" s="150"/>
      <c r="Y18" s="150"/>
    </row>
    <row r="19" spans="1:25" ht="18" customHeight="1">
      <c r="A19" s="46" t="s">
        <v>96</v>
      </c>
      <c r="B19" s="89">
        <v>1</v>
      </c>
      <c r="C19" s="62" t="s">
        <v>56</v>
      </c>
      <c r="D19" s="63"/>
      <c r="E19" s="103"/>
      <c r="F19" s="89">
        <v>1</v>
      </c>
      <c r="G19" s="62" t="s">
        <v>56</v>
      </c>
      <c r="H19" s="63"/>
      <c r="I19" s="62"/>
      <c r="J19" s="63">
        <v>1</v>
      </c>
      <c r="K19" s="62" t="s">
        <v>56</v>
      </c>
      <c r="L19" s="67"/>
      <c r="M19" s="65"/>
      <c r="N19" s="63"/>
      <c r="O19" s="62"/>
      <c r="P19" s="63"/>
      <c r="Q19" s="63"/>
      <c r="R19" s="103"/>
      <c r="S19" s="92"/>
      <c r="T19" s="150"/>
      <c r="U19" s="150"/>
      <c r="V19" s="150"/>
      <c r="W19" s="150"/>
      <c r="X19" s="150"/>
      <c r="Y19" s="150"/>
    </row>
    <row r="20" spans="1:25" ht="18" customHeight="1">
      <c r="A20" s="46" t="s">
        <v>26</v>
      </c>
      <c r="B20" s="89">
        <v>1</v>
      </c>
      <c r="C20" s="62" t="s">
        <v>56</v>
      </c>
      <c r="D20" s="63"/>
      <c r="E20" s="62"/>
      <c r="F20" s="89">
        <v>1</v>
      </c>
      <c r="G20" s="62" t="s">
        <v>56</v>
      </c>
      <c r="H20" s="63"/>
      <c r="I20" s="68"/>
      <c r="J20" s="63">
        <v>1</v>
      </c>
      <c r="K20" s="62" t="s">
        <v>56</v>
      </c>
      <c r="L20" s="67"/>
      <c r="M20" s="65"/>
      <c r="N20" s="63"/>
      <c r="O20" s="62"/>
      <c r="P20" s="63"/>
      <c r="Q20" s="63"/>
      <c r="R20" s="103"/>
      <c r="S20" s="92"/>
      <c r="T20" s="150"/>
      <c r="U20" s="150"/>
      <c r="V20" s="150"/>
      <c r="W20" s="150"/>
      <c r="X20" s="150"/>
      <c r="Y20" s="150"/>
    </row>
    <row r="21" spans="1:25" ht="18.75" customHeight="1">
      <c r="A21" s="46" t="s">
        <v>65</v>
      </c>
      <c r="B21" s="89">
        <v>1</v>
      </c>
      <c r="C21" s="62" t="s">
        <v>56</v>
      </c>
      <c r="D21" s="63"/>
      <c r="E21" s="62"/>
      <c r="F21" s="89">
        <v>1</v>
      </c>
      <c r="G21" s="62" t="s">
        <v>56</v>
      </c>
      <c r="H21" s="63"/>
      <c r="I21" s="62"/>
      <c r="J21" s="63">
        <v>1</v>
      </c>
      <c r="K21" s="62" t="s">
        <v>56</v>
      </c>
      <c r="L21" s="64"/>
      <c r="M21" s="64"/>
      <c r="N21" s="63"/>
      <c r="O21" s="62"/>
      <c r="P21" s="63"/>
      <c r="Q21" s="63"/>
      <c r="R21" s="62"/>
      <c r="S21" s="92"/>
      <c r="T21" s="150"/>
      <c r="U21" s="150"/>
      <c r="V21" s="150"/>
      <c r="W21" s="150"/>
      <c r="X21" s="150"/>
      <c r="Y21" s="150"/>
    </row>
    <row r="22" spans="1:25" ht="18" customHeight="1">
      <c r="A22" s="46" t="s">
        <v>53</v>
      </c>
      <c r="B22" s="89">
        <v>2</v>
      </c>
      <c r="C22" s="103" t="s">
        <v>57</v>
      </c>
      <c r="D22" s="63"/>
      <c r="E22" s="62"/>
      <c r="F22" s="89">
        <v>2</v>
      </c>
      <c r="G22" s="103" t="s">
        <v>57</v>
      </c>
      <c r="H22" s="63"/>
      <c r="I22" s="62"/>
      <c r="J22" s="63">
        <v>1</v>
      </c>
      <c r="K22" s="62" t="s">
        <v>56</v>
      </c>
      <c r="L22" s="67"/>
      <c r="M22" s="65"/>
      <c r="N22" s="63"/>
      <c r="O22" s="62"/>
      <c r="P22" s="63"/>
      <c r="Q22" s="63"/>
      <c r="R22" s="62"/>
      <c r="S22" s="92"/>
      <c r="T22" s="150"/>
      <c r="U22" s="150"/>
      <c r="V22" s="150"/>
      <c r="W22" s="150"/>
      <c r="X22" s="150"/>
      <c r="Y22" s="150"/>
    </row>
    <row r="23" spans="1:25" ht="20.25">
      <c r="A23" s="46" t="s">
        <v>66</v>
      </c>
      <c r="B23" s="89">
        <v>1</v>
      </c>
      <c r="C23" s="62" t="s">
        <v>56</v>
      </c>
      <c r="D23" s="63"/>
      <c r="E23" s="62"/>
      <c r="F23" s="89">
        <v>1</v>
      </c>
      <c r="G23" s="62" t="s">
        <v>56</v>
      </c>
      <c r="H23" s="63"/>
      <c r="I23" s="62"/>
      <c r="J23" s="63">
        <v>1</v>
      </c>
      <c r="K23" s="62" t="s">
        <v>56</v>
      </c>
      <c r="L23" s="67"/>
      <c r="M23" s="65"/>
      <c r="N23" s="63"/>
      <c r="O23" s="62"/>
      <c r="P23" s="63"/>
      <c r="Q23" s="63"/>
      <c r="R23" s="103"/>
      <c r="S23" s="92"/>
      <c r="T23" s="150"/>
      <c r="U23" s="150"/>
      <c r="V23" s="150"/>
      <c r="W23" s="150"/>
      <c r="X23" s="150"/>
      <c r="Y23" s="150"/>
    </row>
    <row r="24" spans="1:25" ht="18" customHeight="1" thickBot="1">
      <c r="A24" s="46" t="s">
        <v>67</v>
      </c>
      <c r="B24" s="89">
        <v>1</v>
      </c>
      <c r="C24" s="62" t="s">
        <v>56</v>
      </c>
      <c r="D24" s="63"/>
      <c r="E24" s="62"/>
      <c r="F24" s="89">
        <v>1</v>
      </c>
      <c r="G24" s="62" t="s">
        <v>56</v>
      </c>
      <c r="H24" s="63"/>
      <c r="I24" s="68"/>
      <c r="J24" s="63">
        <v>1</v>
      </c>
      <c r="K24" s="62" t="s">
        <v>56</v>
      </c>
      <c r="L24" s="67"/>
      <c r="M24" s="65"/>
      <c r="N24" s="63"/>
      <c r="O24" s="62"/>
      <c r="P24" s="63"/>
      <c r="Q24" s="66"/>
      <c r="R24" s="103"/>
      <c r="S24" s="92"/>
      <c r="T24" s="150"/>
      <c r="U24" s="150"/>
      <c r="V24" s="150"/>
      <c r="W24" s="150"/>
      <c r="X24" s="150"/>
      <c r="Y24" s="150"/>
    </row>
    <row r="25" spans="1:25" ht="16.5" thickBot="1">
      <c r="A25" s="38" t="s">
        <v>13</v>
      </c>
      <c r="B25" s="99">
        <v>13</v>
      </c>
      <c r="C25" s="97" t="s">
        <v>50</v>
      </c>
      <c r="D25" s="99"/>
      <c r="E25" s="97"/>
      <c r="F25" s="99">
        <v>14</v>
      </c>
      <c r="G25" s="97" t="s">
        <v>50</v>
      </c>
      <c r="H25" s="101"/>
      <c r="I25" s="102"/>
      <c r="J25" s="99">
        <v>19</v>
      </c>
      <c r="K25" s="96" t="s">
        <v>50</v>
      </c>
      <c r="L25" s="86"/>
      <c r="M25" s="95"/>
      <c r="N25" s="99"/>
      <c r="O25" s="97" t="s">
        <v>50</v>
      </c>
      <c r="P25" s="99"/>
      <c r="Q25" s="99"/>
      <c r="R25" s="98" t="s">
        <v>50</v>
      </c>
      <c r="S25" s="87"/>
      <c r="V25" s="12"/>
      <c r="W25" s="12"/>
    </row>
    <row r="26" spans="1:25" ht="16.5" thickBot="1">
      <c r="A26" s="39" t="s">
        <v>14</v>
      </c>
      <c r="B26" s="99">
        <v>7</v>
      </c>
      <c r="C26" s="97" t="s">
        <v>51</v>
      </c>
      <c r="D26" s="99"/>
      <c r="E26" s="97"/>
      <c r="F26" s="99">
        <v>6</v>
      </c>
      <c r="G26" s="97" t="s">
        <v>51</v>
      </c>
      <c r="H26" s="101"/>
      <c r="I26" s="97"/>
      <c r="J26" s="99">
        <v>1</v>
      </c>
      <c r="K26" s="96" t="s">
        <v>51</v>
      </c>
      <c r="L26" s="86"/>
      <c r="M26" s="95"/>
      <c r="N26" s="99"/>
      <c r="O26" s="97" t="s">
        <v>51</v>
      </c>
      <c r="P26" s="99"/>
      <c r="Q26" s="99"/>
      <c r="R26" s="96" t="s">
        <v>51</v>
      </c>
      <c r="S26" s="87"/>
      <c r="V26" s="12"/>
      <c r="W26" s="12"/>
    </row>
    <row r="27" spans="1:25" ht="19.5" customHeight="1">
      <c r="A27"/>
      <c r="B27" s="53"/>
      <c r="C27" s="72"/>
      <c r="D27" s="72"/>
      <c r="E27" s="72"/>
      <c r="F27" s="53"/>
      <c r="G27" s="53"/>
      <c r="H27" s="53"/>
      <c r="I27" s="6"/>
      <c r="J27" s="6"/>
      <c r="K27" s="6"/>
      <c r="L27" s="6"/>
      <c r="M27" s="6"/>
      <c r="N27" s="6"/>
      <c r="O27" s="6"/>
      <c r="P27" s="6"/>
      <c r="Q27" s="6"/>
      <c r="R27" s="6"/>
      <c r="S27" s="53"/>
      <c r="V27" s="12"/>
      <c r="W27" s="12"/>
    </row>
    <row r="28" spans="1:25" ht="15.75">
      <c r="A28"/>
      <c r="C28" s="73"/>
      <c r="D28" s="73"/>
      <c r="E28" s="73"/>
      <c r="I28" s="6"/>
      <c r="K28" s="6"/>
      <c r="M28" s="6"/>
      <c r="O28" s="6"/>
      <c r="R28" s="6"/>
      <c r="S28" s="6"/>
      <c r="V28" s="12"/>
      <c r="W28" s="12"/>
    </row>
    <row r="29" spans="1:25" ht="18.75">
      <c r="A29" s="33" t="s">
        <v>15</v>
      </c>
      <c r="B29" s="33"/>
      <c r="C29" s="74"/>
      <c r="D29" s="74"/>
      <c r="E29" s="74"/>
      <c r="F29" s="33"/>
      <c r="G29" s="33"/>
      <c r="H29" s="33"/>
      <c r="I29" s="33"/>
      <c r="R29" s="33"/>
      <c r="V29" s="12"/>
      <c r="W29" s="12"/>
    </row>
    <row r="30" spans="1:25" ht="15.75">
      <c r="A30" s="7" t="s">
        <v>37</v>
      </c>
      <c r="V30" s="12"/>
      <c r="W30" s="12"/>
    </row>
    <row r="31" spans="1:25" ht="18">
      <c r="A31" s="34" t="s">
        <v>95</v>
      </c>
      <c r="V31" s="12"/>
      <c r="W31" s="12"/>
    </row>
    <row r="32" spans="1:25" ht="18">
      <c r="A32" s="34" t="s">
        <v>63</v>
      </c>
      <c r="V32" s="12"/>
      <c r="W32" s="12"/>
    </row>
    <row r="33" spans="1:23" ht="18">
      <c r="A33" s="34" t="s">
        <v>61</v>
      </c>
      <c r="V33" s="12"/>
      <c r="W33" s="12"/>
    </row>
    <row r="34" spans="1:23" ht="18">
      <c r="A34" s="34" t="s">
        <v>29</v>
      </c>
      <c r="V34" s="12"/>
      <c r="W34" s="12"/>
    </row>
    <row r="35" spans="1:23" ht="18">
      <c r="A35" s="34"/>
      <c r="V35" s="32"/>
      <c r="W35" s="12"/>
    </row>
    <row r="36" spans="1:23" ht="18">
      <c r="A36" s="34"/>
      <c r="V36" s="1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5.75">
      <c r="A39" s="7" t="s">
        <v>91</v>
      </c>
      <c r="V39" s="12"/>
      <c r="W39" s="12"/>
    </row>
    <row r="40" spans="1:23" ht="18">
      <c r="A40" s="34" t="s">
        <v>61</v>
      </c>
      <c r="V40" s="12"/>
      <c r="W40" s="12"/>
    </row>
    <row r="41" spans="1:23" ht="18">
      <c r="A41" s="34" t="s">
        <v>62</v>
      </c>
      <c r="V41" s="12"/>
      <c r="W41" s="12"/>
    </row>
    <row r="42" spans="1:23" ht="18">
      <c r="A42" s="34" t="s">
        <v>64</v>
      </c>
      <c r="V42" s="12"/>
      <c r="W42" s="12"/>
    </row>
    <row r="43" spans="1:23" ht="18">
      <c r="A43" s="34" t="s">
        <v>53</v>
      </c>
      <c r="V43" s="12"/>
      <c r="W43" s="12"/>
    </row>
    <row r="44" spans="1:23" ht="18">
      <c r="A44" s="34"/>
      <c r="B44" s="7"/>
      <c r="V44" s="12"/>
      <c r="W44" s="32"/>
    </row>
    <row r="45" spans="1:23" ht="18">
      <c r="A45" s="34"/>
      <c r="W45" s="1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M48"/>
      <c r="W48" s="12"/>
    </row>
    <row r="49" spans="1:23" ht="15.75">
      <c r="A49" s="5" t="s">
        <v>36</v>
      </c>
      <c r="M49"/>
      <c r="W49" s="12"/>
    </row>
    <row r="50" spans="1:23" ht="18">
      <c r="A50" s="34"/>
    </row>
    <row r="51" spans="1:23" ht="18">
      <c r="A51" s="34"/>
    </row>
    <row r="52" spans="1:23" ht="18">
      <c r="A52" s="34"/>
    </row>
    <row r="53" spans="1:23" ht="18">
      <c r="A53" s="34"/>
    </row>
    <row r="54" spans="1:23" ht="18">
      <c r="A54" s="34"/>
    </row>
    <row r="55" spans="1:23" ht="18">
      <c r="A55" s="34"/>
    </row>
    <row r="56" spans="1:23" ht="18">
      <c r="A56" s="34"/>
    </row>
    <row r="57" spans="1:23" ht="18">
      <c r="A57" s="34"/>
    </row>
    <row r="59" spans="1:23" ht="18">
      <c r="A59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5.75">
      <c r="A68" s="7"/>
    </row>
    <row r="69" spans="1:1" ht="18">
      <c r="A69" s="34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</sheetData>
  <mergeCells count="2">
    <mergeCell ref="B1:M3"/>
    <mergeCell ref="T1:Y24"/>
  </mergeCells>
  <dataValidations count="2">
    <dataValidation type="custom" allowBlank="1" showInputMessage="1" showErrorMessage="1" sqref="A69:A77 A59:A67" xr:uid="{201F3B03-C924-4B48-A5BC-AE6429F789F2}">
      <formula1>"a5:a25"</formula1>
    </dataValidation>
    <dataValidation type="list" allowBlank="1" showInputMessage="1" showErrorMessage="1" sqref="A31:A38 A50:A57 A40:A48" xr:uid="{B252DB4A-E8B6-4617-B61D-95E734AD4288}">
      <formula1>$A$5:$A$24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E39"/>
  <sheetViews>
    <sheetView workbookViewId="0">
      <pane xSplit="1" topLeftCell="B1" activePane="topRight" state="frozen"/>
      <selection pane="topRight" activeCell="R5" sqref="R5"/>
    </sheetView>
  </sheetViews>
  <sheetFormatPr defaultColWidth="9.140625" defaultRowHeight="12.75"/>
  <cols>
    <col min="1" max="1" width="47.7109375" style="22" customWidth="1"/>
    <col min="2" max="13" width="23.7109375" style="22" customWidth="1"/>
    <col min="14" max="14" width="19" style="22" customWidth="1"/>
    <col min="15" max="15" width="26.28515625" style="22" customWidth="1"/>
    <col min="16" max="16" width="22.140625" style="22" customWidth="1"/>
    <col min="17" max="31" width="22.7109375" style="22" customWidth="1"/>
    <col min="32" max="16384" width="9.140625" style="22"/>
  </cols>
  <sheetData>
    <row r="1" spans="1:31" ht="15">
      <c r="A1" s="77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</row>
    <row r="2" spans="1:31" ht="15">
      <c r="A2" s="77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</row>
    <row r="3" spans="1:31" ht="17.25" customHeight="1">
      <c r="A3" s="77" t="s">
        <v>105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31" ht="63" customHeight="1">
      <c r="A4" s="51" t="str">
        <f>'[1]MOÇÃO E REQUERIMENTO'!B7</f>
        <v>EXPEDIENTE</v>
      </c>
      <c r="B4" s="50" t="s">
        <v>49</v>
      </c>
      <c r="C4" s="118" t="s">
        <v>107</v>
      </c>
      <c r="D4" s="118" t="s">
        <v>108</v>
      </c>
      <c r="E4" s="118" t="s">
        <v>109</v>
      </c>
      <c r="F4" s="118" t="s">
        <v>110</v>
      </c>
      <c r="G4" s="118" t="s">
        <v>111</v>
      </c>
      <c r="H4" s="118" t="s">
        <v>112</v>
      </c>
      <c r="I4" s="118" t="s">
        <v>113</v>
      </c>
      <c r="J4" s="118" t="s">
        <v>114</v>
      </c>
      <c r="K4" s="118" t="s">
        <v>115</v>
      </c>
      <c r="L4" s="118" t="s">
        <v>116</v>
      </c>
      <c r="M4" s="118" t="s">
        <v>117</v>
      </c>
      <c r="N4" s="113" t="s">
        <v>35</v>
      </c>
      <c r="O4" s="125"/>
      <c r="P4" s="50" t="s">
        <v>28</v>
      </c>
      <c r="Q4" s="85" t="s">
        <v>106</v>
      </c>
      <c r="R4" s="85" t="s">
        <v>118</v>
      </c>
      <c r="S4" s="85" t="s">
        <v>101</v>
      </c>
      <c r="T4" s="85" t="s">
        <v>119</v>
      </c>
      <c r="U4" s="85" t="s">
        <v>102</v>
      </c>
      <c r="V4" s="69" t="s">
        <v>120</v>
      </c>
      <c r="W4" s="69" t="s">
        <v>121</v>
      </c>
      <c r="X4" s="69" t="s">
        <v>122</v>
      </c>
      <c r="Y4" s="69" t="s">
        <v>123</v>
      </c>
      <c r="Z4" s="69" t="s">
        <v>124</v>
      </c>
      <c r="AA4" s="69" t="s">
        <v>125</v>
      </c>
      <c r="AB4" s="69" t="s">
        <v>126</v>
      </c>
      <c r="AC4" s="69" t="s">
        <v>128</v>
      </c>
      <c r="AD4" s="69" t="s">
        <v>129</v>
      </c>
      <c r="AE4" s="69" t="s">
        <v>130</v>
      </c>
    </row>
    <row r="5" spans="1:31" s="59" customFormat="1" ht="48" customHeight="1">
      <c r="A5" s="57" t="s">
        <v>46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114"/>
      <c r="Q5" s="119" t="s">
        <v>94</v>
      </c>
      <c r="R5" s="114" t="s">
        <v>93</v>
      </c>
      <c r="S5" s="119" t="s">
        <v>94</v>
      </c>
      <c r="T5" s="119" t="s">
        <v>94</v>
      </c>
      <c r="U5" s="119" t="s">
        <v>94</v>
      </c>
      <c r="V5" s="114" t="s">
        <v>93</v>
      </c>
      <c r="W5" s="114" t="s">
        <v>93</v>
      </c>
      <c r="X5" s="114" t="s">
        <v>93</v>
      </c>
      <c r="Y5" s="114" t="s">
        <v>93</v>
      </c>
      <c r="Z5" s="114" t="s">
        <v>93</v>
      </c>
      <c r="AA5" s="119" t="s">
        <v>94</v>
      </c>
      <c r="AB5" s="144" t="s">
        <v>127</v>
      </c>
      <c r="AC5" s="114" t="s">
        <v>93</v>
      </c>
      <c r="AD5" s="114" t="s">
        <v>93</v>
      </c>
      <c r="AE5" s="114" t="s">
        <v>93</v>
      </c>
    </row>
    <row r="6" spans="1:31" ht="15.75">
      <c r="A6" s="128" t="s">
        <v>55</v>
      </c>
      <c r="P6" s="23"/>
    </row>
    <row r="7" spans="1:31" ht="15.75">
      <c r="A7" s="128" t="s">
        <v>95</v>
      </c>
      <c r="P7" s="23"/>
    </row>
    <row r="8" spans="1:31" ht="15.75">
      <c r="A8" s="128" t="s">
        <v>58</v>
      </c>
      <c r="P8" s="23"/>
    </row>
    <row r="9" spans="1:31" ht="15.75">
      <c r="A9" s="129" t="s">
        <v>59</v>
      </c>
      <c r="P9" s="23"/>
    </row>
    <row r="10" spans="1:31" ht="15.75">
      <c r="A10" s="128" t="s">
        <v>29</v>
      </c>
      <c r="P10" s="23"/>
    </row>
    <row r="11" spans="1:31" ht="15.75">
      <c r="A11" s="128" t="s">
        <v>60</v>
      </c>
      <c r="P11" s="23"/>
    </row>
    <row r="12" spans="1:31" ht="15.75">
      <c r="A12" s="128" t="s">
        <v>22</v>
      </c>
      <c r="P12" s="23"/>
    </row>
    <row r="13" spans="1:31" ht="15.75">
      <c r="A13" s="128" t="s">
        <v>23</v>
      </c>
      <c r="P13" s="23"/>
    </row>
    <row r="14" spans="1:31" ht="15.75">
      <c r="A14" s="128" t="s">
        <v>24</v>
      </c>
      <c r="P14" s="23"/>
    </row>
    <row r="15" spans="1:31" ht="15.75">
      <c r="A15" s="128" t="s">
        <v>61</v>
      </c>
      <c r="P15" s="23"/>
    </row>
    <row r="16" spans="1:31" ht="15.75">
      <c r="A16" s="128" t="s">
        <v>62</v>
      </c>
      <c r="P16" s="23"/>
    </row>
    <row r="17" spans="1:16" ht="15.75">
      <c r="A17" s="128" t="s">
        <v>63</v>
      </c>
      <c r="P17" s="23"/>
    </row>
    <row r="18" spans="1:16" ht="15.75">
      <c r="A18" s="128" t="s">
        <v>25</v>
      </c>
      <c r="P18" s="23"/>
    </row>
    <row r="19" spans="1:16" ht="15.75">
      <c r="A19" s="128" t="s">
        <v>64</v>
      </c>
      <c r="P19" s="23"/>
    </row>
    <row r="20" spans="1:16" ht="15.75">
      <c r="A20" s="128" t="s">
        <v>96</v>
      </c>
      <c r="P20" s="23"/>
    </row>
    <row r="21" spans="1:16" ht="15.75">
      <c r="A21" s="128" t="s">
        <v>26</v>
      </c>
      <c r="P21" s="23"/>
    </row>
    <row r="22" spans="1:16" ht="15.75">
      <c r="A22" s="128" t="s">
        <v>65</v>
      </c>
      <c r="P22" s="23"/>
    </row>
    <row r="23" spans="1:16" ht="15.75">
      <c r="A23" s="128" t="s">
        <v>27</v>
      </c>
      <c r="P23" s="23"/>
    </row>
    <row r="24" spans="1:16" ht="15.75">
      <c r="A24" s="128" t="s">
        <v>53</v>
      </c>
      <c r="P24" s="23"/>
    </row>
    <row r="25" spans="1:16" ht="15.75">
      <c r="A25" s="128" t="s">
        <v>66</v>
      </c>
      <c r="P25" s="23"/>
    </row>
    <row r="26" spans="1:16" ht="15.75">
      <c r="A26" s="128" t="s">
        <v>67</v>
      </c>
      <c r="P26" s="23"/>
    </row>
    <row r="27" spans="1:16" s="25" customFormat="1">
      <c r="A27" s="24" t="s">
        <v>18</v>
      </c>
    </row>
    <row r="28" spans="1:16" s="27" customFormat="1">
      <c r="A28" s="26" t="s">
        <v>19</v>
      </c>
    </row>
    <row r="29" spans="1:16">
      <c r="A29" s="28" t="s">
        <v>11</v>
      </c>
    </row>
    <row r="30" spans="1:16" s="30" customFormat="1">
      <c r="A30" s="29" t="s">
        <v>20</v>
      </c>
    </row>
    <row r="32" spans="1:16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47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6"/>
  <sheetViews>
    <sheetView zoomScale="80" zoomScaleNormal="80" workbookViewId="0">
      <pane xSplit="1" topLeftCell="B1" activePane="topRight" state="frozen"/>
      <selection activeCell="A4" sqref="A4"/>
      <selection pane="topRight" activeCell="F6" sqref="F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7" t="s">
        <v>8</v>
      </c>
      <c r="B1" s="49"/>
      <c r="C1" s="75"/>
    </row>
    <row r="2" spans="1:46" ht="18" customHeight="1">
      <c r="A2" s="77" t="s">
        <v>103</v>
      </c>
      <c r="B2" s="49"/>
      <c r="C2" s="75"/>
    </row>
    <row r="3" spans="1:46" ht="17.25" customHeight="1">
      <c r="A3" s="77" t="s">
        <v>105</v>
      </c>
      <c r="B3" s="49"/>
      <c r="C3" s="75"/>
      <c r="E3" s="117"/>
      <c r="F3" s="117"/>
    </row>
    <row r="4" spans="1:46" ht="90.75" customHeight="1" thickBot="1">
      <c r="A4" s="52" t="s">
        <v>5</v>
      </c>
      <c r="B4" s="109" t="s">
        <v>32</v>
      </c>
      <c r="C4" s="140" t="s">
        <v>131</v>
      </c>
      <c r="D4" s="110" t="s">
        <v>6</v>
      </c>
      <c r="E4" s="143" t="s">
        <v>134</v>
      </c>
      <c r="F4" s="143" t="s">
        <v>135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2" customFormat="1" ht="48" customHeight="1">
      <c r="A5" s="100" t="s">
        <v>38</v>
      </c>
      <c r="B5" s="79"/>
      <c r="C5" s="114" t="s">
        <v>133</v>
      </c>
      <c r="D5" s="80"/>
      <c r="E5" s="114" t="s">
        <v>99</v>
      </c>
      <c r="F5" s="114" t="s">
        <v>97</v>
      </c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</row>
    <row r="6" spans="1:46" ht="20.25">
      <c r="A6" s="46" t="s">
        <v>55</v>
      </c>
      <c r="C6" s="108" t="s">
        <v>98</v>
      </c>
      <c r="E6" s="108"/>
      <c r="F6" s="108" t="s">
        <v>98</v>
      </c>
    </row>
    <row r="7" spans="1:46" ht="20.25">
      <c r="A7" s="46" t="s">
        <v>95</v>
      </c>
      <c r="C7" s="108" t="s">
        <v>98</v>
      </c>
      <c r="E7" s="108"/>
      <c r="F7" s="108" t="s">
        <v>98</v>
      </c>
    </row>
    <row r="8" spans="1:46" ht="20.25">
      <c r="A8" s="46" t="s">
        <v>58</v>
      </c>
      <c r="C8" s="108" t="s">
        <v>98</v>
      </c>
      <c r="E8" s="108"/>
      <c r="F8" s="108" t="s">
        <v>98</v>
      </c>
    </row>
    <row r="9" spans="1:46" ht="20.25">
      <c r="A9" s="83" t="s">
        <v>59</v>
      </c>
      <c r="C9" s="115" t="s">
        <v>100</v>
      </c>
      <c r="E9" s="115"/>
      <c r="F9" s="115" t="s">
        <v>100</v>
      </c>
    </row>
    <row r="10" spans="1:46" ht="20.25">
      <c r="A10" s="46" t="s">
        <v>29</v>
      </c>
      <c r="C10" s="108" t="s">
        <v>98</v>
      </c>
      <c r="E10" s="108"/>
      <c r="F10" s="108" t="s">
        <v>98</v>
      </c>
    </row>
    <row r="11" spans="1:46" ht="20.25">
      <c r="A11" s="46" t="s">
        <v>60</v>
      </c>
      <c r="C11" s="108" t="s">
        <v>98</v>
      </c>
      <c r="E11" s="115"/>
      <c r="F11" s="108" t="s">
        <v>98</v>
      </c>
    </row>
    <row r="12" spans="1:46" ht="20.25">
      <c r="A12" s="46" t="s">
        <v>22</v>
      </c>
      <c r="C12" s="108" t="s">
        <v>98</v>
      </c>
      <c r="E12" s="108"/>
      <c r="F12" s="108" t="s">
        <v>98</v>
      </c>
    </row>
    <row r="13" spans="1:46" ht="20.25">
      <c r="A13" s="46" t="s">
        <v>23</v>
      </c>
      <c r="C13" s="115" t="s">
        <v>57</v>
      </c>
      <c r="E13" s="108"/>
      <c r="F13" s="115" t="s">
        <v>57</v>
      </c>
    </row>
    <row r="14" spans="1:46" ht="20.25">
      <c r="A14" s="46" t="s">
        <v>24</v>
      </c>
      <c r="C14" s="108" t="s">
        <v>98</v>
      </c>
      <c r="E14" s="108"/>
      <c r="F14" s="108" t="s">
        <v>98</v>
      </c>
    </row>
    <row r="15" spans="1:46" ht="20.25">
      <c r="A15" s="46" t="s">
        <v>61</v>
      </c>
      <c r="C15" s="108" t="s">
        <v>98</v>
      </c>
      <c r="E15" s="108"/>
      <c r="F15" s="108" t="s">
        <v>98</v>
      </c>
    </row>
    <row r="16" spans="1:46" ht="20.25">
      <c r="A16" s="46" t="s">
        <v>62</v>
      </c>
      <c r="C16" s="108" t="s">
        <v>98</v>
      </c>
      <c r="E16" s="108"/>
      <c r="F16" s="108" t="s">
        <v>98</v>
      </c>
    </row>
    <row r="17" spans="1:131" ht="20.25">
      <c r="A17" s="46" t="s">
        <v>63</v>
      </c>
      <c r="C17" s="145" t="s">
        <v>132</v>
      </c>
      <c r="E17" s="108"/>
      <c r="F17" s="108" t="s">
        <v>98</v>
      </c>
    </row>
    <row r="18" spans="1:131" ht="20.25">
      <c r="A18" s="46" t="s">
        <v>25</v>
      </c>
      <c r="C18" s="108" t="s">
        <v>98</v>
      </c>
      <c r="E18" s="115"/>
      <c r="F18" s="108" t="s">
        <v>98</v>
      </c>
    </row>
    <row r="19" spans="1:131" ht="20.25">
      <c r="A19" s="46" t="s">
        <v>64</v>
      </c>
      <c r="C19" s="108" t="s">
        <v>98</v>
      </c>
      <c r="E19" s="108"/>
      <c r="F19" s="108" t="s">
        <v>98</v>
      </c>
    </row>
    <row r="20" spans="1:131" ht="20.25">
      <c r="A20" s="46" t="s">
        <v>96</v>
      </c>
      <c r="C20" s="108" t="s">
        <v>98</v>
      </c>
      <c r="E20" s="108"/>
      <c r="F20" s="108" t="s">
        <v>98</v>
      </c>
    </row>
    <row r="21" spans="1:131" ht="20.25">
      <c r="A21" s="46" t="s">
        <v>26</v>
      </c>
      <c r="C21" s="108" t="s">
        <v>98</v>
      </c>
      <c r="E21" s="108"/>
      <c r="F21" s="108" t="s">
        <v>98</v>
      </c>
    </row>
    <row r="22" spans="1:131" ht="20.25">
      <c r="A22" s="46" t="s">
        <v>65</v>
      </c>
      <c r="C22" s="108" t="s">
        <v>98</v>
      </c>
      <c r="E22" s="108"/>
      <c r="F22" s="108" t="s">
        <v>98</v>
      </c>
    </row>
    <row r="23" spans="1:131" ht="20.25">
      <c r="A23" s="46" t="s">
        <v>53</v>
      </c>
      <c r="C23" s="108" t="s">
        <v>98</v>
      </c>
      <c r="E23" s="108"/>
      <c r="F23" s="108" t="s">
        <v>98</v>
      </c>
    </row>
    <row r="24" spans="1:131" ht="20.25">
      <c r="A24" s="46" t="s">
        <v>66</v>
      </c>
      <c r="C24" s="108" t="s">
        <v>98</v>
      </c>
      <c r="E24" s="108"/>
      <c r="F24" s="108" t="s">
        <v>98</v>
      </c>
    </row>
    <row r="25" spans="1:131" ht="20.25">
      <c r="A25" s="46" t="s">
        <v>67</v>
      </c>
      <c r="C25" s="108" t="s">
        <v>98</v>
      </c>
      <c r="E25" s="108"/>
      <c r="F25" s="108" t="s">
        <v>98</v>
      </c>
    </row>
    <row r="26" spans="1:131" s="16" customFormat="1" ht="15.75">
      <c r="A26" s="15" t="s">
        <v>18</v>
      </c>
      <c r="B26"/>
      <c r="C26" s="104">
        <f>COUNTIF(C6:C25,"sim")</f>
        <v>17</v>
      </c>
      <c r="D26"/>
      <c r="E26" s="104">
        <f>COUNTIF(E6:E25,"sim")</f>
        <v>0</v>
      </c>
      <c r="F26" s="104">
        <f>COUNTIF(F6:F25,"sim")</f>
        <v>18</v>
      </c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</row>
    <row r="27" spans="1:131" s="18" customFormat="1" ht="15.75">
      <c r="A27" s="17" t="s">
        <v>19</v>
      </c>
      <c r="B27"/>
      <c r="C27" s="105">
        <f>COUNTIF(C6:C25,"não")</f>
        <v>1</v>
      </c>
      <c r="D27"/>
      <c r="E27" s="105">
        <f>COUNTIF(E6:E25,"não")</f>
        <v>0</v>
      </c>
      <c r="F27" s="105">
        <f>COUNTIF(F6:F25,"não")</f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ht="15.75">
      <c r="A28" s="14" t="s">
        <v>11</v>
      </c>
      <c r="C28" s="40">
        <f>COUNTIF(C6:C25,"ausente")</f>
        <v>1</v>
      </c>
      <c r="E28" s="40">
        <f>COUNTIF(E6:E25,"ausente")</f>
        <v>0</v>
      </c>
      <c r="F28" s="40">
        <f>COUNTIF(F6:F25,"ausente")</f>
        <v>1</v>
      </c>
    </row>
    <row r="29" spans="1:131" s="20" customFormat="1" ht="15.75">
      <c r="A29" s="19" t="s">
        <v>20</v>
      </c>
      <c r="B29"/>
      <c r="C29" s="106">
        <f>COUNTIF(C6:C25,"abstenção")</f>
        <v>0</v>
      </c>
      <c r="D29"/>
      <c r="E29" s="106">
        <f t="shared" ref="E29:F29" si="0">COUNTIF(E6:E25,"abstenção")</f>
        <v>0</v>
      </c>
      <c r="F29" s="106">
        <f t="shared" si="0"/>
        <v>0</v>
      </c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</row>
    <row r="30" spans="1:131" s="20" customFormat="1" ht="15.75">
      <c r="A30" s="19"/>
      <c r="B30"/>
      <c r="C30" s="106"/>
      <c r="D30"/>
      <c r="E30" s="106"/>
      <c r="F30" s="106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2" spans="1:131" ht="24.75">
      <c r="A32" s="1" t="s">
        <v>0</v>
      </c>
    </row>
    <row r="33" spans="1:1" ht="60.75">
      <c r="A33" s="1" t="s">
        <v>1</v>
      </c>
    </row>
    <row r="34" spans="1:1" ht="48.75">
      <c r="A34" s="1" t="s">
        <v>2</v>
      </c>
    </row>
    <row r="35" spans="1:1" ht="24.75">
      <c r="A35" s="1" t="s">
        <v>3</v>
      </c>
    </row>
    <row r="36" spans="1:1" ht="60.75">
      <c r="A36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DT36"/>
  <sheetViews>
    <sheetView zoomScale="90" zoomScaleNormal="90" workbookViewId="0">
      <pane xSplit="1" topLeftCell="B1" activePane="topRight" state="frozen"/>
      <selection pane="topRight" activeCell="G5" sqref="G5"/>
    </sheetView>
  </sheetViews>
  <sheetFormatPr defaultRowHeight="15"/>
  <cols>
    <col min="1" max="1" width="46.85546875" customWidth="1"/>
    <col min="2" max="4" width="30.42578125" customWidth="1"/>
    <col min="5" max="5" width="17.42578125" customWidth="1"/>
    <col min="6" max="6" width="16.85546875" customWidth="1"/>
    <col min="7" max="7" width="29.85546875" customWidth="1"/>
    <col min="8" max="8" width="29.28515625" customWidth="1"/>
    <col min="9" max="9" width="25.7109375" customWidth="1"/>
    <col min="10" max="10" width="28" customWidth="1"/>
    <col min="11" max="11" width="28.140625" customWidth="1"/>
    <col min="12" max="12" width="30.5703125" customWidth="1"/>
    <col min="13" max="13" width="26.7109375" customWidth="1"/>
    <col min="14" max="15" width="29.28515625" customWidth="1"/>
    <col min="16" max="16" width="29.42578125" customWidth="1"/>
    <col min="17" max="18" width="28.7109375" customWidth="1"/>
    <col min="19" max="19" width="28.140625" customWidth="1"/>
    <col min="20" max="20" width="25.7109375" customWidth="1"/>
    <col min="21" max="21" width="21.28515625" customWidth="1"/>
    <col min="22" max="22" width="19.5703125" customWidth="1"/>
    <col min="23" max="23" width="18.28515625" customWidth="1"/>
    <col min="24" max="24" width="17.28515625" customWidth="1"/>
    <col min="25" max="25" width="18.140625" customWidth="1"/>
    <col min="26" max="26" width="22" customWidth="1"/>
    <col min="27" max="27" width="16.140625" customWidth="1"/>
    <col min="28" max="28" width="18" customWidth="1"/>
    <col min="30" max="30" width="18.28515625" customWidth="1"/>
  </cols>
  <sheetData>
    <row r="1" spans="1:30">
      <c r="A1" s="77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30">
      <c r="A2" s="77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30" ht="18" customHeight="1" thickBot="1">
      <c r="A3" s="77" t="s">
        <v>105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30" ht="90.6" customHeight="1" thickBot="1">
      <c r="A4" s="121" t="s">
        <v>5</v>
      </c>
      <c r="B4" s="120" t="s">
        <v>7</v>
      </c>
      <c r="C4" s="142" t="s">
        <v>136</v>
      </c>
      <c r="D4" s="142" t="s">
        <v>137</v>
      </c>
      <c r="E4" s="60"/>
      <c r="F4" s="60"/>
      <c r="G4" s="60"/>
      <c r="H4" s="9"/>
      <c r="I4" s="9"/>
      <c r="J4" s="9"/>
      <c r="K4" s="9"/>
      <c r="L4" s="9"/>
      <c r="M4" s="9"/>
      <c r="N4" s="13"/>
      <c r="O4" s="9"/>
      <c r="P4" s="9"/>
      <c r="Q4" s="9"/>
      <c r="R4" s="9"/>
      <c r="S4" s="9"/>
      <c r="T4" s="9"/>
      <c r="U4" s="13"/>
      <c r="V4" s="13"/>
      <c r="W4" s="13"/>
      <c r="X4" s="13"/>
      <c r="Y4" s="13"/>
      <c r="Z4" s="9"/>
      <c r="AA4" s="9"/>
      <c r="AB4" s="9"/>
      <c r="AD4" s="8"/>
    </row>
    <row r="5" spans="1:30" s="78" customFormat="1" ht="51.75" customHeight="1">
      <c r="C5" s="114" t="s">
        <v>97</v>
      </c>
      <c r="D5" s="114" t="s">
        <v>99</v>
      </c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AA5" s="76"/>
      <c r="AB5" s="76"/>
    </row>
    <row r="6" spans="1:30" ht="18">
      <c r="A6" s="130" t="s">
        <v>55</v>
      </c>
      <c r="C6" s="108" t="s">
        <v>98</v>
      </c>
      <c r="D6" s="108"/>
      <c r="V6" s="7"/>
      <c r="W6" s="7"/>
    </row>
    <row r="7" spans="1:30" ht="18">
      <c r="A7" s="130" t="s">
        <v>95</v>
      </c>
      <c r="C7" s="108" t="s">
        <v>98</v>
      </c>
      <c r="D7" s="108"/>
      <c r="V7" s="7"/>
      <c r="W7" s="7"/>
    </row>
    <row r="8" spans="1:30" ht="18">
      <c r="A8" s="130" t="s">
        <v>58</v>
      </c>
      <c r="C8" s="108" t="s">
        <v>98</v>
      </c>
      <c r="D8" s="108"/>
      <c r="V8" s="7"/>
      <c r="W8" s="7"/>
    </row>
    <row r="9" spans="1:30" ht="18">
      <c r="A9" s="131" t="s">
        <v>59</v>
      </c>
      <c r="C9" s="115" t="s">
        <v>100</v>
      </c>
      <c r="D9" s="115"/>
      <c r="V9" s="7"/>
      <c r="W9" s="7"/>
    </row>
    <row r="10" spans="1:30" ht="18">
      <c r="A10" s="130" t="s">
        <v>29</v>
      </c>
      <c r="C10" s="108" t="s">
        <v>98</v>
      </c>
      <c r="D10" s="115"/>
      <c r="V10" s="7"/>
      <c r="W10" s="7"/>
    </row>
    <row r="11" spans="1:30" ht="18">
      <c r="A11" s="130" t="s">
        <v>60</v>
      </c>
      <c r="C11" s="108" t="s">
        <v>98</v>
      </c>
      <c r="D11" s="108"/>
      <c r="V11" s="7"/>
      <c r="W11" s="7"/>
    </row>
    <row r="12" spans="1:30" ht="18">
      <c r="A12" s="130" t="s">
        <v>22</v>
      </c>
      <c r="C12" s="108" t="s">
        <v>98</v>
      </c>
      <c r="D12" s="108"/>
      <c r="V12" s="7"/>
      <c r="W12" s="7"/>
    </row>
    <row r="13" spans="1:30" ht="18">
      <c r="A13" s="130" t="s">
        <v>23</v>
      </c>
      <c r="C13" s="115" t="s">
        <v>57</v>
      </c>
      <c r="D13" s="115"/>
      <c r="V13" s="7"/>
      <c r="W13" s="7"/>
    </row>
    <row r="14" spans="1:30" ht="18">
      <c r="A14" s="130" t="s">
        <v>24</v>
      </c>
      <c r="C14" s="108" t="s">
        <v>98</v>
      </c>
      <c r="D14" s="108"/>
      <c r="V14" s="7"/>
      <c r="W14" s="7"/>
    </row>
    <row r="15" spans="1:30" ht="18">
      <c r="A15" s="130" t="s">
        <v>61</v>
      </c>
      <c r="C15" s="108" t="s">
        <v>98</v>
      </c>
      <c r="D15" s="108"/>
      <c r="V15" s="7"/>
      <c r="W15" s="7"/>
    </row>
    <row r="16" spans="1:30" ht="18">
      <c r="A16" s="130" t="s">
        <v>62</v>
      </c>
      <c r="C16" s="108" t="s">
        <v>98</v>
      </c>
      <c r="D16" s="108"/>
      <c r="V16" s="7"/>
      <c r="W16" s="7"/>
    </row>
    <row r="17" spans="1:124" ht="15" customHeight="1">
      <c r="A17" s="130" t="s">
        <v>63</v>
      </c>
      <c r="C17" s="108" t="s">
        <v>98</v>
      </c>
      <c r="D17" s="115"/>
      <c r="U17" s="8"/>
      <c r="V17" s="7"/>
      <c r="W17" s="7"/>
    </row>
    <row r="18" spans="1:124" ht="18">
      <c r="A18" s="130" t="s">
        <v>25</v>
      </c>
      <c r="C18" s="108" t="s">
        <v>98</v>
      </c>
      <c r="D18" s="108"/>
      <c r="V18" s="7"/>
      <c r="W18" s="7"/>
    </row>
    <row r="19" spans="1:124" ht="18">
      <c r="A19" s="130" t="s">
        <v>64</v>
      </c>
      <c r="C19" s="108" t="s">
        <v>98</v>
      </c>
      <c r="D19" s="108"/>
      <c r="V19" s="7"/>
      <c r="W19" s="7"/>
    </row>
    <row r="20" spans="1:124" ht="18">
      <c r="A20" s="130" t="s">
        <v>96</v>
      </c>
      <c r="C20" s="108" t="s">
        <v>98</v>
      </c>
      <c r="D20" s="108"/>
      <c r="V20" s="7"/>
      <c r="W20" s="7"/>
    </row>
    <row r="21" spans="1:124" ht="18">
      <c r="A21" s="130" t="s">
        <v>26</v>
      </c>
      <c r="C21" s="108" t="s">
        <v>98</v>
      </c>
      <c r="D21" s="108"/>
      <c r="V21" s="7"/>
      <c r="W21" s="7"/>
    </row>
    <row r="22" spans="1:124" ht="18">
      <c r="A22" s="130" t="s">
        <v>65</v>
      </c>
      <c r="C22" s="108" t="s">
        <v>98</v>
      </c>
      <c r="D22" s="108"/>
      <c r="V22" s="7"/>
      <c r="W22" s="7"/>
    </row>
    <row r="23" spans="1:124" ht="18">
      <c r="A23" s="130" t="s">
        <v>53</v>
      </c>
      <c r="C23" s="108" t="s">
        <v>98</v>
      </c>
      <c r="D23" s="108"/>
      <c r="V23" s="7"/>
      <c r="W23" s="7"/>
    </row>
    <row r="24" spans="1:124" ht="18">
      <c r="A24" s="130" t="s">
        <v>66</v>
      </c>
      <c r="C24" s="108" t="s">
        <v>98</v>
      </c>
      <c r="D24" s="108"/>
      <c r="V24" s="7"/>
      <c r="W24" s="7"/>
    </row>
    <row r="25" spans="1:124" ht="18">
      <c r="A25" s="130" t="s">
        <v>67</v>
      </c>
      <c r="C25" s="108" t="s">
        <v>98</v>
      </c>
      <c r="D25" s="108"/>
      <c r="V25" s="7"/>
      <c r="W25" s="7"/>
    </row>
    <row r="26" spans="1:124" s="16" customFormat="1" ht="15.75">
      <c r="A26" s="15" t="s">
        <v>18</v>
      </c>
      <c r="B26" s="16">
        <f>COUNTIF(B6:B25,"sim")</f>
        <v>0</v>
      </c>
      <c r="C26" s="104">
        <f>COUNTIF(C6:C25,"sim")</f>
        <v>18</v>
      </c>
      <c r="D26" s="104">
        <f>COUNTIF(D6:D25,"sim")</f>
        <v>0</v>
      </c>
      <c r="K26" s="16">
        <f t="shared" ref="K26:AP26" si="0">COUNTIF(K6:K25,"sim")</f>
        <v>0</v>
      </c>
      <c r="L26" s="16">
        <f t="shared" si="0"/>
        <v>0</v>
      </c>
      <c r="M26" s="16">
        <f t="shared" si="0"/>
        <v>0</v>
      </c>
      <c r="N26" s="16">
        <f t="shared" si="0"/>
        <v>0</v>
      </c>
      <c r="O26" s="16">
        <f t="shared" si="0"/>
        <v>0</v>
      </c>
      <c r="P26" s="16">
        <f t="shared" si="0"/>
        <v>0</v>
      </c>
      <c r="Q26" s="16">
        <f t="shared" si="0"/>
        <v>0</v>
      </c>
      <c r="R26" s="16">
        <f t="shared" si="0"/>
        <v>0</v>
      </c>
      <c r="S26" s="16">
        <f t="shared" si="0"/>
        <v>0</v>
      </c>
      <c r="T26" s="16">
        <f t="shared" si="0"/>
        <v>0</v>
      </c>
      <c r="U26" s="16">
        <f t="shared" si="0"/>
        <v>0</v>
      </c>
      <c r="V26" s="16">
        <f t="shared" si="0"/>
        <v>0</v>
      </c>
      <c r="W26" s="16">
        <f t="shared" si="0"/>
        <v>0</v>
      </c>
      <c r="X26" s="16">
        <f t="shared" si="0"/>
        <v>0</v>
      </c>
      <c r="Y26" s="16">
        <f t="shared" si="0"/>
        <v>0</v>
      </c>
      <c r="Z26" s="16">
        <f t="shared" si="0"/>
        <v>0</v>
      </c>
      <c r="AA26" s="16">
        <f t="shared" si="0"/>
        <v>0</v>
      </c>
      <c r="AB26" s="16">
        <f t="shared" si="0"/>
        <v>0</v>
      </c>
      <c r="AC26" s="16">
        <f t="shared" si="0"/>
        <v>0</v>
      </c>
      <c r="AD26" s="16">
        <f t="shared" si="0"/>
        <v>0</v>
      </c>
      <c r="AE26" s="16">
        <f t="shared" si="0"/>
        <v>0</v>
      </c>
      <c r="AF26" s="16">
        <f t="shared" si="0"/>
        <v>0</v>
      </c>
      <c r="AG26" s="16">
        <f t="shared" si="0"/>
        <v>0</v>
      </c>
      <c r="AH26" s="16">
        <f t="shared" si="0"/>
        <v>0</v>
      </c>
      <c r="AI26" s="16">
        <f t="shared" si="0"/>
        <v>0</v>
      </c>
      <c r="AJ26" s="16">
        <f t="shared" si="0"/>
        <v>0</v>
      </c>
      <c r="AK26" s="16">
        <f t="shared" si="0"/>
        <v>0</v>
      </c>
      <c r="AL26" s="16">
        <f t="shared" si="0"/>
        <v>0</v>
      </c>
      <c r="AM26" s="16">
        <f t="shared" si="0"/>
        <v>0</v>
      </c>
      <c r="AN26" s="16">
        <f t="shared" si="0"/>
        <v>0</v>
      </c>
      <c r="AO26" s="16">
        <f t="shared" si="0"/>
        <v>0</v>
      </c>
      <c r="AP26" s="16">
        <f t="shared" si="0"/>
        <v>0</v>
      </c>
      <c r="AQ26" s="16">
        <f t="shared" ref="AQ26:BV26" si="1">COUNTIF(AQ6:AQ25,"sim")</f>
        <v>0</v>
      </c>
      <c r="AR26" s="16">
        <f t="shared" si="1"/>
        <v>0</v>
      </c>
      <c r="AS26" s="16">
        <f t="shared" si="1"/>
        <v>0</v>
      </c>
      <c r="AT26" s="16">
        <f t="shared" si="1"/>
        <v>0</v>
      </c>
      <c r="AU26" s="16">
        <f t="shared" si="1"/>
        <v>0</v>
      </c>
      <c r="AV26" s="16">
        <f t="shared" si="1"/>
        <v>0</v>
      </c>
      <c r="AW26" s="16">
        <f t="shared" si="1"/>
        <v>0</v>
      </c>
      <c r="AX26" s="16">
        <f t="shared" si="1"/>
        <v>0</v>
      </c>
      <c r="AY26" s="16">
        <f t="shared" si="1"/>
        <v>0</v>
      </c>
      <c r="AZ26" s="16">
        <f t="shared" si="1"/>
        <v>0</v>
      </c>
      <c r="BA26" s="16">
        <f t="shared" si="1"/>
        <v>0</v>
      </c>
      <c r="BB26" s="16">
        <f t="shared" si="1"/>
        <v>0</v>
      </c>
      <c r="BC26" s="16">
        <f t="shared" si="1"/>
        <v>0</v>
      </c>
      <c r="BD26" s="16">
        <f t="shared" si="1"/>
        <v>0</v>
      </c>
      <c r="BE26" s="16">
        <f t="shared" si="1"/>
        <v>0</v>
      </c>
      <c r="BF26" s="16">
        <f t="shared" si="1"/>
        <v>0</v>
      </c>
      <c r="BG26" s="16">
        <f t="shared" si="1"/>
        <v>0</v>
      </c>
      <c r="BH26" s="16">
        <f t="shared" si="1"/>
        <v>0</v>
      </c>
      <c r="BI26" s="16">
        <f t="shared" si="1"/>
        <v>0</v>
      </c>
      <c r="BJ26" s="16">
        <f t="shared" si="1"/>
        <v>0</v>
      </c>
      <c r="BK26" s="16">
        <f t="shared" si="1"/>
        <v>0</v>
      </c>
      <c r="BL26" s="16">
        <f t="shared" si="1"/>
        <v>0</v>
      </c>
      <c r="BM26" s="16">
        <f t="shared" si="1"/>
        <v>0</v>
      </c>
      <c r="BN26" s="16">
        <f t="shared" si="1"/>
        <v>0</v>
      </c>
      <c r="BO26" s="16">
        <f t="shared" si="1"/>
        <v>0</v>
      </c>
      <c r="BP26" s="16">
        <f t="shared" si="1"/>
        <v>0</v>
      </c>
      <c r="BQ26" s="16">
        <f t="shared" si="1"/>
        <v>0</v>
      </c>
      <c r="BR26" s="16">
        <f t="shared" si="1"/>
        <v>0</v>
      </c>
      <c r="BS26" s="16">
        <f t="shared" si="1"/>
        <v>0</v>
      </c>
      <c r="BT26" s="16">
        <f t="shared" si="1"/>
        <v>0</v>
      </c>
      <c r="BU26" s="16">
        <f t="shared" si="1"/>
        <v>0</v>
      </c>
      <c r="BV26" s="16">
        <f t="shared" si="1"/>
        <v>0</v>
      </c>
      <c r="BW26" s="16">
        <f t="shared" ref="BW26:DB26" si="2">COUNTIF(BW6:BW25,"sim")</f>
        <v>0</v>
      </c>
      <c r="BX26" s="16">
        <f t="shared" si="2"/>
        <v>0</v>
      </c>
      <c r="BY26" s="16">
        <f t="shared" si="2"/>
        <v>0</v>
      </c>
      <c r="BZ26" s="16">
        <f t="shared" si="2"/>
        <v>0</v>
      </c>
      <c r="CA26" s="16">
        <f t="shared" si="2"/>
        <v>0</v>
      </c>
      <c r="CB26" s="16">
        <f t="shared" si="2"/>
        <v>0</v>
      </c>
      <c r="CC26" s="16">
        <f t="shared" si="2"/>
        <v>0</v>
      </c>
      <c r="CD26" s="16">
        <f t="shared" si="2"/>
        <v>0</v>
      </c>
      <c r="CE26" s="16">
        <f t="shared" si="2"/>
        <v>0</v>
      </c>
      <c r="CF26" s="16">
        <f t="shared" si="2"/>
        <v>0</v>
      </c>
      <c r="CG26" s="16">
        <f t="shared" si="2"/>
        <v>0</v>
      </c>
      <c r="CH26" s="16">
        <f t="shared" si="2"/>
        <v>0</v>
      </c>
      <c r="CI26" s="16">
        <f t="shared" si="2"/>
        <v>0</v>
      </c>
      <c r="CJ26" s="16">
        <f t="shared" si="2"/>
        <v>0</v>
      </c>
      <c r="CK26" s="16">
        <f t="shared" si="2"/>
        <v>0</v>
      </c>
      <c r="CL26" s="16">
        <f t="shared" si="2"/>
        <v>0</v>
      </c>
      <c r="CM26" s="16">
        <f t="shared" si="2"/>
        <v>0</v>
      </c>
      <c r="CN26" s="16">
        <f t="shared" si="2"/>
        <v>0</v>
      </c>
      <c r="CO26" s="16">
        <f t="shared" si="2"/>
        <v>0</v>
      </c>
      <c r="CP26" s="16">
        <f t="shared" si="2"/>
        <v>0</v>
      </c>
      <c r="CQ26" s="16">
        <f t="shared" si="2"/>
        <v>0</v>
      </c>
      <c r="CR26" s="16">
        <f t="shared" si="2"/>
        <v>0</v>
      </c>
      <c r="CS26" s="16">
        <f t="shared" si="2"/>
        <v>0</v>
      </c>
      <c r="CT26" s="16">
        <f t="shared" si="2"/>
        <v>0</v>
      </c>
      <c r="CU26" s="16">
        <f t="shared" si="2"/>
        <v>0</v>
      </c>
      <c r="CV26" s="16">
        <f t="shared" si="2"/>
        <v>0</v>
      </c>
      <c r="CW26" s="16">
        <f t="shared" si="2"/>
        <v>0</v>
      </c>
      <c r="CX26" s="16">
        <f t="shared" si="2"/>
        <v>0</v>
      </c>
      <c r="CY26" s="16">
        <f t="shared" si="2"/>
        <v>0</v>
      </c>
      <c r="CZ26" s="16">
        <f t="shared" si="2"/>
        <v>0</v>
      </c>
      <c r="DA26" s="16">
        <f t="shared" si="2"/>
        <v>0</v>
      </c>
      <c r="DB26" s="16">
        <f t="shared" si="2"/>
        <v>0</v>
      </c>
      <c r="DC26" s="16">
        <f t="shared" ref="DC26:EH26" si="3">COUNTIF(DC6:DC25,"sim")</f>
        <v>0</v>
      </c>
      <c r="DD26" s="16">
        <f t="shared" si="3"/>
        <v>0</v>
      </c>
      <c r="DE26" s="16">
        <f t="shared" si="3"/>
        <v>0</v>
      </c>
      <c r="DF26" s="16">
        <f t="shared" si="3"/>
        <v>0</v>
      </c>
      <c r="DG26" s="16">
        <f t="shared" si="3"/>
        <v>0</v>
      </c>
      <c r="DH26" s="16">
        <f t="shared" si="3"/>
        <v>0</v>
      </c>
      <c r="DI26" s="16">
        <f t="shared" si="3"/>
        <v>0</v>
      </c>
      <c r="DJ26" s="16">
        <f t="shared" si="3"/>
        <v>0</v>
      </c>
      <c r="DK26" s="16">
        <f t="shared" si="3"/>
        <v>0</v>
      </c>
      <c r="DL26" s="16">
        <f t="shared" si="3"/>
        <v>0</v>
      </c>
      <c r="DM26" s="16">
        <f t="shared" si="3"/>
        <v>0</v>
      </c>
      <c r="DN26" s="16">
        <f t="shared" si="3"/>
        <v>0</v>
      </c>
      <c r="DO26" s="16">
        <f t="shared" si="3"/>
        <v>0</v>
      </c>
      <c r="DP26" s="16">
        <f t="shared" si="3"/>
        <v>0</v>
      </c>
      <c r="DQ26" s="16">
        <f t="shared" si="3"/>
        <v>0</v>
      </c>
      <c r="DR26" s="16">
        <f t="shared" si="3"/>
        <v>0</v>
      </c>
      <c r="DS26" s="16">
        <f t="shared" si="3"/>
        <v>0</v>
      </c>
      <c r="DT26" s="16">
        <f t="shared" si="3"/>
        <v>0</v>
      </c>
    </row>
    <row r="27" spans="1:124" s="18" customFormat="1" ht="15.75">
      <c r="A27" s="17" t="s">
        <v>19</v>
      </c>
      <c r="B27" s="18">
        <f>COUNTIF(B6:B25,"não")</f>
        <v>0</v>
      </c>
      <c r="C27" s="105">
        <f>COUNTIF(C6:C25,"não")</f>
        <v>0</v>
      </c>
      <c r="D27" s="105">
        <f>COUNTIF(D6:D25,"não")</f>
        <v>0</v>
      </c>
      <c r="K27" s="18">
        <f t="shared" ref="K27:AP27" si="4">COUNTIF(K6:K26,"não")</f>
        <v>0</v>
      </c>
      <c r="L27" s="18">
        <f t="shared" si="4"/>
        <v>0</v>
      </c>
      <c r="M27" s="18">
        <f t="shared" si="4"/>
        <v>0</v>
      </c>
      <c r="N27" s="18">
        <f t="shared" si="4"/>
        <v>0</v>
      </c>
      <c r="O27" s="18">
        <f t="shared" si="4"/>
        <v>0</v>
      </c>
      <c r="P27" s="18">
        <f t="shared" si="4"/>
        <v>0</v>
      </c>
      <c r="Q27" s="18">
        <f t="shared" si="4"/>
        <v>0</v>
      </c>
      <c r="R27" s="18">
        <f t="shared" si="4"/>
        <v>0</v>
      </c>
      <c r="S27" s="18">
        <f t="shared" si="4"/>
        <v>0</v>
      </c>
      <c r="T27" s="18">
        <f t="shared" si="4"/>
        <v>0</v>
      </c>
      <c r="U27" s="18">
        <f t="shared" si="4"/>
        <v>0</v>
      </c>
      <c r="V27" s="18">
        <f t="shared" si="4"/>
        <v>0</v>
      </c>
      <c r="W27" s="18">
        <f t="shared" si="4"/>
        <v>0</v>
      </c>
      <c r="X27" s="18">
        <f t="shared" si="4"/>
        <v>0</v>
      </c>
      <c r="Y27" s="18">
        <f t="shared" si="4"/>
        <v>0</v>
      </c>
      <c r="Z27" s="18">
        <f t="shared" si="4"/>
        <v>0</v>
      </c>
      <c r="AA27" s="18">
        <f t="shared" si="4"/>
        <v>0</v>
      </c>
      <c r="AB27" s="18">
        <f t="shared" si="4"/>
        <v>0</v>
      </c>
      <c r="AC27" s="18">
        <f t="shared" si="4"/>
        <v>0</v>
      </c>
      <c r="AD27" s="18">
        <f t="shared" si="4"/>
        <v>0</v>
      </c>
      <c r="AE27" s="18">
        <f t="shared" si="4"/>
        <v>0</v>
      </c>
      <c r="AF27" s="18">
        <f t="shared" si="4"/>
        <v>0</v>
      </c>
      <c r="AG27" s="18">
        <f t="shared" si="4"/>
        <v>0</v>
      </c>
      <c r="AH27" s="18">
        <f t="shared" si="4"/>
        <v>0</v>
      </c>
      <c r="AI27" s="18">
        <f t="shared" si="4"/>
        <v>0</v>
      </c>
      <c r="AJ27" s="18">
        <f t="shared" si="4"/>
        <v>0</v>
      </c>
      <c r="AK27" s="18">
        <f t="shared" si="4"/>
        <v>0</v>
      </c>
      <c r="AL27" s="18">
        <f t="shared" si="4"/>
        <v>0</v>
      </c>
      <c r="AM27" s="18">
        <f t="shared" si="4"/>
        <v>0</v>
      </c>
      <c r="AN27" s="18">
        <f t="shared" si="4"/>
        <v>0</v>
      </c>
      <c r="AO27" s="18">
        <f t="shared" si="4"/>
        <v>0</v>
      </c>
      <c r="AP27" s="18">
        <f t="shared" si="4"/>
        <v>0</v>
      </c>
      <c r="AQ27" s="18">
        <f t="shared" ref="AQ27:BV27" si="5">COUNTIF(AQ6:AQ26,"não")</f>
        <v>0</v>
      </c>
      <c r="AR27" s="18">
        <f t="shared" si="5"/>
        <v>0</v>
      </c>
      <c r="AS27" s="18">
        <f t="shared" si="5"/>
        <v>0</v>
      </c>
      <c r="AT27" s="18">
        <f t="shared" si="5"/>
        <v>0</v>
      </c>
      <c r="AU27" s="18">
        <f t="shared" si="5"/>
        <v>0</v>
      </c>
      <c r="AV27" s="18">
        <f t="shared" si="5"/>
        <v>0</v>
      </c>
      <c r="AW27" s="18">
        <f t="shared" si="5"/>
        <v>0</v>
      </c>
      <c r="AX27" s="18">
        <f t="shared" si="5"/>
        <v>0</v>
      </c>
      <c r="AY27" s="18">
        <f t="shared" si="5"/>
        <v>0</v>
      </c>
      <c r="AZ27" s="18">
        <f t="shared" si="5"/>
        <v>0</v>
      </c>
      <c r="BA27" s="18">
        <f t="shared" si="5"/>
        <v>0</v>
      </c>
      <c r="BB27" s="18">
        <f t="shared" si="5"/>
        <v>0</v>
      </c>
      <c r="BC27" s="18">
        <f t="shared" si="5"/>
        <v>0</v>
      </c>
      <c r="BD27" s="18">
        <f t="shared" si="5"/>
        <v>0</v>
      </c>
      <c r="BE27" s="18">
        <f t="shared" si="5"/>
        <v>0</v>
      </c>
      <c r="BF27" s="18">
        <f t="shared" si="5"/>
        <v>0</v>
      </c>
      <c r="BG27" s="18">
        <f t="shared" si="5"/>
        <v>0</v>
      </c>
      <c r="BH27" s="18">
        <f t="shared" si="5"/>
        <v>0</v>
      </c>
      <c r="BI27" s="18">
        <f t="shared" si="5"/>
        <v>0</v>
      </c>
      <c r="BJ27" s="18">
        <f t="shared" si="5"/>
        <v>0</v>
      </c>
      <c r="BK27" s="18">
        <f t="shared" si="5"/>
        <v>0</v>
      </c>
      <c r="BL27" s="18">
        <f t="shared" si="5"/>
        <v>0</v>
      </c>
      <c r="BM27" s="18">
        <f t="shared" si="5"/>
        <v>0</v>
      </c>
      <c r="BN27" s="18">
        <f t="shared" si="5"/>
        <v>0</v>
      </c>
      <c r="BO27" s="18">
        <f t="shared" si="5"/>
        <v>0</v>
      </c>
      <c r="BP27" s="18">
        <f t="shared" si="5"/>
        <v>0</v>
      </c>
      <c r="BQ27" s="18">
        <f t="shared" si="5"/>
        <v>0</v>
      </c>
      <c r="BR27" s="18">
        <f t="shared" si="5"/>
        <v>0</v>
      </c>
      <c r="BS27" s="18">
        <f t="shared" si="5"/>
        <v>0</v>
      </c>
      <c r="BT27" s="18">
        <f t="shared" si="5"/>
        <v>0</v>
      </c>
      <c r="BU27" s="18">
        <f t="shared" si="5"/>
        <v>0</v>
      </c>
      <c r="BV27" s="18">
        <f t="shared" si="5"/>
        <v>0</v>
      </c>
      <c r="BW27" s="18">
        <f t="shared" ref="BW27:DB27" si="6">COUNTIF(BW6:BW26,"não")</f>
        <v>0</v>
      </c>
      <c r="BX27" s="18">
        <f t="shared" si="6"/>
        <v>0</v>
      </c>
      <c r="BY27" s="18">
        <f t="shared" si="6"/>
        <v>0</v>
      </c>
      <c r="BZ27" s="18">
        <f t="shared" si="6"/>
        <v>0</v>
      </c>
      <c r="CA27" s="18">
        <f t="shared" si="6"/>
        <v>0</v>
      </c>
      <c r="CB27" s="18">
        <f t="shared" si="6"/>
        <v>0</v>
      </c>
      <c r="CC27" s="18">
        <f t="shared" si="6"/>
        <v>0</v>
      </c>
      <c r="CD27" s="18">
        <f t="shared" si="6"/>
        <v>0</v>
      </c>
      <c r="CE27" s="18">
        <f t="shared" si="6"/>
        <v>0</v>
      </c>
      <c r="CF27" s="18">
        <f t="shared" si="6"/>
        <v>0</v>
      </c>
      <c r="CG27" s="18">
        <f t="shared" si="6"/>
        <v>0</v>
      </c>
      <c r="CH27" s="18">
        <f t="shared" si="6"/>
        <v>0</v>
      </c>
      <c r="CI27" s="18">
        <f t="shared" si="6"/>
        <v>0</v>
      </c>
      <c r="CJ27" s="18">
        <f t="shared" si="6"/>
        <v>0</v>
      </c>
      <c r="CK27" s="18">
        <f t="shared" si="6"/>
        <v>0</v>
      </c>
      <c r="CL27" s="18">
        <f t="shared" si="6"/>
        <v>0</v>
      </c>
      <c r="CM27" s="18">
        <f t="shared" si="6"/>
        <v>0</v>
      </c>
      <c r="CN27" s="18">
        <f t="shared" si="6"/>
        <v>0</v>
      </c>
      <c r="CO27" s="18">
        <f t="shared" si="6"/>
        <v>0</v>
      </c>
      <c r="CP27" s="18">
        <f t="shared" si="6"/>
        <v>0</v>
      </c>
      <c r="CQ27" s="18">
        <f t="shared" si="6"/>
        <v>0</v>
      </c>
      <c r="CR27" s="18">
        <f t="shared" si="6"/>
        <v>0</v>
      </c>
      <c r="CS27" s="18">
        <f t="shared" si="6"/>
        <v>0</v>
      </c>
      <c r="CT27" s="18">
        <f t="shared" si="6"/>
        <v>0</v>
      </c>
      <c r="CU27" s="18">
        <f t="shared" si="6"/>
        <v>0</v>
      </c>
      <c r="CV27" s="18">
        <f t="shared" si="6"/>
        <v>0</v>
      </c>
      <c r="CW27" s="18">
        <f t="shared" si="6"/>
        <v>0</v>
      </c>
      <c r="CX27" s="18">
        <f t="shared" si="6"/>
        <v>0</v>
      </c>
      <c r="CY27" s="18">
        <f t="shared" si="6"/>
        <v>0</v>
      </c>
      <c r="CZ27" s="18">
        <f t="shared" si="6"/>
        <v>0</v>
      </c>
      <c r="DA27" s="18">
        <f t="shared" si="6"/>
        <v>0</v>
      </c>
      <c r="DB27" s="18">
        <f t="shared" si="6"/>
        <v>0</v>
      </c>
      <c r="DC27" s="18">
        <f t="shared" ref="DC27:EH27" si="7">COUNTIF(DC6:DC26,"não")</f>
        <v>0</v>
      </c>
      <c r="DD27" s="18">
        <f t="shared" si="7"/>
        <v>0</v>
      </c>
      <c r="DE27" s="18">
        <f t="shared" si="7"/>
        <v>0</v>
      </c>
      <c r="DF27" s="18">
        <f t="shared" si="7"/>
        <v>0</v>
      </c>
      <c r="DG27" s="18">
        <f t="shared" si="7"/>
        <v>0</v>
      </c>
      <c r="DH27" s="18">
        <f t="shared" si="7"/>
        <v>0</v>
      </c>
      <c r="DI27" s="18">
        <f t="shared" si="7"/>
        <v>0</v>
      </c>
      <c r="DJ27" s="18">
        <f t="shared" si="7"/>
        <v>0</v>
      </c>
      <c r="DK27" s="18">
        <f t="shared" si="7"/>
        <v>0</v>
      </c>
      <c r="DL27" s="18">
        <f t="shared" si="7"/>
        <v>0</v>
      </c>
      <c r="DM27" s="18">
        <f t="shared" si="7"/>
        <v>0</v>
      </c>
      <c r="DN27" s="18">
        <f t="shared" si="7"/>
        <v>0</v>
      </c>
      <c r="DO27" s="18">
        <f t="shared" si="7"/>
        <v>0</v>
      </c>
      <c r="DP27" s="18">
        <f t="shared" si="7"/>
        <v>0</v>
      </c>
      <c r="DQ27" s="18">
        <f t="shared" si="7"/>
        <v>0</v>
      </c>
      <c r="DR27" s="18">
        <f t="shared" si="7"/>
        <v>0</v>
      </c>
      <c r="DS27" s="18">
        <f t="shared" si="7"/>
        <v>0</v>
      </c>
      <c r="DT27" s="18">
        <f t="shared" si="7"/>
        <v>0</v>
      </c>
    </row>
    <row r="28" spans="1:124" ht="15.75">
      <c r="A28" s="14" t="s">
        <v>11</v>
      </c>
      <c r="B28">
        <f>COUNTIF(B6:B25,"ausente")</f>
        <v>0</v>
      </c>
      <c r="C28" s="40">
        <f>COUNTIF(C6:C25,"ausente")</f>
        <v>1</v>
      </c>
      <c r="D28" s="40">
        <f>COUNTIF(D6:D25,"ausente")</f>
        <v>0</v>
      </c>
      <c r="K28">
        <f t="shared" ref="K28:AP28" si="8">COUNTIF(K6:K27,"ausente")</f>
        <v>0</v>
      </c>
      <c r="L28">
        <f t="shared" si="8"/>
        <v>0</v>
      </c>
      <c r="M28">
        <f t="shared" si="8"/>
        <v>0</v>
      </c>
      <c r="N28">
        <f t="shared" si="8"/>
        <v>0</v>
      </c>
      <c r="O28">
        <f t="shared" si="8"/>
        <v>0</v>
      </c>
      <c r="P28">
        <f t="shared" si="8"/>
        <v>0</v>
      </c>
      <c r="Q28">
        <f t="shared" si="8"/>
        <v>0</v>
      </c>
      <c r="R28">
        <f t="shared" si="8"/>
        <v>0</v>
      </c>
      <c r="S28">
        <f t="shared" si="8"/>
        <v>0</v>
      </c>
      <c r="T28">
        <f t="shared" si="8"/>
        <v>0</v>
      </c>
      <c r="U28">
        <f t="shared" si="8"/>
        <v>0</v>
      </c>
      <c r="V28">
        <f t="shared" si="8"/>
        <v>0</v>
      </c>
      <c r="W28">
        <f t="shared" si="8"/>
        <v>0</v>
      </c>
      <c r="X28">
        <f t="shared" si="8"/>
        <v>0</v>
      </c>
      <c r="Y28">
        <f t="shared" si="8"/>
        <v>0</v>
      </c>
      <c r="Z28">
        <f t="shared" si="8"/>
        <v>0</v>
      </c>
      <c r="AA28">
        <f t="shared" si="8"/>
        <v>0</v>
      </c>
      <c r="AB28">
        <f t="shared" si="8"/>
        <v>0</v>
      </c>
      <c r="AC28">
        <f t="shared" si="8"/>
        <v>0</v>
      </c>
      <c r="AD28">
        <f t="shared" si="8"/>
        <v>0</v>
      </c>
      <c r="AE28">
        <f t="shared" si="8"/>
        <v>0</v>
      </c>
      <c r="AF28">
        <f t="shared" si="8"/>
        <v>0</v>
      </c>
      <c r="AG28">
        <f t="shared" si="8"/>
        <v>0</v>
      </c>
      <c r="AH28">
        <f t="shared" si="8"/>
        <v>0</v>
      </c>
      <c r="AI28">
        <f t="shared" si="8"/>
        <v>0</v>
      </c>
      <c r="AJ28">
        <f t="shared" si="8"/>
        <v>0</v>
      </c>
      <c r="AK28">
        <f t="shared" si="8"/>
        <v>0</v>
      </c>
      <c r="AL28">
        <f t="shared" si="8"/>
        <v>0</v>
      </c>
      <c r="AM28">
        <f t="shared" si="8"/>
        <v>0</v>
      </c>
      <c r="AN28">
        <f t="shared" si="8"/>
        <v>0</v>
      </c>
      <c r="AO28">
        <f t="shared" si="8"/>
        <v>0</v>
      </c>
      <c r="AP28">
        <f t="shared" si="8"/>
        <v>0</v>
      </c>
      <c r="AQ28">
        <f t="shared" ref="AQ28:BV28" si="9">COUNTIF(AQ6:AQ27,"ausente")</f>
        <v>0</v>
      </c>
      <c r="AR28">
        <f t="shared" si="9"/>
        <v>0</v>
      </c>
      <c r="AS28">
        <f t="shared" si="9"/>
        <v>0</v>
      </c>
      <c r="AT28">
        <f t="shared" si="9"/>
        <v>0</v>
      </c>
      <c r="AU28">
        <f t="shared" si="9"/>
        <v>0</v>
      </c>
      <c r="AV28">
        <f t="shared" si="9"/>
        <v>0</v>
      </c>
      <c r="AW28">
        <f t="shared" si="9"/>
        <v>0</v>
      </c>
      <c r="AX28">
        <f t="shared" si="9"/>
        <v>0</v>
      </c>
      <c r="AY28">
        <f t="shared" si="9"/>
        <v>0</v>
      </c>
      <c r="AZ28">
        <f t="shared" si="9"/>
        <v>0</v>
      </c>
      <c r="BA28">
        <f t="shared" si="9"/>
        <v>0</v>
      </c>
      <c r="BB28">
        <f t="shared" si="9"/>
        <v>0</v>
      </c>
      <c r="BC28">
        <f t="shared" si="9"/>
        <v>0</v>
      </c>
      <c r="BD28">
        <f t="shared" si="9"/>
        <v>0</v>
      </c>
      <c r="BE28">
        <f t="shared" si="9"/>
        <v>0</v>
      </c>
      <c r="BF28">
        <f t="shared" si="9"/>
        <v>0</v>
      </c>
      <c r="BG28">
        <f t="shared" si="9"/>
        <v>0</v>
      </c>
      <c r="BH28">
        <f t="shared" si="9"/>
        <v>0</v>
      </c>
      <c r="BI28">
        <f t="shared" si="9"/>
        <v>0</v>
      </c>
      <c r="BJ28">
        <f t="shared" si="9"/>
        <v>0</v>
      </c>
      <c r="BK28">
        <f t="shared" si="9"/>
        <v>0</v>
      </c>
      <c r="BL28">
        <f t="shared" si="9"/>
        <v>0</v>
      </c>
      <c r="BM28">
        <f t="shared" si="9"/>
        <v>0</v>
      </c>
      <c r="BN28">
        <f t="shared" si="9"/>
        <v>0</v>
      </c>
      <c r="BO28">
        <f t="shared" si="9"/>
        <v>0</v>
      </c>
      <c r="BP28">
        <f t="shared" si="9"/>
        <v>0</v>
      </c>
      <c r="BQ28">
        <f t="shared" si="9"/>
        <v>0</v>
      </c>
      <c r="BR28">
        <f t="shared" si="9"/>
        <v>0</v>
      </c>
      <c r="BS28">
        <f t="shared" si="9"/>
        <v>0</v>
      </c>
      <c r="BT28">
        <f t="shared" si="9"/>
        <v>0</v>
      </c>
      <c r="BU28">
        <f t="shared" si="9"/>
        <v>0</v>
      </c>
      <c r="BV28">
        <f t="shared" si="9"/>
        <v>0</v>
      </c>
      <c r="BW28">
        <f t="shared" ref="BW28:DB28" si="10">COUNTIF(BW6:BW27,"ausente")</f>
        <v>0</v>
      </c>
      <c r="BX28">
        <f t="shared" si="10"/>
        <v>0</v>
      </c>
      <c r="BY28">
        <f t="shared" si="10"/>
        <v>0</v>
      </c>
      <c r="BZ28">
        <f t="shared" si="10"/>
        <v>0</v>
      </c>
      <c r="CA28">
        <f t="shared" si="10"/>
        <v>0</v>
      </c>
      <c r="CB28">
        <f t="shared" si="10"/>
        <v>0</v>
      </c>
      <c r="CC28">
        <f t="shared" si="10"/>
        <v>0</v>
      </c>
      <c r="CD28">
        <f t="shared" si="10"/>
        <v>0</v>
      </c>
      <c r="CE28">
        <f t="shared" si="10"/>
        <v>0</v>
      </c>
      <c r="CF28">
        <f t="shared" si="10"/>
        <v>0</v>
      </c>
      <c r="CG28">
        <f t="shared" si="10"/>
        <v>0</v>
      </c>
      <c r="CH28">
        <f t="shared" si="10"/>
        <v>0</v>
      </c>
      <c r="CI28">
        <f t="shared" si="10"/>
        <v>0</v>
      </c>
      <c r="CJ28">
        <f t="shared" si="10"/>
        <v>0</v>
      </c>
      <c r="CK28">
        <f t="shared" si="10"/>
        <v>0</v>
      </c>
      <c r="CL28">
        <f t="shared" si="10"/>
        <v>0</v>
      </c>
      <c r="CM28">
        <f t="shared" si="10"/>
        <v>0</v>
      </c>
      <c r="CN28">
        <f t="shared" si="10"/>
        <v>0</v>
      </c>
      <c r="CO28">
        <f t="shared" si="10"/>
        <v>0</v>
      </c>
      <c r="CP28">
        <f t="shared" si="10"/>
        <v>0</v>
      </c>
      <c r="CQ28">
        <f t="shared" si="10"/>
        <v>0</v>
      </c>
      <c r="CR28">
        <f t="shared" si="10"/>
        <v>0</v>
      </c>
      <c r="CS28">
        <f t="shared" si="10"/>
        <v>0</v>
      </c>
      <c r="CT28">
        <f t="shared" si="10"/>
        <v>0</v>
      </c>
      <c r="CU28">
        <f t="shared" si="10"/>
        <v>0</v>
      </c>
      <c r="CV28">
        <f t="shared" si="10"/>
        <v>0</v>
      </c>
      <c r="CW28">
        <f t="shared" si="10"/>
        <v>0</v>
      </c>
      <c r="CX28">
        <f t="shared" si="10"/>
        <v>0</v>
      </c>
      <c r="CY28">
        <f t="shared" si="10"/>
        <v>0</v>
      </c>
      <c r="CZ28">
        <f t="shared" si="10"/>
        <v>0</v>
      </c>
      <c r="DA28">
        <f t="shared" si="10"/>
        <v>0</v>
      </c>
      <c r="DB28">
        <f t="shared" si="10"/>
        <v>0</v>
      </c>
      <c r="DC28">
        <f t="shared" ref="DC28:EH28" si="11">COUNTIF(DC6:DC27,"ausente")</f>
        <v>0</v>
      </c>
      <c r="DD28">
        <f t="shared" si="11"/>
        <v>0</v>
      </c>
      <c r="DE28">
        <f t="shared" si="11"/>
        <v>0</v>
      </c>
      <c r="DF28">
        <f t="shared" si="11"/>
        <v>0</v>
      </c>
      <c r="DG28">
        <f t="shared" si="11"/>
        <v>0</v>
      </c>
      <c r="DH28">
        <f t="shared" si="11"/>
        <v>0</v>
      </c>
      <c r="DI28">
        <f t="shared" si="11"/>
        <v>0</v>
      </c>
      <c r="DJ28">
        <f t="shared" si="11"/>
        <v>0</v>
      </c>
      <c r="DK28">
        <f t="shared" si="11"/>
        <v>0</v>
      </c>
      <c r="DL28">
        <f t="shared" si="11"/>
        <v>0</v>
      </c>
      <c r="DM28">
        <f t="shared" si="11"/>
        <v>0</v>
      </c>
      <c r="DN28">
        <f t="shared" si="11"/>
        <v>0</v>
      </c>
      <c r="DO28">
        <f t="shared" si="11"/>
        <v>0</v>
      </c>
      <c r="DP28">
        <f t="shared" si="11"/>
        <v>0</v>
      </c>
      <c r="DQ28">
        <f t="shared" si="11"/>
        <v>0</v>
      </c>
      <c r="DR28">
        <f t="shared" si="11"/>
        <v>0</v>
      </c>
      <c r="DS28">
        <f t="shared" si="11"/>
        <v>0</v>
      </c>
      <c r="DT28">
        <f t="shared" si="11"/>
        <v>0</v>
      </c>
    </row>
    <row r="29" spans="1:124" s="20" customFormat="1" ht="15.75">
      <c r="A29" s="19" t="s">
        <v>20</v>
      </c>
      <c r="B29" s="20">
        <f>COUNTIF(B6:B25,"abstenção")</f>
        <v>0</v>
      </c>
      <c r="C29" s="106">
        <f>COUNTIF(C6:C25,"abstenção")</f>
        <v>0</v>
      </c>
      <c r="D29" s="106">
        <f>COUNTIF(D6:D25,"abstenção")</f>
        <v>0</v>
      </c>
      <c r="K29" s="20">
        <f t="shared" ref="K29:AP29" si="12">COUNTIF(K10:K28,"abstenção")</f>
        <v>0</v>
      </c>
      <c r="L29" s="20">
        <f t="shared" si="12"/>
        <v>0</v>
      </c>
      <c r="M29" s="20">
        <f t="shared" si="12"/>
        <v>0</v>
      </c>
      <c r="N29" s="20">
        <f t="shared" si="12"/>
        <v>0</v>
      </c>
      <c r="O29" s="20">
        <f t="shared" si="12"/>
        <v>0</v>
      </c>
      <c r="P29" s="20">
        <f t="shared" si="12"/>
        <v>0</v>
      </c>
      <c r="Q29" s="20">
        <f t="shared" si="12"/>
        <v>0</v>
      </c>
      <c r="R29" s="20">
        <f t="shared" si="12"/>
        <v>0</v>
      </c>
      <c r="S29" s="20">
        <f t="shared" si="12"/>
        <v>0</v>
      </c>
      <c r="T29" s="20">
        <f t="shared" si="12"/>
        <v>0</v>
      </c>
      <c r="U29" s="20">
        <f t="shared" si="12"/>
        <v>0</v>
      </c>
      <c r="V29" s="20">
        <f t="shared" si="12"/>
        <v>0</v>
      </c>
      <c r="W29" s="20">
        <f t="shared" si="12"/>
        <v>0</v>
      </c>
      <c r="X29" s="20">
        <f t="shared" si="12"/>
        <v>0</v>
      </c>
      <c r="Y29" s="20">
        <f t="shared" si="12"/>
        <v>0</v>
      </c>
      <c r="Z29" s="20">
        <f t="shared" si="12"/>
        <v>0</v>
      </c>
      <c r="AA29" s="20">
        <f t="shared" si="12"/>
        <v>0</v>
      </c>
      <c r="AB29" s="20">
        <f t="shared" si="12"/>
        <v>0</v>
      </c>
      <c r="AC29" s="20">
        <f t="shared" si="12"/>
        <v>0</v>
      </c>
      <c r="AD29" s="20">
        <f t="shared" si="12"/>
        <v>0</v>
      </c>
      <c r="AE29" s="20">
        <f t="shared" si="12"/>
        <v>0</v>
      </c>
      <c r="AF29" s="20">
        <f t="shared" si="12"/>
        <v>0</v>
      </c>
      <c r="AG29" s="20">
        <f t="shared" si="12"/>
        <v>0</v>
      </c>
      <c r="AH29" s="20">
        <f t="shared" si="12"/>
        <v>0</v>
      </c>
      <c r="AI29" s="20">
        <f t="shared" si="12"/>
        <v>0</v>
      </c>
      <c r="AJ29" s="20">
        <f t="shared" si="12"/>
        <v>0</v>
      </c>
      <c r="AK29" s="20">
        <f t="shared" si="12"/>
        <v>0</v>
      </c>
      <c r="AL29" s="20">
        <f t="shared" si="12"/>
        <v>0</v>
      </c>
      <c r="AM29" s="20">
        <f t="shared" si="12"/>
        <v>0</v>
      </c>
      <c r="AN29" s="20">
        <f t="shared" si="12"/>
        <v>0</v>
      </c>
      <c r="AO29" s="20">
        <f t="shared" si="12"/>
        <v>0</v>
      </c>
      <c r="AP29" s="20">
        <f t="shared" si="12"/>
        <v>0</v>
      </c>
      <c r="AQ29" s="20">
        <f t="shared" ref="AQ29:BV29" si="13">COUNTIF(AQ10:AQ28,"abstenção")</f>
        <v>0</v>
      </c>
      <c r="AR29" s="20">
        <f t="shared" si="13"/>
        <v>0</v>
      </c>
      <c r="AS29" s="20">
        <f t="shared" si="13"/>
        <v>0</v>
      </c>
      <c r="AT29" s="20">
        <f t="shared" si="13"/>
        <v>0</v>
      </c>
      <c r="AU29" s="20">
        <f t="shared" si="13"/>
        <v>0</v>
      </c>
      <c r="AV29" s="20">
        <f t="shared" si="13"/>
        <v>0</v>
      </c>
      <c r="AW29" s="20">
        <f t="shared" si="13"/>
        <v>0</v>
      </c>
      <c r="AX29" s="20">
        <f t="shared" si="13"/>
        <v>0</v>
      </c>
      <c r="AY29" s="20">
        <f t="shared" si="13"/>
        <v>0</v>
      </c>
      <c r="AZ29" s="20">
        <f t="shared" si="13"/>
        <v>0</v>
      </c>
      <c r="BA29" s="20">
        <f t="shared" si="13"/>
        <v>0</v>
      </c>
      <c r="BB29" s="20">
        <f t="shared" si="13"/>
        <v>0</v>
      </c>
      <c r="BC29" s="20">
        <f t="shared" si="13"/>
        <v>0</v>
      </c>
      <c r="BD29" s="20">
        <f t="shared" si="13"/>
        <v>0</v>
      </c>
      <c r="BE29" s="20">
        <f t="shared" si="13"/>
        <v>0</v>
      </c>
      <c r="BF29" s="20">
        <f t="shared" si="13"/>
        <v>0</v>
      </c>
      <c r="BG29" s="20">
        <f t="shared" si="13"/>
        <v>0</v>
      </c>
      <c r="BH29" s="20">
        <f t="shared" si="13"/>
        <v>0</v>
      </c>
      <c r="BI29" s="20">
        <f t="shared" si="13"/>
        <v>0</v>
      </c>
      <c r="BJ29" s="20">
        <f t="shared" ref="BJ29:DT29" si="14">COUNTIF(BJ10:BJ28,"abstenção")</f>
        <v>0</v>
      </c>
      <c r="BK29" s="20">
        <f t="shared" si="14"/>
        <v>0</v>
      </c>
      <c r="BL29" s="20">
        <f t="shared" si="14"/>
        <v>0</v>
      </c>
      <c r="BM29" s="20">
        <f t="shared" si="14"/>
        <v>0</v>
      </c>
      <c r="BN29" s="20">
        <f t="shared" si="14"/>
        <v>0</v>
      </c>
      <c r="BO29" s="20">
        <f t="shared" si="14"/>
        <v>0</v>
      </c>
      <c r="BP29" s="20">
        <f t="shared" si="14"/>
        <v>0</v>
      </c>
      <c r="BQ29" s="20">
        <f t="shared" si="14"/>
        <v>0</v>
      </c>
      <c r="BR29" s="20">
        <f t="shared" si="14"/>
        <v>0</v>
      </c>
      <c r="BS29" s="20">
        <f t="shared" si="14"/>
        <v>0</v>
      </c>
      <c r="BT29" s="20">
        <f t="shared" si="14"/>
        <v>0</v>
      </c>
      <c r="BU29" s="20">
        <f t="shared" si="14"/>
        <v>0</v>
      </c>
      <c r="BV29" s="20">
        <f t="shared" si="14"/>
        <v>0</v>
      </c>
      <c r="BW29" s="20">
        <f t="shared" si="14"/>
        <v>0</v>
      </c>
      <c r="BX29" s="20">
        <f t="shared" si="14"/>
        <v>0</v>
      </c>
      <c r="BY29" s="20">
        <f t="shared" si="14"/>
        <v>0</v>
      </c>
      <c r="BZ29" s="20">
        <f t="shared" si="14"/>
        <v>0</v>
      </c>
      <c r="CA29" s="20">
        <f t="shared" si="14"/>
        <v>0</v>
      </c>
      <c r="CB29" s="20">
        <f t="shared" si="14"/>
        <v>0</v>
      </c>
      <c r="CC29" s="20">
        <f t="shared" si="14"/>
        <v>0</v>
      </c>
      <c r="CD29" s="20">
        <f t="shared" si="14"/>
        <v>0</v>
      </c>
      <c r="CE29" s="20">
        <f t="shared" si="14"/>
        <v>0</v>
      </c>
      <c r="CF29" s="20">
        <f t="shared" si="14"/>
        <v>0</v>
      </c>
      <c r="CG29" s="20">
        <f t="shared" si="14"/>
        <v>0</v>
      </c>
      <c r="CH29" s="20">
        <f t="shared" si="14"/>
        <v>0</v>
      </c>
      <c r="CI29" s="20">
        <f t="shared" si="14"/>
        <v>0</v>
      </c>
      <c r="CJ29" s="20">
        <f t="shared" si="14"/>
        <v>0</v>
      </c>
      <c r="CK29" s="20">
        <f t="shared" si="14"/>
        <v>0</v>
      </c>
      <c r="CL29" s="20">
        <f t="shared" si="14"/>
        <v>0</v>
      </c>
      <c r="CM29" s="20">
        <f t="shared" si="14"/>
        <v>0</v>
      </c>
      <c r="CN29" s="20">
        <f t="shared" si="14"/>
        <v>0</v>
      </c>
      <c r="CO29" s="20">
        <f t="shared" si="14"/>
        <v>0</v>
      </c>
      <c r="CP29" s="20">
        <f t="shared" si="14"/>
        <v>0</v>
      </c>
      <c r="CQ29" s="20">
        <f t="shared" si="14"/>
        <v>0</v>
      </c>
      <c r="CR29" s="20">
        <f t="shared" si="14"/>
        <v>0</v>
      </c>
      <c r="CS29" s="20">
        <f t="shared" si="14"/>
        <v>0</v>
      </c>
      <c r="CT29" s="20">
        <f t="shared" si="14"/>
        <v>0</v>
      </c>
      <c r="CU29" s="20">
        <f t="shared" si="14"/>
        <v>0</v>
      </c>
      <c r="CV29" s="20">
        <f t="shared" si="14"/>
        <v>0</v>
      </c>
      <c r="CW29" s="20">
        <f t="shared" si="14"/>
        <v>0</v>
      </c>
      <c r="CX29" s="20">
        <f t="shared" si="14"/>
        <v>0</v>
      </c>
      <c r="CY29" s="20">
        <f t="shared" si="14"/>
        <v>0</v>
      </c>
      <c r="CZ29" s="20">
        <f t="shared" si="14"/>
        <v>0</v>
      </c>
      <c r="DA29" s="20">
        <f t="shared" si="14"/>
        <v>0</v>
      </c>
      <c r="DB29" s="20">
        <f t="shared" si="14"/>
        <v>0</v>
      </c>
      <c r="DC29" s="20">
        <f t="shared" si="14"/>
        <v>0</v>
      </c>
      <c r="DD29" s="20">
        <f t="shared" si="14"/>
        <v>0</v>
      </c>
      <c r="DE29" s="20">
        <f t="shared" si="14"/>
        <v>0</v>
      </c>
      <c r="DF29" s="20">
        <f t="shared" si="14"/>
        <v>0</v>
      </c>
      <c r="DG29" s="20">
        <f t="shared" si="14"/>
        <v>0</v>
      </c>
      <c r="DH29" s="20">
        <f t="shared" si="14"/>
        <v>0</v>
      </c>
      <c r="DI29" s="20">
        <f t="shared" si="14"/>
        <v>0</v>
      </c>
      <c r="DJ29" s="20">
        <f t="shared" si="14"/>
        <v>0</v>
      </c>
      <c r="DK29" s="20">
        <f t="shared" si="14"/>
        <v>0</v>
      </c>
      <c r="DL29" s="20">
        <f t="shared" si="14"/>
        <v>0</v>
      </c>
      <c r="DM29" s="20">
        <f t="shared" si="14"/>
        <v>0</v>
      </c>
      <c r="DN29" s="20">
        <f t="shared" si="14"/>
        <v>0</v>
      </c>
      <c r="DO29" s="20">
        <f t="shared" si="14"/>
        <v>0</v>
      </c>
      <c r="DP29" s="20">
        <f t="shared" si="14"/>
        <v>0</v>
      </c>
      <c r="DQ29" s="20">
        <f t="shared" si="14"/>
        <v>0</v>
      </c>
      <c r="DR29" s="20">
        <f t="shared" si="14"/>
        <v>0</v>
      </c>
      <c r="DS29" s="20">
        <f t="shared" si="14"/>
        <v>0</v>
      </c>
      <c r="DT29" s="20">
        <f t="shared" si="14"/>
        <v>0</v>
      </c>
    </row>
    <row r="32" spans="1:124" ht="24.75">
      <c r="A32" s="1" t="s">
        <v>0</v>
      </c>
    </row>
    <row r="33" spans="1:1" ht="72.75">
      <c r="A33" s="1" t="s">
        <v>1</v>
      </c>
    </row>
    <row r="34" spans="1:1" ht="48.75">
      <c r="A34" s="1" t="s">
        <v>2</v>
      </c>
    </row>
    <row r="35" spans="1:1" ht="36.75">
      <c r="A35" s="1" t="s">
        <v>3</v>
      </c>
    </row>
    <row r="36" spans="1:1" ht="84.75">
      <c r="A36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C38"/>
  <sheetViews>
    <sheetView workbookViewId="0">
      <pane xSplit="1" topLeftCell="B1" activePane="topRight" state="frozen"/>
      <selection pane="topRight" activeCell="A3" sqref="A3"/>
    </sheetView>
  </sheetViews>
  <sheetFormatPr defaultRowHeight="15"/>
  <cols>
    <col min="1" max="1" width="49.7109375" customWidth="1"/>
    <col min="2" max="2" width="22.85546875" customWidth="1"/>
    <col min="3" max="3" width="28.5703125" customWidth="1"/>
  </cols>
  <sheetData>
    <row r="1" spans="1:3">
      <c r="A1" s="77" t="s">
        <v>8</v>
      </c>
      <c r="B1" s="2"/>
    </row>
    <row r="2" spans="1:3">
      <c r="A2" s="77" t="s">
        <v>103</v>
      </c>
      <c r="B2" s="2"/>
    </row>
    <row r="3" spans="1:3" ht="15.75" thickBot="1">
      <c r="A3" s="122" t="s">
        <v>105</v>
      </c>
      <c r="B3" s="2"/>
    </row>
    <row r="4" spans="1:3" ht="78.75" customHeight="1" thickBot="1">
      <c r="A4" s="121" t="s">
        <v>5</v>
      </c>
      <c r="B4" s="112" t="s">
        <v>21</v>
      </c>
      <c r="C4" s="142"/>
    </row>
    <row r="5" spans="1:3" s="6" customFormat="1" ht="60.75" customHeight="1">
      <c r="A5" s="123"/>
      <c r="B5" s="112"/>
      <c r="C5" s="114"/>
    </row>
    <row r="6" spans="1:3" ht="15.75">
      <c r="A6" s="128" t="s">
        <v>55</v>
      </c>
      <c r="C6" s="108"/>
    </row>
    <row r="7" spans="1:3" ht="15.75">
      <c r="A7" s="128" t="s">
        <v>95</v>
      </c>
      <c r="C7" s="108"/>
    </row>
    <row r="8" spans="1:3" ht="15.75">
      <c r="A8" s="128" t="s">
        <v>58</v>
      </c>
      <c r="C8" s="108"/>
    </row>
    <row r="9" spans="1:3" ht="15.75">
      <c r="A9" s="129" t="s">
        <v>59</v>
      </c>
      <c r="C9" s="115"/>
    </row>
    <row r="10" spans="1:3" ht="15.75">
      <c r="A10" s="128" t="s">
        <v>29</v>
      </c>
      <c r="C10" s="108"/>
    </row>
    <row r="11" spans="1:3" ht="15.75">
      <c r="A11" s="128" t="s">
        <v>60</v>
      </c>
      <c r="C11" s="108"/>
    </row>
    <row r="12" spans="1:3" ht="15.75">
      <c r="A12" s="128" t="s">
        <v>22</v>
      </c>
      <c r="C12" s="108"/>
    </row>
    <row r="13" spans="1:3" ht="15.75">
      <c r="A13" s="128" t="s">
        <v>23</v>
      </c>
      <c r="B13" s="141"/>
      <c r="C13" s="108"/>
    </row>
    <row r="14" spans="1:3" ht="15.75">
      <c r="A14" s="128" t="s">
        <v>24</v>
      </c>
      <c r="C14" s="108"/>
    </row>
    <row r="15" spans="1:3" ht="15.75">
      <c r="A15" s="128" t="s">
        <v>61</v>
      </c>
      <c r="C15" s="108"/>
    </row>
    <row r="16" spans="1:3" ht="15.75">
      <c r="A16" s="128" t="s">
        <v>62</v>
      </c>
      <c r="C16" s="108"/>
    </row>
    <row r="17" spans="1:3" ht="15.75">
      <c r="A17" s="128" t="s">
        <v>63</v>
      </c>
      <c r="C17" s="108"/>
    </row>
    <row r="18" spans="1:3" ht="15.75">
      <c r="A18" s="128" t="s">
        <v>25</v>
      </c>
      <c r="C18" s="108"/>
    </row>
    <row r="19" spans="1:3" ht="15.75">
      <c r="A19" s="128" t="s">
        <v>64</v>
      </c>
      <c r="C19" s="108"/>
    </row>
    <row r="20" spans="1:3" ht="15.75">
      <c r="A20" s="128" t="s">
        <v>96</v>
      </c>
      <c r="C20" s="108"/>
    </row>
    <row r="21" spans="1:3" ht="15.75">
      <c r="A21" s="128" t="s">
        <v>26</v>
      </c>
      <c r="C21" s="115"/>
    </row>
    <row r="22" spans="1:3" ht="15.75">
      <c r="A22" s="128" t="s">
        <v>65</v>
      </c>
      <c r="C22" s="108"/>
    </row>
    <row r="23" spans="1:3" ht="15.75">
      <c r="A23" s="128" t="s">
        <v>27</v>
      </c>
      <c r="C23" s="115"/>
    </row>
    <row r="24" spans="1:3" ht="15.75">
      <c r="A24" s="128" t="s">
        <v>53</v>
      </c>
      <c r="C24" s="108"/>
    </row>
    <row r="25" spans="1:3" ht="15.75">
      <c r="A25" s="128" t="s">
        <v>66</v>
      </c>
      <c r="C25" s="115"/>
    </row>
    <row r="26" spans="1:3" ht="15.75">
      <c r="A26" s="128" t="s">
        <v>67</v>
      </c>
      <c r="C26" s="108"/>
    </row>
    <row r="27" spans="1:3">
      <c r="C27" s="108"/>
    </row>
    <row r="28" spans="1:3" ht="15.75">
      <c r="A28" s="15" t="s">
        <v>18</v>
      </c>
      <c r="B28" s="16">
        <f>COUNTIF(B6:B26,"sim")</f>
        <v>0</v>
      </c>
      <c r="C28" s="104">
        <f t="shared" ref="C28" si="0">COUNTIF(C6:C26,"sim")</f>
        <v>0</v>
      </c>
    </row>
    <row r="29" spans="1:3" ht="15.75">
      <c r="A29" s="17" t="s">
        <v>19</v>
      </c>
      <c r="B29" s="18">
        <f>COUNTIF(B6:B26,"não")</f>
        <v>0</v>
      </c>
      <c r="C29" s="105">
        <f t="shared" ref="C29" si="1">COUNTIF(C6:C26,"não")</f>
        <v>0</v>
      </c>
    </row>
    <row r="30" spans="1:3" ht="15.75">
      <c r="A30" s="14" t="s">
        <v>11</v>
      </c>
      <c r="B30">
        <f>COUNTIF(B6:B26,"ausente")</f>
        <v>0</v>
      </c>
      <c r="C30" s="40">
        <f t="shared" ref="C30" si="2">COUNTIF(C6:C26,"ausente")</f>
        <v>0</v>
      </c>
    </row>
    <row r="31" spans="1:3" ht="15.75">
      <c r="A31" s="19" t="s">
        <v>20</v>
      </c>
      <c r="B31" s="20">
        <f>COUNTIF(B6:B26,"abstenção")</f>
        <v>0</v>
      </c>
      <c r="C31" s="106">
        <f t="shared" ref="C31" si="3">COUNTIF(C6:C26,"abstenção")</f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I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7.5703125" style="23" customWidth="1"/>
    <col min="7" max="7" width="16" style="23" customWidth="1"/>
    <col min="8" max="8" width="17.28515625" style="23" customWidth="1"/>
    <col min="9" max="9" width="15.5703125" customWidth="1"/>
    <col min="10" max="10" width="18.28515625" customWidth="1"/>
  </cols>
  <sheetData>
    <row r="1" spans="1:9">
      <c r="A1" s="77" t="s">
        <v>8</v>
      </c>
      <c r="B1" s="2"/>
      <c r="C1" s="54"/>
      <c r="D1" s="54"/>
      <c r="E1" s="54"/>
    </row>
    <row r="2" spans="1:9">
      <c r="A2" s="77" t="s">
        <v>103</v>
      </c>
      <c r="B2" s="2"/>
      <c r="C2" s="54"/>
      <c r="D2" s="54"/>
      <c r="E2" s="54"/>
    </row>
    <row r="3" spans="1:9" ht="15.75" thickBot="1">
      <c r="A3" s="122" t="s">
        <v>105</v>
      </c>
      <c r="B3" s="2"/>
      <c r="C3" s="54"/>
      <c r="D3" s="54"/>
      <c r="E3" s="54"/>
    </row>
    <row r="4" spans="1:9" ht="78" customHeight="1" thickBot="1">
      <c r="A4" s="121" t="s">
        <v>5</v>
      </c>
      <c r="B4" s="124" t="s">
        <v>33</v>
      </c>
      <c r="C4" s="132" t="s">
        <v>41</v>
      </c>
      <c r="D4" s="132" t="s">
        <v>40</v>
      </c>
      <c r="E4" s="132" t="s">
        <v>42</v>
      </c>
      <c r="F4" s="132" t="s">
        <v>43</v>
      </c>
      <c r="G4" s="132" t="s">
        <v>44</v>
      </c>
      <c r="H4" s="132" t="s">
        <v>45</v>
      </c>
      <c r="I4" s="132" t="s">
        <v>68</v>
      </c>
    </row>
    <row r="5" spans="1:9" ht="60.75" customHeight="1">
      <c r="A5" s="48"/>
      <c r="B5" s="10"/>
      <c r="C5" s="133"/>
      <c r="D5" s="132"/>
      <c r="E5" s="132"/>
      <c r="F5" s="134"/>
      <c r="G5" s="135"/>
      <c r="H5" s="135"/>
      <c r="I5" s="40"/>
    </row>
    <row r="6" spans="1:9" ht="18">
      <c r="A6" s="130" t="s">
        <v>55</v>
      </c>
      <c r="C6" s="135"/>
      <c r="D6" s="135"/>
      <c r="E6" s="135"/>
      <c r="F6" s="135"/>
      <c r="G6" s="135"/>
      <c r="H6" s="135"/>
      <c r="I6" s="40"/>
    </row>
    <row r="7" spans="1:9" ht="18">
      <c r="A7" s="130" t="s">
        <v>95</v>
      </c>
      <c r="C7" s="135"/>
      <c r="D7" s="135"/>
      <c r="E7" s="135"/>
      <c r="F7" s="135"/>
      <c r="G7" s="135"/>
      <c r="H7" s="135"/>
      <c r="I7" s="40"/>
    </row>
    <row r="8" spans="1:9" ht="18">
      <c r="A8" s="130" t="s">
        <v>58</v>
      </c>
      <c r="C8" s="135"/>
      <c r="D8" s="135"/>
      <c r="E8" s="135"/>
      <c r="F8" s="135"/>
      <c r="G8" s="135"/>
      <c r="H8" s="135"/>
      <c r="I8" s="40"/>
    </row>
    <row r="9" spans="1:9" ht="18">
      <c r="A9" s="131" t="s">
        <v>59</v>
      </c>
      <c r="C9" s="135"/>
      <c r="D9" s="135"/>
      <c r="E9" s="135"/>
      <c r="F9" s="135"/>
      <c r="G9" s="135"/>
      <c r="H9" s="135"/>
      <c r="I9" s="40"/>
    </row>
    <row r="10" spans="1:9" ht="18">
      <c r="A10" s="130" t="s">
        <v>29</v>
      </c>
      <c r="C10" s="135"/>
      <c r="D10" s="135"/>
      <c r="E10" s="135"/>
      <c r="F10" s="135"/>
      <c r="G10" s="135"/>
      <c r="H10" s="135"/>
      <c r="I10" s="40"/>
    </row>
    <row r="11" spans="1:9" ht="18">
      <c r="A11" s="130" t="s">
        <v>60</v>
      </c>
      <c r="C11" s="135"/>
      <c r="D11" s="135"/>
      <c r="E11" s="135"/>
      <c r="F11" s="135"/>
      <c r="G11" s="135"/>
      <c r="H11" s="135"/>
      <c r="I11" s="40"/>
    </row>
    <row r="12" spans="1:9" ht="18">
      <c r="A12" s="130" t="s">
        <v>22</v>
      </c>
      <c r="C12" s="135"/>
      <c r="D12" s="135"/>
      <c r="E12" s="135"/>
      <c r="F12" s="135"/>
      <c r="G12" s="135"/>
      <c r="H12" s="135"/>
      <c r="I12" s="40"/>
    </row>
    <row r="13" spans="1:9" ht="18">
      <c r="A13" s="130" t="s">
        <v>23</v>
      </c>
      <c r="C13" s="135"/>
      <c r="D13" s="135"/>
      <c r="E13" s="135"/>
      <c r="F13" s="135"/>
      <c r="G13" s="135"/>
      <c r="H13" s="135"/>
      <c r="I13" s="40"/>
    </row>
    <row r="14" spans="1:9" ht="18">
      <c r="A14" s="130" t="s">
        <v>24</v>
      </c>
      <c r="C14" s="135"/>
      <c r="D14" s="135"/>
      <c r="E14" s="135"/>
      <c r="F14" s="135"/>
      <c r="G14" s="135"/>
      <c r="H14" s="135"/>
      <c r="I14" s="40"/>
    </row>
    <row r="15" spans="1:9" ht="18">
      <c r="A15" s="130" t="s">
        <v>61</v>
      </c>
      <c r="C15" s="135"/>
      <c r="D15" s="135"/>
      <c r="E15" s="135"/>
      <c r="F15" s="135"/>
      <c r="G15" s="135"/>
      <c r="H15" s="135"/>
      <c r="I15" s="40"/>
    </row>
    <row r="16" spans="1:9" ht="18">
      <c r="A16" s="130" t="s">
        <v>62</v>
      </c>
      <c r="C16" s="135"/>
      <c r="D16" s="135"/>
      <c r="E16" s="135"/>
      <c r="F16" s="135"/>
      <c r="G16" s="135"/>
      <c r="H16" s="135"/>
      <c r="I16" s="40"/>
    </row>
    <row r="17" spans="1:9" ht="18">
      <c r="A17" s="130" t="s">
        <v>63</v>
      </c>
      <c r="C17" s="135"/>
      <c r="D17" s="135"/>
      <c r="E17" s="135"/>
      <c r="F17" s="135"/>
      <c r="G17" s="135"/>
      <c r="H17" s="135"/>
      <c r="I17" s="40"/>
    </row>
    <row r="18" spans="1:9" ht="18">
      <c r="A18" s="130" t="s">
        <v>25</v>
      </c>
      <c r="C18" s="135"/>
      <c r="D18" s="135"/>
      <c r="E18" s="135"/>
      <c r="F18" s="135"/>
      <c r="G18" s="135"/>
      <c r="H18" s="135"/>
      <c r="I18" s="40"/>
    </row>
    <row r="19" spans="1:9" ht="18">
      <c r="A19" s="130" t="s">
        <v>64</v>
      </c>
      <c r="C19" s="135"/>
      <c r="D19" s="135"/>
      <c r="E19" s="135"/>
      <c r="F19" s="135"/>
      <c r="G19" s="135"/>
      <c r="H19" s="135"/>
      <c r="I19" s="40"/>
    </row>
    <row r="20" spans="1:9" ht="18">
      <c r="A20" s="130" t="s">
        <v>96</v>
      </c>
      <c r="C20" s="135"/>
      <c r="D20" s="135"/>
      <c r="E20" s="135"/>
      <c r="F20" s="135"/>
      <c r="G20" s="135"/>
      <c r="H20" s="135"/>
      <c r="I20" s="40"/>
    </row>
    <row r="21" spans="1:9" ht="18">
      <c r="A21" s="130" t="s">
        <v>26</v>
      </c>
      <c r="C21" s="135"/>
      <c r="D21" s="135"/>
      <c r="E21" s="135"/>
      <c r="F21" s="135"/>
      <c r="G21" s="135"/>
      <c r="H21" s="135"/>
      <c r="I21" s="40"/>
    </row>
    <row r="22" spans="1:9" ht="18">
      <c r="A22" s="130" t="s">
        <v>65</v>
      </c>
      <c r="C22" s="135"/>
      <c r="D22" s="135"/>
      <c r="E22" s="135"/>
      <c r="F22" s="135"/>
      <c r="G22" s="135"/>
      <c r="H22" s="135"/>
      <c r="I22" s="40"/>
    </row>
    <row r="23" spans="1:9" ht="18">
      <c r="A23" s="130" t="s">
        <v>27</v>
      </c>
      <c r="C23" s="135"/>
      <c r="D23" s="135"/>
      <c r="E23" s="135"/>
      <c r="F23" s="135"/>
      <c r="G23" s="135"/>
      <c r="H23" s="135"/>
      <c r="I23" s="40"/>
    </row>
    <row r="24" spans="1:9" ht="18">
      <c r="A24" s="130" t="s">
        <v>53</v>
      </c>
      <c r="C24" s="135"/>
      <c r="D24" s="135"/>
      <c r="E24" s="135"/>
      <c r="F24" s="135"/>
      <c r="G24" s="135"/>
      <c r="H24" s="135"/>
      <c r="I24" s="40"/>
    </row>
    <row r="25" spans="1:9" ht="18">
      <c r="A25" s="130" t="s">
        <v>66</v>
      </c>
      <c r="C25" s="135"/>
      <c r="D25" s="135"/>
      <c r="E25" s="135"/>
      <c r="F25" s="135"/>
      <c r="G25" s="135"/>
      <c r="H25" s="135"/>
      <c r="I25" s="40"/>
    </row>
    <row r="26" spans="1:9" ht="18">
      <c r="A26" s="130" t="s">
        <v>67</v>
      </c>
      <c r="C26" s="135"/>
      <c r="D26" s="135"/>
      <c r="E26" s="135"/>
      <c r="F26" s="135"/>
      <c r="G26" s="135"/>
      <c r="H26" s="135"/>
      <c r="I26" s="40"/>
    </row>
    <row r="27" spans="1:9">
      <c r="C27" s="135"/>
      <c r="D27" s="135"/>
      <c r="E27" s="135"/>
      <c r="F27" s="135"/>
      <c r="G27" s="135"/>
      <c r="H27" s="135"/>
      <c r="I27" s="40"/>
    </row>
    <row r="28" spans="1:9" ht="15.75">
      <c r="A28" s="15" t="s">
        <v>18</v>
      </c>
      <c r="B28" s="16"/>
      <c r="C28" s="136">
        <f t="shared" ref="C28:I28" si="0">COUNTIF(C6:C26,"sim")</f>
        <v>0</v>
      </c>
      <c r="D28" s="136">
        <f t="shared" si="0"/>
        <v>0</v>
      </c>
      <c r="E28" s="136">
        <f t="shared" si="0"/>
        <v>0</v>
      </c>
      <c r="F28" s="136">
        <f t="shared" si="0"/>
        <v>0</v>
      </c>
      <c r="G28" s="136">
        <f t="shared" si="0"/>
        <v>0</v>
      </c>
      <c r="H28" s="136">
        <f t="shared" si="0"/>
        <v>0</v>
      </c>
      <c r="I28" s="136">
        <f t="shared" si="0"/>
        <v>0</v>
      </c>
    </row>
    <row r="29" spans="1:9" ht="15.75">
      <c r="A29" s="17" t="s">
        <v>19</v>
      </c>
      <c r="B29" s="18"/>
      <c r="C29" s="137">
        <f t="shared" ref="C29:I29" si="1">COUNTIF(C6:C26,"não")</f>
        <v>0</v>
      </c>
      <c r="D29" s="137">
        <f t="shared" si="1"/>
        <v>0</v>
      </c>
      <c r="E29" s="137">
        <f t="shared" si="1"/>
        <v>0</v>
      </c>
      <c r="F29" s="137">
        <f t="shared" si="1"/>
        <v>0</v>
      </c>
      <c r="G29" s="137">
        <f t="shared" si="1"/>
        <v>0</v>
      </c>
      <c r="H29" s="137">
        <f t="shared" si="1"/>
        <v>0</v>
      </c>
      <c r="I29" s="137">
        <f t="shared" si="1"/>
        <v>0</v>
      </c>
    </row>
    <row r="30" spans="1:9" ht="15.75">
      <c r="A30" s="14" t="s">
        <v>11</v>
      </c>
      <c r="C30" s="135">
        <f t="shared" ref="C30:I30" si="2">COUNTIF(C6:C26,"ausente")</f>
        <v>0</v>
      </c>
      <c r="D30" s="135">
        <f t="shared" si="2"/>
        <v>0</v>
      </c>
      <c r="E30" s="135">
        <f t="shared" si="2"/>
        <v>0</v>
      </c>
      <c r="F30" s="135">
        <f t="shared" si="2"/>
        <v>0</v>
      </c>
      <c r="G30" s="135">
        <f t="shared" si="2"/>
        <v>0</v>
      </c>
      <c r="H30" s="135">
        <f t="shared" si="2"/>
        <v>0</v>
      </c>
      <c r="I30" s="135">
        <f t="shared" si="2"/>
        <v>0</v>
      </c>
    </row>
    <row r="31" spans="1:9" ht="15.75">
      <c r="A31" s="19" t="s">
        <v>20</v>
      </c>
      <c r="B31" s="20"/>
      <c r="C31" s="138">
        <f t="shared" ref="C31:I31" si="3">COUNTIF(C6:C26,"abstenção")</f>
        <v>0</v>
      </c>
      <c r="D31" s="138">
        <f t="shared" si="3"/>
        <v>0</v>
      </c>
      <c r="E31" s="138">
        <f t="shared" si="3"/>
        <v>0</v>
      </c>
      <c r="F31" s="138">
        <f t="shared" si="3"/>
        <v>0</v>
      </c>
      <c r="G31" s="138">
        <f t="shared" si="3"/>
        <v>0</v>
      </c>
      <c r="H31" s="138">
        <f t="shared" si="3"/>
        <v>0</v>
      </c>
      <c r="I31" s="138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Y37"/>
  <sheetViews>
    <sheetView zoomScale="90" zoomScaleNormal="90" workbookViewId="0">
      <selection activeCell="A3" sqref="A3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3.5703125" customWidth="1"/>
    <col min="5" max="5" width="22" customWidth="1"/>
    <col min="6" max="6" width="22.140625" customWidth="1"/>
    <col min="7" max="7" width="22.7109375" customWidth="1"/>
    <col min="8" max="8" width="21" customWidth="1"/>
    <col min="9" max="25" width="24.5703125" customWidth="1"/>
  </cols>
  <sheetData>
    <row r="1" spans="1:25">
      <c r="A1" s="77" t="s">
        <v>8</v>
      </c>
      <c r="B1" s="2"/>
    </row>
    <row r="2" spans="1:25">
      <c r="A2" s="77" t="s">
        <v>103</v>
      </c>
      <c r="B2" s="2"/>
    </row>
    <row r="3" spans="1:25">
      <c r="A3" s="77" t="s">
        <v>105</v>
      </c>
      <c r="B3" s="2"/>
    </row>
    <row r="4" spans="1:25" ht="60.75" customHeight="1" thickBot="1">
      <c r="A4" s="52" t="s">
        <v>5</v>
      </c>
      <c r="B4" s="111" t="s">
        <v>34</v>
      </c>
      <c r="C4" s="107" t="s">
        <v>39</v>
      </c>
      <c r="D4" s="107" t="s">
        <v>69</v>
      </c>
      <c r="E4" s="107" t="s">
        <v>70</v>
      </c>
      <c r="F4" s="107" t="s">
        <v>71</v>
      </c>
      <c r="G4" s="107" t="s">
        <v>72</v>
      </c>
      <c r="H4" s="107" t="s">
        <v>73</v>
      </c>
      <c r="I4" s="107" t="s">
        <v>74</v>
      </c>
      <c r="J4" s="107" t="s">
        <v>75</v>
      </c>
      <c r="K4" s="107" t="s">
        <v>76</v>
      </c>
      <c r="L4" s="107" t="s">
        <v>77</v>
      </c>
      <c r="M4" s="107" t="s">
        <v>78</v>
      </c>
      <c r="N4" s="107" t="s">
        <v>79</v>
      </c>
      <c r="O4" s="107" t="s">
        <v>80</v>
      </c>
      <c r="P4" s="107" t="s">
        <v>81</v>
      </c>
      <c r="Q4" s="107" t="s">
        <v>82</v>
      </c>
      <c r="R4" s="107" t="s">
        <v>83</v>
      </c>
      <c r="S4" s="107" t="s">
        <v>84</v>
      </c>
      <c r="T4" s="107" t="s">
        <v>85</v>
      </c>
      <c r="U4" s="107" t="s">
        <v>86</v>
      </c>
      <c r="V4" s="107" t="s">
        <v>87</v>
      </c>
      <c r="W4" s="107" t="s">
        <v>88</v>
      </c>
      <c r="X4" s="107" t="s">
        <v>89</v>
      </c>
      <c r="Y4" s="107" t="s">
        <v>90</v>
      </c>
    </row>
    <row r="5" spans="1:25" ht="60.75" customHeight="1">
      <c r="A5" s="48"/>
      <c r="B5" s="11"/>
      <c r="C5" s="139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</row>
    <row r="6" spans="1:25" ht="15.75">
      <c r="A6" s="128" t="s">
        <v>55</v>
      </c>
    </row>
    <row r="7" spans="1:25" ht="15.75">
      <c r="A7" s="128" t="s">
        <v>95</v>
      </c>
    </row>
    <row r="8" spans="1:25" ht="15.75">
      <c r="A8" s="128" t="s">
        <v>58</v>
      </c>
    </row>
    <row r="9" spans="1:25" ht="15.75">
      <c r="A9" s="129" t="s">
        <v>59</v>
      </c>
    </row>
    <row r="10" spans="1:25" ht="15.75">
      <c r="A10" s="128" t="s">
        <v>29</v>
      </c>
    </row>
    <row r="11" spans="1:25" ht="15.75">
      <c r="A11" s="128" t="s">
        <v>60</v>
      </c>
    </row>
    <row r="12" spans="1:25" ht="15.75">
      <c r="A12" s="128" t="s">
        <v>22</v>
      </c>
    </row>
    <row r="13" spans="1:25" ht="15.75">
      <c r="A13" s="128" t="s">
        <v>23</v>
      </c>
    </row>
    <row r="14" spans="1:25" ht="15.75">
      <c r="A14" s="128" t="s">
        <v>24</v>
      </c>
    </row>
    <row r="15" spans="1:25" ht="15.75">
      <c r="A15" s="128" t="s">
        <v>61</v>
      </c>
    </row>
    <row r="16" spans="1:25" ht="15.75">
      <c r="A16" s="128" t="s">
        <v>62</v>
      </c>
    </row>
    <row r="17" spans="1:25" ht="15.75">
      <c r="A17" s="128" t="s">
        <v>63</v>
      </c>
    </row>
    <row r="18" spans="1:25" ht="15.75">
      <c r="A18" s="128" t="s">
        <v>25</v>
      </c>
    </row>
    <row r="19" spans="1:25" ht="15.75">
      <c r="A19" s="128" t="s">
        <v>64</v>
      </c>
    </row>
    <row r="20" spans="1:25" ht="15.75">
      <c r="A20" s="128" t="s">
        <v>96</v>
      </c>
    </row>
    <row r="21" spans="1:25" ht="15.75">
      <c r="A21" s="128" t="s">
        <v>26</v>
      </c>
    </row>
    <row r="22" spans="1:25" ht="15.75">
      <c r="A22" s="128" t="s">
        <v>65</v>
      </c>
    </row>
    <row r="23" spans="1:25" ht="15.75">
      <c r="A23" s="128" t="s">
        <v>27</v>
      </c>
    </row>
    <row r="24" spans="1:25" ht="15.75">
      <c r="A24" s="128" t="s">
        <v>53</v>
      </c>
    </row>
    <row r="25" spans="1:25" ht="15.75">
      <c r="A25" s="128" t="s">
        <v>66</v>
      </c>
    </row>
    <row r="26" spans="1:25" ht="15.75">
      <c r="A26" s="128" t="s">
        <v>67</v>
      </c>
    </row>
    <row r="27" spans="1:25" ht="15.75">
      <c r="A27" s="15" t="s">
        <v>18</v>
      </c>
      <c r="B27" s="16">
        <f t="shared" ref="B27:I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si="0"/>
        <v>0</v>
      </c>
      <c r="I27" s="16">
        <f t="shared" si="0"/>
        <v>0</v>
      </c>
      <c r="J27" s="16">
        <f t="shared" ref="J27:Y27" si="1">COUNTIF(J6:J25,"sim")</f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  <c r="X27" s="16">
        <f t="shared" si="1"/>
        <v>0</v>
      </c>
      <c r="Y27" s="16">
        <f t="shared" si="1"/>
        <v>0</v>
      </c>
    </row>
    <row r="28" spans="1:25" ht="15.75">
      <c r="A28" s="17" t="s">
        <v>19</v>
      </c>
      <c r="B28" s="18">
        <f t="shared" ref="B28:I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si="2"/>
        <v>0</v>
      </c>
      <c r="I28" s="18">
        <f t="shared" si="2"/>
        <v>0</v>
      </c>
      <c r="J28" s="18">
        <f t="shared" ref="J28:Y28" si="3">COUNTIF(J6:J25,"não")</f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  <c r="X28" s="18">
        <f t="shared" si="3"/>
        <v>0</v>
      </c>
      <c r="Y28" s="18">
        <f t="shared" si="3"/>
        <v>0</v>
      </c>
    </row>
    <row r="29" spans="1:25" ht="15.75">
      <c r="A29" s="14" t="s">
        <v>11</v>
      </c>
      <c r="B29">
        <f t="shared" ref="B29:I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si="4"/>
        <v>0</v>
      </c>
      <c r="I29">
        <f t="shared" si="4"/>
        <v>0</v>
      </c>
      <c r="J29">
        <f t="shared" ref="J29:Y29" si="5">COUNTIF(J6:J25,"ausente")</f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  <c r="X29">
        <f t="shared" si="5"/>
        <v>0</v>
      </c>
      <c r="Y29">
        <f t="shared" si="5"/>
        <v>0</v>
      </c>
    </row>
    <row r="30" spans="1:25" ht="15.75">
      <c r="A30" s="19" t="s">
        <v>20</v>
      </c>
      <c r="B30" s="20">
        <f t="shared" ref="B30:I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si="6"/>
        <v>0</v>
      </c>
      <c r="I30" s="20">
        <f t="shared" si="6"/>
        <v>0</v>
      </c>
      <c r="J30" s="20">
        <f t="shared" ref="J30:Y30" si="7">COUNTIF(J6:J25,"abstenção")</f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  <c r="X30" s="20">
        <f t="shared" si="7"/>
        <v>0</v>
      </c>
      <c r="Y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2024-09-19T19:05:17Z</cp:lastPrinted>
  <dcterms:created xsi:type="dcterms:W3CDTF">2017-05-08T13:43:49Z</dcterms:created>
  <dcterms:modified xsi:type="dcterms:W3CDTF">2025-06-06T18:09:14Z</dcterms:modified>
</cp:coreProperties>
</file>