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4944B31-CDA9-402A-A9FC-69B09313CED6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D27" i="3"/>
  <c r="D28" i="3"/>
  <c r="D29" i="3"/>
  <c r="D30" i="3"/>
  <c r="E27" i="2"/>
  <c r="E28" i="2"/>
  <c r="E29" i="2"/>
  <c r="E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<sst xmlns="http://schemas.openxmlformats.org/spreadsheetml/2006/main" count="438" uniqueCount="120">
  <si>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</si>
  <si>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</si>
  <si>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</si>
  <si>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</si>
  <si>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</si>
  <si>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</si>
  <si>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</si>
  <si>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</si>
  <si>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</si>
  <si>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</si>
  <si>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</si>
  <si>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</si>
  <si>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</si>
  <si>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</si>
  <si>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</si>
  <si>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</si>
  <si>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</si>
  <si>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</si>
  <si>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</si>
  <si>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</si>
  <si>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</si>
  <si>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</si>
  <si>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</si>
  <si>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</si>
  <si>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</si>
  <si>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</si>
  <si>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</si>
  <si>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</si>
  <si>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</si>
  <si>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</si>
  <si>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</si>
  <si>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</si>
  <si>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</si>
  <si>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</si>
  <si>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</si>
  <si>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</si>
  <si>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</si>
  <si>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</si>
  <si>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</si>
  <si>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</si>
  <si>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</si>
  <si>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</si>
  <si>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</si>
  <si>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</si>
  <si>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</si>
  <si>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</si>
  <si>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</si>
  <si>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</si>
  <si>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</si>
  <si>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</si>
  <si>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</si>
  <si>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</si>
  <si>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</si>
  <si>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</si>
  <si>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</si>
  <si>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</si>
  <si>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</si>
  <si>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</si>
  <si>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</si>
  <si>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</si>
  <si>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</si>
  <si>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</si>
  <si>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</si>
  <si>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</si>
  <si>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</si>
  <si>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</si>
  <si>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</si>
  <si>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</si>
  <si>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</si>
  <si>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</si>
  <si>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</si>
  <si>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</si>
  <si>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</si>
  <si>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</si>
  <si>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</si>
  <si>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</si>
  <si>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</si>
  <si>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</si>
  <si>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</si>
  <si>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</si>
  <si>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</si>
  <si>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</si>
  <si>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</si>
  <si>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</si>
  <si>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</si>
  <si>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</si>
  <si>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</si>
  <si>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</si>
  <si>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</si>
  <si>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</si>
  <si>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</si>
  <si>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</si>
  <si>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</si>
  <si>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</si>
  <si>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</si>
  <si>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</si>
  <si>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</si>
  <si>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</si>
  <si>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</si>
  <si>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na presidência</t>
  </si>
  <si>
    <t>pela ausência da autora, será pautada na próxima sessão</t>
  </si>
  <si>
    <t>Justificativa de ausência do Vereador Alexandre Capriotti</t>
  </si>
  <si>
    <r>
      <t xml:space="preserve">MOÇÃO DE APLAUSO Nº 55/2025 – STEPHANE ROSSI – </t>
    </r>
    <r>
      <rPr>
        <sz val="11"/>
        <color theme="1"/>
        <rFont val="Arial"/>
        <family val="2"/>
      </rPr>
      <t>Para os quatro bombeiros, os soldados Cirino, Santana, Rafael e Xavier, que se arriscaram para salvar a vida do menino Matheus Araújo, de 12 anos, que estava se afogando em uma praia do Guarujá.</t>
    </r>
  </si>
  <si>
    <t>8ª SESSÃO ORDINÁRIA</t>
  </si>
  <si>
    <t>DIA 6 DE MARÇO DE 2025 - QUINTA-FEIRA</t>
  </si>
  <si>
    <t>DIA 6 DE MARÇO DE 2025 - QUINTA–FEIRA</t>
  </si>
  <si>
    <r>
      <t>Ofício Prolegis 2/2025 – Prefeito do Município de Osasco –</t>
    </r>
    <r>
      <rPr>
        <sz val="12"/>
        <color rgb="FF000000"/>
        <rFont val="Calibri"/>
        <family val="2"/>
      </rPr>
      <t xml:space="preserve"> Informa a sanção da Lei nº 5.385, de 24 de fevereiro de 2025, referente ao Projeto de Lei nº 47/2024, de autoria do vereador Délbio Teruel, que institui o dia municipal do JATIO – Jogos Adaptados da Terceira Idade de Osasco. </t>
    </r>
  </si>
  <si>
    <r>
      <t xml:space="preserve">Decreto 14.558, de 25 de fevereiro de 2025 – Prefeito do Município de Osasco – </t>
    </r>
    <r>
      <rPr>
        <sz val="12"/>
        <color rgb="FF000000"/>
        <rFont val="Calibri"/>
        <family val="2"/>
      </rPr>
      <t>Dispõe sobre a centralização das solicitações de ligação de energia elétrica às unidades públicas da Diretoria Geral de Iluminação Pública da Prefeitura do Município de Osasco.</t>
    </r>
  </si>
  <si>
    <r>
      <t xml:space="preserve">Decretos 14.561, 14.562 e 14.563 de 26 de fevereiro de 2025 – Prefeito do Município de Osasco – </t>
    </r>
    <r>
      <rPr>
        <sz val="12"/>
        <color rgb="FF000000"/>
        <rFont val="Calibri"/>
        <family val="2"/>
      </rPr>
      <t>Dispõe sobre a abertura de crédito adicional suplementar ao orçamento vigente e dá outras providências.</t>
    </r>
  </si>
  <si>
    <r>
      <t xml:space="preserve">Projeto de Decreto Legislativo nº 57/2024 – Ralfi Silva – </t>
    </r>
    <r>
      <rPr>
        <sz val="12"/>
        <color rgb="FF000000"/>
        <rFont val="Calibri"/>
        <family val="2"/>
      </rPr>
      <t>Dispõe sobre a concessão de Placa Comemorativa à Translima Logística.</t>
    </r>
  </si>
  <si>
    <r>
      <t xml:space="preserve">Projeto de Decreto Legislativo 58/2024 – Ralfi Silva – </t>
    </r>
    <r>
      <rPr>
        <sz val="12"/>
        <color rgb="FF000000"/>
        <rFont val="Calibri"/>
        <family val="2"/>
      </rPr>
      <t>Dispõe sobre a concessão de Cartão de Prata ao Grupo Extrema.</t>
    </r>
  </si>
  <si>
    <r>
      <t xml:space="preserve">Projeto de Decreto Legislativo 66/2024 – Lúcia da Saúde – </t>
    </r>
    <r>
      <rPr>
        <sz val="12"/>
        <color rgb="FF000000"/>
        <rFont val="Calibri"/>
        <family val="2"/>
      </rPr>
      <t>Dispõe sobre a concessão de Placa Comemorativa à DERG Serviços Administrativos e Contabilidade.</t>
    </r>
  </si>
  <si>
    <r>
      <t xml:space="preserve">Projeto de Decreto Legislativo nº 1/2025 – Carmônio Bastos – </t>
    </r>
    <r>
      <rPr>
        <sz val="12"/>
        <color rgb="FF000000"/>
        <rFont val="Calibri"/>
        <family val="2"/>
      </rPr>
      <t>Dispõe sobre a concessão de Título de Cidadão Osasquense ao senhor Vitor Dantas Magnani.</t>
    </r>
  </si>
  <si>
    <r>
      <t xml:space="preserve">MOÇÃO DE APLAUSO Nº 52/2025 – ALEXANDRE CAPRIOTTI – </t>
    </r>
    <r>
      <rPr>
        <sz val="11"/>
        <color theme="1"/>
        <rFont val="Arial"/>
        <family val="2"/>
      </rPr>
      <t>Para o Supremo Tribunal Federal, pela decisão de autorizar Guardas Municipais de todo o país a atuar como polícia.</t>
    </r>
  </si>
  <si>
    <r>
      <t xml:space="preserve">MOÇÃO DE CONGRATULAÇÕES Nº 53/2025 – SÉRGIO FONTELLAS – </t>
    </r>
    <r>
      <rPr>
        <sz val="11"/>
        <color theme="1"/>
        <rFont val="Arial"/>
        <family val="2"/>
      </rPr>
      <t>Para Fundação Republicana Brasileira (FRB), pelos 18 anos de existência, e pela posse da sua nova presidente a Sra. Renata Sene, ex-prefeita da cidade de Francisco Morato.</t>
    </r>
  </si>
  <si>
    <r>
      <t>MOÇÃO DE APLAUSOS Nº 59/2025 – BATISTA COMUNIDADE –</t>
    </r>
    <r>
      <rPr>
        <sz val="11"/>
        <color theme="1"/>
        <rFont val="Arial"/>
        <family val="2"/>
      </rPr>
      <t xml:space="preserve"> Para a enfermeira Tatiana Silva de Oliveira, Gerente Assistencial no Hospital Municipal de Osasco.</t>
    </r>
  </si>
  <si>
    <r>
      <t xml:space="preserve">MOÇÃO DE CONGRATULAÇÕES Nº 60/2025 – DÉLBIO TERUEL - </t>
    </r>
    <r>
      <rPr>
        <sz val="11"/>
        <color theme="1"/>
        <rFont val="Arial"/>
        <family val="2"/>
      </rPr>
      <t>Ao Sr. Francisco das Chagas Lima, em reconhecimento aos relevantes serviços prestados à comunidade osasquense como chefe da Junta Militar de Osasco.</t>
    </r>
  </si>
  <si>
    <r>
      <t xml:space="preserve">MOÇÃO DE SOLIDARIEDADE Nº 64/2025 - LÚCIA DA SAÚDE -  </t>
    </r>
    <r>
      <rPr>
        <sz val="11"/>
        <color theme="1"/>
        <rFont val="Arial"/>
        <family val="2"/>
      </rPr>
      <t>Aos familiares da jovem Thalia de Oliveira, de 17 anos, que morreu após ser atropelada na segunda-feira, dia 3 de março de 2025, na faixa de pedestre da Avenida Flora em Osasco, onde o motorista fugiu sem prestar socorro.</t>
    </r>
  </si>
  <si>
    <r>
      <t xml:space="preserve">PROJETO DE LEI COMPLEMENTAR Nº 5/2024 – PREFEITO DO MUNICÍPIO DE OSASCO - </t>
    </r>
    <r>
      <rPr>
        <sz val="11"/>
        <color theme="1"/>
        <rFont val="Arial"/>
        <family val="2"/>
      </rPr>
      <t>Altera a Lei Complementar nº 428, de 22 de dezembro de 2023, que dispõe sobre a consolidação das atribuições e dos requisitos dos cargos de provimento efetivo da Prefeitura do Município de Osasco.</t>
    </r>
  </si>
  <si>
    <r>
      <t>PROJETO DE LEI Nº 10/2025 – PREFEITO DO MUNICÍPIO DE OSASCO –</t>
    </r>
    <r>
      <rPr>
        <sz val="11"/>
        <color theme="1"/>
        <rFont val="Arial"/>
        <family val="2"/>
      </rPr>
      <t xml:space="preserve"> Dispõe sobre a abertura de crédito adicional ao orçamento e dá outras providências.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</si>
</sst>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G33" sqref="G3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103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104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2</v>
      </c>
      <c r="G5" s="103" t="s">
        <v>59</v>
      </c>
      <c r="H5" s="63"/>
      <c r="I5" s="62"/>
      <c r="J5" s="63">
        <v>2</v>
      </c>
      <c r="K5" s="103" t="s">
        <v>59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2</v>
      </c>
      <c r="G9" s="103" t="s">
        <v>59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1</v>
      </c>
      <c r="C10" s="62" t="s">
        <v>58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1</v>
      </c>
      <c r="C19" s="62" t="s">
        <v>58</v>
      </c>
      <c r="D19" s="63"/>
      <c r="E19" s="103"/>
      <c r="F19" s="89">
        <v>1</v>
      </c>
      <c r="G19" s="62" t="s">
        <v>58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2</v>
      </c>
      <c r="C21" s="103" t="s">
        <v>59</v>
      </c>
      <c r="D21" s="63"/>
      <c r="E21" s="62"/>
      <c r="F21" s="89">
        <v>1</v>
      </c>
      <c r="G21" s="62" t="s">
        <v>58</v>
      </c>
      <c r="H21" s="63"/>
      <c r="I21" s="62"/>
      <c r="J21" s="63">
        <v>2</v>
      </c>
      <c r="K21" s="103" t="s">
        <v>59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13</v>
      </c>
      <c r="C26" s="97" t="s">
        <v>51</v>
      </c>
      <c r="D26" s="99"/>
      <c r="E26" s="97"/>
      <c r="F26" s="99">
        <v>16</v>
      </c>
      <c r="G26" s="97" t="s">
        <v>51</v>
      </c>
      <c r="H26" s="101"/>
      <c r="I26" s="102"/>
      <c r="J26" s="99">
        <v>13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52</v>
      </c>
      <c r="D27" s="99"/>
      <c r="E27" s="97"/>
      <c r="F27" s="99">
        <v>5</v>
      </c>
      <c r="G27" s="97" t="s">
        <v>52</v>
      </c>
      <c r="H27" s="101"/>
      <c r="I27" s="97"/>
      <c r="J27" s="99">
        <v>8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68</v>
      </c>
      <c r="V32" s="12"/>
      <c r="W32" s="12"/>
    </row>
    <row r="33" spans="1:23" ht="18">
      <c r="A33" s="34" t="s">
        <v>66</v>
      </c>
      <c r="V33" s="12"/>
      <c r="W33" s="12"/>
    </row>
    <row r="34" spans="1:23" ht="18">
      <c r="A34" s="34" t="s">
        <v>67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27</v>
      </c>
      <c r="V41" s="12"/>
      <c r="W41" s="12"/>
    </row>
    <row r="42" spans="1:23" ht="18">
      <c r="A42" s="34" t="s">
        <v>25</v>
      </c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53</v>
      </c>
    </row>
    <row r="52" spans="1:23" ht="18">
      <c r="A52" s="34" t="s">
        <v>23</v>
      </c>
    </row>
    <row r="53" spans="1:23" ht="18">
      <c r="A53" s="34" t="s">
        <v>25</v>
      </c>
    </row>
    <row r="54" spans="1:23" ht="18">
      <c r="A54" s="34" t="s">
        <v>26</v>
      </c>
    </row>
    <row r="55" spans="1:23" ht="18">
      <c r="A55" s="34" t="s">
        <v>67</v>
      </c>
    </row>
    <row r="56" spans="1:23" ht="18">
      <c r="A56" s="34" t="s">
        <v>27</v>
      </c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R22" sqref="R22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19" width="22.7109375" style="22" customWidth="1"/>
    <col min="20" max="16384" width="9.140625" style="22"/>
  </cols>
  <sheetData>
    <row r="1" spans="1:19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9" ht="15">
      <c r="A2" s="77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9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9" ht="63" customHeight="1">
      <c r="A4" s="51" t="str">
        <f>'[1]MOÇÃO E REQUERIMENTO'!B7</f>
        <v>EXPEDIENTE</v>
      </c>
      <c r="B4" s="50" t="s">
        <v>50</v>
      </c>
      <c r="C4" s="118" t="s">
        <v>101</v>
      </c>
      <c r="D4" s="118" t="s">
        <v>106</v>
      </c>
      <c r="E4" s="118" t="s">
        <v>107</v>
      </c>
      <c r="F4" s="118" t="s">
        <v>108</v>
      </c>
      <c r="G4" s="118" t="s">
        <v>109</v>
      </c>
      <c r="H4" s="118" t="s">
        <v>110</v>
      </c>
      <c r="I4" s="118" t="s">
        <v>111</v>
      </c>
      <c r="J4" s="118" t="s">
        <v>112</v>
      </c>
      <c r="K4" s="113" t="s">
        <v>35</v>
      </c>
      <c r="L4" s="125"/>
      <c r="M4" s="50" t="s">
        <v>28</v>
      </c>
      <c r="N4" s="85" t="s">
        <v>113</v>
      </c>
      <c r="O4" s="85" t="s">
        <v>114</v>
      </c>
      <c r="P4" s="85" t="s">
        <v>102</v>
      </c>
      <c r="Q4" s="85" t="s">
        <v>115</v>
      </c>
      <c r="R4" s="69" t="s">
        <v>116</v>
      </c>
      <c r="S4" s="69" t="s">
        <v>117</v>
      </c>
    </row>
    <row r="5" spans="1:19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19" t="s">
        <v>94</v>
      </c>
      <c r="O5" s="119" t="s">
        <v>94</v>
      </c>
      <c r="P5" s="119" t="s">
        <v>100</v>
      </c>
      <c r="Q5" s="119" t="s">
        <v>94</v>
      </c>
      <c r="R5" s="119" t="s">
        <v>94</v>
      </c>
      <c r="S5" s="114" t="s">
        <v>95</v>
      </c>
    </row>
    <row r="6" spans="1:19" ht="15.75">
      <c r="A6" s="128" t="s">
        <v>57</v>
      </c>
      <c r="M6" s="23"/>
    </row>
    <row r="7" spans="1:19" ht="15.75">
      <c r="A7" s="128" t="s">
        <v>53</v>
      </c>
      <c r="M7" s="23"/>
    </row>
    <row r="8" spans="1:19" ht="15.75">
      <c r="A8" s="128" t="s">
        <v>60</v>
      </c>
      <c r="M8" s="23"/>
    </row>
    <row r="9" spans="1:19" ht="15.75">
      <c r="A9" s="129" t="s">
        <v>61</v>
      </c>
      <c r="M9" s="23"/>
    </row>
    <row r="10" spans="1:19" ht="15.75">
      <c r="A10" s="128" t="s">
        <v>29</v>
      </c>
      <c r="M10" s="23"/>
    </row>
    <row r="11" spans="1:19" ht="15.75">
      <c r="A11" s="128" t="s">
        <v>62</v>
      </c>
      <c r="M11" s="23"/>
    </row>
    <row r="12" spans="1:19" ht="15.75">
      <c r="A12" s="128" t="s">
        <v>22</v>
      </c>
      <c r="M12" s="23"/>
    </row>
    <row r="13" spans="1:19" ht="15.75">
      <c r="A13" s="128" t="s">
        <v>23</v>
      </c>
      <c r="M13" s="23"/>
    </row>
    <row r="14" spans="1:19" ht="15.75">
      <c r="A14" s="128" t="s">
        <v>24</v>
      </c>
      <c r="M14" s="23"/>
    </row>
    <row r="15" spans="1:19" ht="15.75">
      <c r="A15" s="128" t="s">
        <v>63</v>
      </c>
      <c r="M15" s="23"/>
    </row>
    <row r="16" spans="1:19" ht="15.75">
      <c r="A16" s="128" t="s">
        <v>64</v>
      </c>
      <c r="M16" s="23"/>
    </row>
    <row r="17" spans="1:13" ht="15.75">
      <c r="A17" s="128" t="s">
        <v>65</v>
      </c>
      <c r="M17" s="23"/>
    </row>
    <row r="18" spans="1:13" ht="15.75">
      <c r="A18" s="128" t="s">
        <v>25</v>
      </c>
      <c r="M18" s="23"/>
    </row>
    <row r="19" spans="1:13" ht="15.75">
      <c r="A19" s="128" t="s">
        <v>66</v>
      </c>
      <c r="M19" s="23"/>
    </row>
    <row r="20" spans="1:13" ht="15.75">
      <c r="A20" s="128" t="s">
        <v>38</v>
      </c>
      <c r="M20" s="23"/>
    </row>
    <row r="21" spans="1:13" ht="15.75">
      <c r="A21" s="128" t="s">
        <v>26</v>
      </c>
      <c r="M21" s="23"/>
    </row>
    <row r="22" spans="1:13" ht="15.75">
      <c r="A22" s="128" t="s">
        <v>67</v>
      </c>
      <c r="M22" s="23"/>
    </row>
    <row r="23" spans="1:13" ht="15.75">
      <c r="A23" s="128" t="s">
        <v>27</v>
      </c>
      <c r="M23" s="23"/>
    </row>
    <row r="24" spans="1:13" ht="15.75">
      <c r="A24" s="128" t="s">
        <v>55</v>
      </c>
      <c r="M24" s="23"/>
    </row>
    <row r="25" spans="1:13" ht="15.75">
      <c r="A25" s="128" t="s">
        <v>68</v>
      </c>
      <c r="M25" s="23"/>
    </row>
    <row r="26" spans="1:13" ht="15.75">
      <c r="A26" s="128" t="s">
        <v>69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103</v>
      </c>
      <c r="B2" s="49"/>
      <c r="C2" s="75"/>
    </row>
    <row r="3" spans="1:45" ht="17.25" customHeight="1">
      <c r="A3" s="77" t="s">
        <v>105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15"/>
    </row>
    <row r="7" spans="1:45" ht="20.25">
      <c r="A7" s="46" t="s">
        <v>53</v>
      </c>
      <c r="C7" s="108"/>
      <c r="E7" s="108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08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08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15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15"/>
    </row>
    <row r="21" spans="1:130" ht="20.25">
      <c r="A21" s="46" t="s">
        <v>26</v>
      </c>
      <c r="C21" s="115"/>
      <c r="E21" s="115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15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15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6" sqref="G16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07" t="s">
        <v>118</v>
      </c>
      <c r="D4" s="107" t="s">
        <v>119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96</v>
      </c>
      <c r="D5" s="114" t="s">
        <v>96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57</v>
      </c>
      <c r="C6" s="115" t="s">
        <v>59</v>
      </c>
      <c r="D6" s="115" t="s">
        <v>59</v>
      </c>
      <c r="V6" s="7"/>
      <c r="W6" s="7"/>
    </row>
    <row r="7" spans="1:30" ht="18">
      <c r="A7" s="130" t="s">
        <v>53</v>
      </c>
      <c r="C7" s="108" t="s">
        <v>97</v>
      </c>
      <c r="D7" s="108" t="s">
        <v>97</v>
      </c>
      <c r="V7" s="7"/>
      <c r="W7" s="7"/>
    </row>
    <row r="8" spans="1:30" ht="18">
      <c r="A8" s="130" t="s">
        <v>60</v>
      </c>
      <c r="C8" s="108" t="s">
        <v>97</v>
      </c>
      <c r="D8" s="108" t="s">
        <v>97</v>
      </c>
      <c r="V8" s="7"/>
      <c r="W8" s="7"/>
    </row>
    <row r="9" spans="1:30" ht="18">
      <c r="A9" s="131" t="s">
        <v>61</v>
      </c>
      <c r="C9" s="115" t="s">
        <v>99</v>
      </c>
      <c r="D9" s="115" t="s">
        <v>99</v>
      </c>
      <c r="V9" s="7"/>
      <c r="W9" s="7"/>
    </row>
    <row r="10" spans="1:30" ht="18">
      <c r="A10" s="130" t="s">
        <v>29</v>
      </c>
      <c r="C10" s="115" t="s">
        <v>59</v>
      </c>
      <c r="D10" s="115" t="s">
        <v>59</v>
      </c>
      <c r="V10" s="7"/>
      <c r="W10" s="7"/>
    </row>
    <row r="11" spans="1:30" ht="18">
      <c r="A11" s="130" t="s">
        <v>62</v>
      </c>
      <c r="C11" s="108" t="s">
        <v>97</v>
      </c>
      <c r="D11" s="108" t="s">
        <v>97</v>
      </c>
      <c r="V11" s="7"/>
      <c r="W11" s="7"/>
    </row>
    <row r="12" spans="1:30" ht="18">
      <c r="A12" s="130" t="s">
        <v>22</v>
      </c>
      <c r="C12" s="108" t="s">
        <v>97</v>
      </c>
      <c r="D12" s="108" t="s">
        <v>97</v>
      </c>
      <c r="V12" s="7"/>
      <c r="W12" s="7"/>
    </row>
    <row r="13" spans="1:30" ht="18">
      <c r="A13" s="130" t="s">
        <v>23</v>
      </c>
      <c r="C13" s="108" t="s">
        <v>97</v>
      </c>
      <c r="D13" s="108" t="s">
        <v>97</v>
      </c>
      <c r="V13" s="7"/>
      <c r="W13" s="7"/>
    </row>
    <row r="14" spans="1:30" ht="18">
      <c r="A14" s="130" t="s">
        <v>24</v>
      </c>
      <c r="C14" s="108" t="s">
        <v>97</v>
      </c>
      <c r="D14" s="108" t="s">
        <v>97</v>
      </c>
      <c r="V14" s="7"/>
      <c r="W14" s="7"/>
    </row>
    <row r="15" spans="1:30" ht="18">
      <c r="A15" s="130" t="s">
        <v>63</v>
      </c>
      <c r="C15" s="108" t="s">
        <v>97</v>
      </c>
      <c r="D15" s="108" t="s">
        <v>97</v>
      </c>
      <c r="V15" s="7"/>
      <c r="W15" s="7"/>
    </row>
    <row r="16" spans="1:30" ht="18">
      <c r="A16" s="130" t="s">
        <v>64</v>
      </c>
      <c r="C16" s="108" t="s">
        <v>97</v>
      </c>
      <c r="D16" s="108" t="s">
        <v>97</v>
      </c>
      <c r="V16" s="7"/>
      <c r="W16" s="7"/>
    </row>
    <row r="17" spans="1:124" ht="15" customHeight="1">
      <c r="A17" s="130" t="s">
        <v>65</v>
      </c>
      <c r="C17" s="108" t="s">
        <v>97</v>
      </c>
      <c r="D17" s="108" t="s">
        <v>97</v>
      </c>
      <c r="U17" s="8"/>
      <c r="V17" s="7"/>
      <c r="W17" s="7"/>
    </row>
    <row r="18" spans="1:124" ht="18">
      <c r="A18" s="130" t="s">
        <v>25</v>
      </c>
      <c r="C18" s="108" t="s">
        <v>97</v>
      </c>
      <c r="D18" s="108" t="s">
        <v>97</v>
      </c>
      <c r="V18" s="7"/>
      <c r="W18" s="7"/>
    </row>
    <row r="19" spans="1:124" ht="18">
      <c r="A19" s="130" t="s">
        <v>66</v>
      </c>
      <c r="C19" s="108" t="s">
        <v>97</v>
      </c>
      <c r="D19" s="108" t="s">
        <v>97</v>
      </c>
      <c r="V19" s="7"/>
      <c r="W19" s="7"/>
    </row>
    <row r="20" spans="1:124" ht="18">
      <c r="A20" s="130" t="s">
        <v>38</v>
      </c>
      <c r="C20" s="108" t="s">
        <v>97</v>
      </c>
      <c r="D20" s="108" t="s">
        <v>97</v>
      </c>
      <c r="V20" s="7"/>
      <c r="W20" s="7"/>
    </row>
    <row r="21" spans="1:124" ht="18">
      <c r="A21" s="130" t="s">
        <v>26</v>
      </c>
      <c r="C21" s="108" t="s">
        <v>97</v>
      </c>
      <c r="D21" s="108" t="s">
        <v>97</v>
      </c>
      <c r="V21" s="7"/>
      <c r="W21" s="7"/>
    </row>
    <row r="22" spans="1:124" ht="18">
      <c r="A22" s="130" t="s">
        <v>67</v>
      </c>
      <c r="C22" s="108" t="s">
        <v>97</v>
      </c>
      <c r="D22" s="108" t="s">
        <v>97</v>
      </c>
      <c r="V22" s="7"/>
      <c r="W22" s="7"/>
    </row>
    <row r="23" spans="1:124" ht="18">
      <c r="A23" s="130" t="s">
        <v>27</v>
      </c>
      <c r="C23" s="108" t="s">
        <v>97</v>
      </c>
      <c r="D23" s="108" t="s">
        <v>97</v>
      </c>
      <c r="V23" s="7"/>
      <c r="W23" s="7"/>
    </row>
    <row r="24" spans="1:124" ht="18">
      <c r="A24" s="130" t="s">
        <v>55</v>
      </c>
      <c r="C24" s="108" t="s">
        <v>97</v>
      </c>
      <c r="D24" s="108" t="s">
        <v>97</v>
      </c>
      <c r="V24" s="7"/>
      <c r="W24" s="7"/>
    </row>
    <row r="25" spans="1:124" ht="18">
      <c r="A25" s="130" t="s">
        <v>68</v>
      </c>
      <c r="C25" s="108" t="s">
        <v>97</v>
      </c>
      <c r="D25" s="108" t="s">
        <v>97</v>
      </c>
      <c r="V25" s="7"/>
      <c r="W25" s="7"/>
    </row>
    <row r="26" spans="1:124" ht="18">
      <c r="A26" s="130" t="s">
        <v>69</v>
      </c>
      <c r="C26" s="108" t="s">
        <v>97</v>
      </c>
      <c r="D26" s="108" t="s">
        <v>97</v>
      </c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4">
        <f t="shared" ref="C27" si="1">COUNTIF(C6:C26,"sim")</f>
        <v>18</v>
      </c>
      <c r="D27" s="104">
        <f t="shared" si="0"/>
        <v>18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5">
        <f t="shared" ref="C28" si="7">COUNTIF(C6:C26,"não")</f>
        <v>0</v>
      </c>
      <c r="D28" s="105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2</v>
      </c>
      <c r="D29" s="40">
        <f t="shared" si="12"/>
        <v>2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6">
        <f t="shared" ref="C30" si="19">COUNTIF(C6:C26,"abstenção")</f>
        <v>0</v>
      </c>
      <c r="D30" s="106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07"/>
    </row>
    <row r="5" spans="1:3" s="6" customFormat="1" ht="60.75" customHeight="1">
      <c r="A5" s="123"/>
      <c r="B5" s="112"/>
      <c r="C5" s="114"/>
    </row>
    <row r="6" spans="1:3" ht="15.75">
      <c r="A6" s="128" t="s">
        <v>57</v>
      </c>
      <c r="C6" s="108"/>
    </row>
    <row r="7" spans="1:3" ht="15.75">
      <c r="A7" s="128" t="s">
        <v>53</v>
      </c>
      <c r="C7" s="108"/>
    </row>
    <row r="8" spans="1:3" ht="15.75">
      <c r="A8" s="128" t="s">
        <v>60</v>
      </c>
      <c r="C8" s="108"/>
    </row>
    <row r="9" spans="1:3" ht="15.75">
      <c r="A9" s="129" t="s">
        <v>61</v>
      </c>
      <c r="C9" s="108"/>
    </row>
    <row r="10" spans="1:3" ht="15.75">
      <c r="A10" s="128" t="s">
        <v>29</v>
      </c>
      <c r="C10" s="115"/>
    </row>
    <row r="11" spans="1:3" ht="15.75">
      <c r="A11" s="128" t="s">
        <v>62</v>
      </c>
      <c r="C11" s="115"/>
    </row>
    <row r="12" spans="1:3" ht="15.75">
      <c r="A12" s="128" t="s">
        <v>22</v>
      </c>
      <c r="C12" s="115"/>
    </row>
    <row r="13" spans="1:3" ht="15.75">
      <c r="A13" s="128" t="s">
        <v>23</v>
      </c>
      <c r="C13" s="108"/>
    </row>
    <row r="14" spans="1:3" ht="15.75">
      <c r="A14" s="128" t="s">
        <v>24</v>
      </c>
      <c r="C14" s="108"/>
    </row>
    <row r="15" spans="1:3" ht="15.75">
      <c r="A15" s="128" t="s">
        <v>63</v>
      </c>
      <c r="C15" s="108"/>
    </row>
    <row r="16" spans="1:3" ht="15.75">
      <c r="A16" s="128" t="s">
        <v>64</v>
      </c>
      <c r="C16" s="108"/>
    </row>
    <row r="17" spans="1:3" ht="15.75">
      <c r="A17" s="128" t="s">
        <v>65</v>
      </c>
      <c r="C17" s="108"/>
    </row>
    <row r="18" spans="1:3" ht="15.75">
      <c r="A18" s="128" t="s">
        <v>25</v>
      </c>
      <c r="C18" s="108"/>
    </row>
    <row r="19" spans="1:3" ht="15.75">
      <c r="A19" s="128" t="s">
        <v>66</v>
      </c>
      <c r="C19" s="108"/>
    </row>
    <row r="20" spans="1:3" ht="15.75">
      <c r="A20" s="128" t="s">
        <v>38</v>
      </c>
      <c r="C20" s="108"/>
    </row>
    <row r="21" spans="1:3" ht="15.75">
      <c r="A21" s="128" t="s">
        <v>26</v>
      </c>
      <c r="C21" s="108"/>
    </row>
    <row r="22" spans="1:3" ht="15.75">
      <c r="A22" s="128" t="s">
        <v>67</v>
      </c>
      <c r="C22" s="108"/>
    </row>
    <row r="23" spans="1:3" ht="15.75">
      <c r="A23" s="128" t="s">
        <v>27</v>
      </c>
      <c r="C23" s="115"/>
    </row>
    <row r="24" spans="1:3" ht="15.75">
      <c r="A24" s="128" t="s">
        <v>55</v>
      </c>
      <c r="C24" s="108"/>
    </row>
    <row r="25" spans="1:3" ht="15.75">
      <c r="A25" s="128" t="s">
        <v>68</v>
      </c>
      <c r="C25" s="108"/>
    </row>
    <row r="26" spans="1:3" ht="15.75">
      <c r="A26" s="128" t="s">
        <v>69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C13" sqref="C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2025-03-10T20:48:45Z</dcterms:modified>
</cp:coreProperties>
</file>