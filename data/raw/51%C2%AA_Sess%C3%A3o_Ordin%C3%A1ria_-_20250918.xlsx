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F2BA50DA-09D5-42B5-8D6D-D2D847B4CB06}" xr6:coauthVersionLast="47" xr6:coauthVersionMax="47" xr10:uidLastSave="{00000000-0000-0000-0000-000000000000}"/>
  <bookViews>
    <workbookView xWindow="-120" yWindow="-120" windowWidth="29040" windowHeight="15720" tabRatio="849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7" i="3" l="1"/>
  <c r="E27" i="3"/>
  <c r="D28" i="3"/>
  <c r="E28" i="3"/>
  <c r="D29" i="3"/>
  <c r="E29" i="3"/>
  <c r="D30" i="3"/>
  <c r="E30" i="3"/>
  <c r="C28" i="10"/>
  <c r="D28" i="10"/>
  <c r="C29" i="10"/>
  <c r="D29" i="10"/>
  <c r="C30" i="10"/>
  <c r="D30" i="10"/>
  <c r="C31" i="10"/>
  <c r="D31" i="10"/>
  <c r="E27" i="2"/>
  <c r="E28" i="2"/>
  <c r="E29" i="2"/>
  <c r="E30" i="2"/>
  <c r="F27" i="3"/>
  <c r="F28" i="3"/>
  <c r="F29" i="3"/>
  <c r="F30" i="3"/>
  <c r="C27" i="3" l="1"/>
  <c r="C28" i="3"/>
  <c r="C29" i="3"/>
  <c r="C30" i="3"/>
  <c r="E28" i="10" l="1"/>
  <c r="E29" i="10"/>
  <c r="E30" i="10"/>
  <c r="E31" i="10"/>
  <c r="C27" i="2" l="1"/>
  <c r="C28" i="2"/>
  <c r="C29" i="2"/>
  <c r="C30" i="2"/>
  <c r="A4" i="14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F28" i="11" l="1"/>
  <c r="F29" i="11"/>
  <c r="F30" i="11"/>
  <c r="F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V27" i="3" l="1"/>
  <c r="DV28" i="3" s="1"/>
  <c r="DV29" i="3" s="1"/>
  <c r="DV30" i="3" s="1"/>
  <c r="DU27" i="3"/>
  <c r="DU28" i="3" s="1"/>
  <c r="DU29" i="3" s="1"/>
  <c r="DU30" i="3" s="1"/>
  <c r="DT27" i="3"/>
  <c r="DT28" i="3" s="1"/>
  <c r="DS27" i="3"/>
  <c r="DR27" i="3"/>
  <c r="DR28" i="3" s="1"/>
  <c r="DR29" i="3" s="1"/>
  <c r="DR30" i="3" s="1"/>
  <c r="DQ27" i="3"/>
  <c r="DQ28" i="3" s="1"/>
  <c r="DQ29" i="3" s="1"/>
  <c r="DQ30" i="3" s="1"/>
  <c r="DP27" i="3"/>
  <c r="DP28" i="3" s="1"/>
  <c r="DP29" i="3" s="1"/>
  <c r="DP30" i="3" s="1"/>
  <c r="DO27" i="3"/>
  <c r="DN27" i="3"/>
  <c r="DN28" i="3" s="1"/>
  <c r="DM27" i="3"/>
  <c r="DM28" i="3" s="1"/>
  <c r="DL27" i="3"/>
  <c r="DL28" i="3" s="1"/>
  <c r="DK27" i="3"/>
  <c r="DK28" i="3" s="1"/>
  <c r="DJ27" i="3"/>
  <c r="DJ28" i="3" s="1"/>
  <c r="DJ29" i="3" s="1"/>
  <c r="DI27" i="3"/>
  <c r="DI28" i="3" s="1"/>
  <c r="DI29" i="3" s="1"/>
  <c r="DI30" i="3" s="1"/>
  <c r="DH27" i="3"/>
  <c r="DH28" i="3" s="1"/>
  <c r="DG27" i="3"/>
  <c r="DG28" i="3" s="1"/>
  <c r="DF27" i="3"/>
  <c r="DF28" i="3" s="1"/>
  <c r="DF29" i="3" s="1"/>
  <c r="DE27" i="3"/>
  <c r="DE28" i="3" s="1"/>
  <c r="DD27" i="3"/>
  <c r="DD28" i="3" s="1"/>
  <c r="DD29" i="3" s="1"/>
  <c r="DC27" i="3"/>
  <c r="DC28" i="3" s="1"/>
  <c r="DC29" i="3" s="1"/>
  <c r="DC30" i="3" s="1"/>
  <c r="DB27" i="3"/>
  <c r="DB28" i="3" s="1"/>
  <c r="DA27" i="3"/>
  <c r="DA28" i="3" s="1"/>
  <c r="DA29" i="3" s="1"/>
  <c r="DA30" i="3" s="1"/>
  <c r="CZ27" i="3"/>
  <c r="CZ28" i="3" s="1"/>
  <c r="CY27" i="3"/>
  <c r="CX27" i="3"/>
  <c r="CX28" i="3" s="1"/>
  <c r="CX29" i="3" s="1"/>
  <c r="CW27" i="3"/>
  <c r="CW28" i="3" s="1"/>
  <c r="CV27" i="3"/>
  <c r="CV28" i="3" s="1"/>
  <c r="CV29" i="3" s="1"/>
  <c r="CV30" i="3" s="1"/>
  <c r="CU27" i="3"/>
  <c r="CU28" i="3" s="1"/>
  <c r="CU29" i="3" s="1"/>
  <c r="CU30" i="3" s="1"/>
  <c r="CT27" i="3"/>
  <c r="CT28" i="3" s="1"/>
  <c r="CS27" i="3"/>
  <c r="CS28" i="3" s="1"/>
  <c r="CS29" i="3" s="1"/>
  <c r="CS30" i="3" s="1"/>
  <c r="CR27" i="3"/>
  <c r="CR28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N29" i="3" s="1"/>
  <c r="CM27" i="3"/>
  <c r="CM28" i="3" s="1"/>
  <c r="CL27" i="3"/>
  <c r="CL28" i="3" s="1"/>
  <c r="CK27" i="3"/>
  <c r="CK28" i="3" s="1"/>
  <c r="CK29" i="3" s="1"/>
  <c r="CK30" i="3" s="1"/>
  <c r="CJ27" i="3"/>
  <c r="CJ28" i="3" s="1"/>
  <c r="CI27" i="3"/>
  <c r="CI28" i="3" s="1"/>
  <c r="CH27" i="3"/>
  <c r="CG27" i="3"/>
  <c r="CG28" i="3" s="1"/>
  <c r="CF27" i="3"/>
  <c r="CF28" i="3" s="1"/>
  <c r="CF29" i="3" s="1"/>
  <c r="CF30" i="3" s="1"/>
  <c r="CE27" i="3"/>
  <c r="CD27" i="3"/>
  <c r="CD28" i="3" s="1"/>
  <c r="CC27" i="3"/>
  <c r="CC28" i="3" s="1"/>
  <c r="CC29" i="3" s="1"/>
  <c r="CC30" i="3" s="1"/>
  <c r="CB27" i="3"/>
  <c r="CB28" i="3" s="1"/>
  <c r="CA27" i="3"/>
  <c r="CA28" i="3" s="1"/>
  <c r="CA29" i="3" s="1"/>
  <c r="BZ27" i="3"/>
  <c r="BZ28" i="3" s="1"/>
  <c r="BZ29" i="3" s="1"/>
  <c r="BY27" i="3"/>
  <c r="BY28" i="3" s="1"/>
  <c r="BX27" i="3"/>
  <c r="BX28" i="3" s="1"/>
  <c r="BW27" i="3"/>
  <c r="BW28" i="3" s="1"/>
  <c r="BV27" i="3"/>
  <c r="BV28" i="3" s="1"/>
  <c r="BU27" i="3"/>
  <c r="BU28" i="3" s="1"/>
  <c r="BU29" i="3" s="1"/>
  <c r="BU30" i="3" s="1"/>
  <c r="BT27" i="3"/>
  <c r="BT28" i="3" s="1"/>
  <c r="BS27" i="3"/>
  <c r="BS28" i="3" s="1"/>
  <c r="BR27" i="3"/>
  <c r="BR28" i="3" s="1"/>
  <c r="BQ27" i="3"/>
  <c r="BQ28" i="3" s="1"/>
  <c r="BP27" i="3"/>
  <c r="BP28" i="3" s="1"/>
  <c r="BP29" i="3" s="1"/>
  <c r="BO27" i="3"/>
  <c r="BN27" i="3"/>
  <c r="BN28" i="3" s="1"/>
  <c r="BN29" i="3" s="1"/>
  <c r="BM27" i="3"/>
  <c r="BM28" i="3" s="1"/>
  <c r="BM29" i="3" s="1"/>
  <c r="BM30" i="3" s="1"/>
  <c r="BL27" i="3"/>
  <c r="BL28" i="3" s="1"/>
  <c r="BK27" i="3"/>
  <c r="BK28" i="3" s="1"/>
  <c r="BJ27" i="3"/>
  <c r="BJ28" i="3" s="1"/>
  <c r="BJ29" i="3" s="1"/>
  <c r="BJ30" i="3" s="1"/>
  <c r="BI27" i="3"/>
  <c r="BI28" i="3" s="1"/>
  <c r="BH27" i="3"/>
  <c r="BH28" i="3" s="1"/>
  <c r="BH29" i="3" s="1"/>
  <c r="BH30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D27" i="3"/>
  <c r="BD28" i="3" s="1"/>
  <c r="BC27" i="3"/>
  <c r="BC28" i="3" s="1"/>
  <c r="BC29" i="3" s="1"/>
  <c r="BB27" i="3"/>
  <c r="BB28" i="3" s="1"/>
  <c r="BB29" i="3" s="1"/>
  <c r="BA27" i="3"/>
  <c r="BA28" i="3" s="1"/>
  <c r="BA29" i="3" s="1"/>
  <c r="BA30" i="3" s="1"/>
  <c r="AZ27" i="3"/>
  <c r="AZ28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T27" i="3"/>
  <c r="AT28" i="3" s="1"/>
  <c r="AS27" i="3"/>
  <c r="AS28" i="3" s="1"/>
  <c r="AR27" i="3"/>
  <c r="AR28" i="3" s="1"/>
  <c r="AR29" i="3" s="1"/>
  <c r="AR30" i="3" s="1"/>
  <c r="AQ27" i="3"/>
  <c r="AQ28" i="3" s="1"/>
  <c r="AQ29" i="3" s="1"/>
  <c r="AP27" i="3"/>
  <c r="AP28" i="3" s="1"/>
  <c r="AP29" i="3" s="1"/>
  <c r="AP30" i="3" s="1"/>
  <c r="AO27" i="3"/>
  <c r="AO28" i="3" s="1"/>
  <c r="AN27" i="3"/>
  <c r="AN28" i="3" s="1"/>
  <c r="AM27" i="3"/>
  <c r="AM28" i="3" s="1"/>
  <c r="AL27" i="3"/>
  <c r="AL28" i="3" s="1"/>
  <c r="AL29" i="3" s="1"/>
  <c r="AK27" i="3"/>
  <c r="AK28" i="3" s="1"/>
  <c r="AK29" i="3" s="1"/>
  <c r="AJ27" i="3"/>
  <c r="AJ28" i="3" s="1"/>
  <c r="AJ29" i="3" s="1"/>
  <c r="AI27" i="3"/>
  <c r="AH27" i="3"/>
  <c r="AH28" i="3" s="1"/>
  <c r="AH29" i="3" s="1"/>
  <c r="AH30" i="3" s="1"/>
  <c r="AG27" i="3"/>
  <c r="AG28" i="3" s="1"/>
  <c r="AF27" i="3"/>
  <c r="AF28" i="3" s="1"/>
  <c r="AF29" i="3" s="1"/>
  <c r="AF30" i="3" s="1"/>
  <c r="AE27" i="3"/>
  <c r="AE28" i="3" s="1"/>
  <c r="AE29" i="3" s="1"/>
  <c r="AD27" i="3"/>
  <c r="AD28" i="3" s="1"/>
  <c r="AC27" i="3"/>
  <c r="AC28" i="3" s="1"/>
  <c r="AB27" i="3"/>
  <c r="AB28" i="3" s="1"/>
  <c r="AA27" i="3"/>
  <c r="AA28" i="3" s="1"/>
  <c r="AA29" i="3" s="1"/>
  <c r="AA30" i="3" s="1"/>
  <c r="Z27" i="3"/>
  <c r="Z28" i="3" s="1"/>
  <c r="Z29" i="3" s="1"/>
  <c r="Z30" i="3" s="1"/>
  <c r="Y27" i="3"/>
  <c r="Y28" i="3" s="1"/>
  <c r="X27" i="3"/>
  <c r="W27" i="3"/>
  <c r="V27" i="3"/>
  <c r="V28" i="3" s="1"/>
  <c r="V29" i="3" s="1"/>
  <c r="U27" i="3"/>
  <c r="U28" i="3" s="1"/>
  <c r="T27" i="3"/>
  <c r="T28" i="3" s="1"/>
  <c r="T29" i="3" s="1"/>
  <c r="T30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DE29" i="3" l="1"/>
  <c r="DE30" i="3" s="1"/>
  <c r="BY29" i="3"/>
  <c r="BY30" i="3" s="1"/>
  <c r="CO29" i="3"/>
  <c r="CO30" i="3" s="1"/>
  <c r="AS29" i="3"/>
  <c r="AS30" i="3" s="1"/>
  <c r="CZ29" i="3"/>
  <c r="CZ30" i="3" s="1"/>
  <c r="BQ29" i="3"/>
  <c r="BQ30" i="3" s="1"/>
  <c r="BT29" i="3"/>
  <c r="BT30" i="3" s="1"/>
  <c r="BI29" i="3"/>
  <c r="BI30" i="3" s="1"/>
  <c r="CB29" i="3"/>
  <c r="CB30" i="3" s="1"/>
  <c r="U29" i="3"/>
  <c r="U30" i="3" s="1"/>
  <c r="AD29" i="3"/>
  <c r="AD30" i="3" s="1"/>
  <c r="BV29" i="3"/>
  <c r="BV30" i="3" s="1"/>
  <c r="AT29" i="3"/>
  <c r="AT30" i="3" s="1"/>
  <c r="CR29" i="3"/>
  <c r="CR30" i="3" s="1"/>
  <c r="CY28" i="3"/>
  <c r="CY29" i="3" s="1"/>
  <c r="CY30" i="3" s="1"/>
  <c r="DS28" i="3"/>
  <c r="DS29" i="3" s="1"/>
  <c r="DS30" i="3" s="1"/>
  <c r="CJ29" i="3"/>
  <c r="CJ30" i="3" s="1"/>
  <c r="AI28" i="3"/>
  <c r="AI29" i="3" s="1"/>
  <c r="AI30" i="3" s="1"/>
  <c r="CE28" i="3"/>
  <c r="CE29" i="3" s="1"/>
  <c r="CE30" i="3" s="1"/>
  <c r="CI29" i="3"/>
  <c r="CI30" i="3" s="1"/>
  <c r="AB29" i="3"/>
  <c r="AB30" i="3" s="1"/>
  <c r="AM29" i="3"/>
  <c r="AM30" i="3" s="1"/>
  <c r="BO28" i="3"/>
  <c r="BO29" i="3" s="1"/>
  <c r="BO30" i="3" s="1"/>
  <c r="DO28" i="3"/>
  <c r="DO29" i="3" s="1"/>
  <c r="DO30" i="3" s="1"/>
  <c r="BK29" i="3"/>
  <c r="BK30" i="3" s="1"/>
  <c r="BR29" i="3"/>
  <c r="BR30" i="3" s="1"/>
  <c r="AJ30" i="3"/>
  <c r="CX30" i="3"/>
  <c r="DH29" i="3"/>
  <c r="DH30" i="3" s="1"/>
  <c r="X28" i="3"/>
  <c r="X29" i="3" s="1"/>
  <c r="X30" i="3" s="1"/>
  <c r="AU29" i="3"/>
  <c r="AU30" i="3" s="1"/>
  <c r="CH28" i="3"/>
  <c r="CH29" i="3" s="1"/>
  <c r="CH30" i="3" s="1"/>
  <c r="O29" i="3"/>
  <c r="O30" i="3" s="1"/>
  <c r="S29" i="3"/>
  <c r="S30" i="3" s="1"/>
  <c r="DG29" i="3"/>
  <c r="DG30" i="3" s="1"/>
  <c r="DK29" i="3"/>
  <c r="DK30" i="3" s="1"/>
  <c r="M29" i="3"/>
  <c r="M30" i="3" s="1"/>
  <c r="DB29" i="3"/>
  <c r="DB30" i="3" s="1"/>
  <c r="DM29" i="3"/>
  <c r="DM30" i="3" s="1"/>
  <c r="BX29" i="3"/>
  <c r="BX30" i="3" s="1"/>
  <c r="CL29" i="3"/>
  <c r="CL30" i="3" s="1"/>
  <c r="CD29" i="3"/>
  <c r="CD30" i="3" s="1"/>
  <c r="V30" i="3"/>
  <c r="DN29" i="3"/>
  <c r="DN30" i="3" s="1"/>
  <c r="AQ30" i="3"/>
  <c r="DD30" i="3"/>
  <c r="CW29" i="3"/>
  <c r="CW30" i="3" s="1"/>
  <c r="CG29" i="3"/>
  <c r="CG30" i="3" s="1"/>
  <c r="AC29" i="3"/>
  <c r="AC30" i="3" s="1"/>
  <c r="CT29" i="3"/>
  <c r="CT30" i="3" s="1"/>
  <c r="W28" i="3"/>
  <c r="W29" i="3" s="1"/>
  <c r="W30" i="3" s="1"/>
  <c r="DF30" i="3"/>
  <c r="AN29" i="3"/>
  <c r="AN30" i="3" s="1"/>
  <c r="AE30" i="3"/>
  <c r="AK30" i="3"/>
  <c r="BL29" i="3"/>
  <c r="BL30" i="3" s="1"/>
  <c r="AL30" i="3"/>
  <c r="BW29" i="3"/>
  <c r="BW30" i="3" s="1"/>
  <c r="CQ29" i="3"/>
  <c r="CQ30" i="3" s="1"/>
  <c r="BC30" i="3"/>
  <c r="BB30" i="3"/>
  <c r="BP30" i="3"/>
  <c r="CN30" i="3"/>
  <c r="Y29" i="3"/>
  <c r="Y30" i="3" s="1"/>
  <c r="BS29" i="3"/>
  <c r="BS30" i="3" s="1"/>
  <c r="AV29" i="3"/>
  <c r="AV30" i="3" s="1"/>
  <c r="CM29" i="3"/>
  <c r="CM30" i="3" s="1"/>
  <c r="BN30" i="3"/>
  <c r="AG29" i="3"/>
  <c r="AG30" i="3" s="1"/>
  <c r="BD29" i="3"/>
  <c r="BD30" i="3" s="1"/>
  <c r="DT29" i="3"/>
  <c r="DT30" i="3" s="1"/>
  <c r="DL29" i="3"/>
  <c r="DL30" i="3" s="1"/>
  <c r="DJ30" i="3"/>
  <c r="Q29" i="3"/>
  <c r="Q30" i="3" s="1"/>
  <c r="AX29" i="3"/>
  <c r="AX30" i="3" s="1"/>
  <c r="CA30" i="3"/>
  <c r="BZ30" i="3"/>
  <c r="AO29" i="3"/>
  <c r="AO30" i="3" s="1"/>
  <c r="AZ29" i="3"/>
  <c r="AZ30" i="3" s="1"/>
  <c r="BE29" i="3"/>
  <c r="BE30" i="3" s="1"/>
</calcChain>
</file>

<file path=xl/sharedStrings.xml><?xml version="1.0" encoding="utf-8"?>
<sst xmlns="http://schemas.openxmlformats.org/spreadsheetml/2006/main" count="480" uniqueCount="129">
  <si>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</si>
  <si>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</si>
  <si>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</si>
  <si>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</si>
  <si>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</si>
  <si>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</si>
  <si>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</si>
  <si>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</si>
  <si>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</si>
  <si>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</si>
  <si>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</si>
  <si>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</si>
  <si>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</si>
  <si>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</si>
  <si>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</si>
  <si>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</si>
  <si>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</si>
  <si>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</si>
  <si>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</si>
  <si>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</si>
  <si>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</si>
  <si>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</si>
  <si>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</si>
  <si>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</si>
  <si>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</si>
  <si>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</si>
  <si>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</si>
  <si>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</si>
  <si>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</si>
  <si>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</si>
  <si>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</si>
  <si>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</si>
  <si>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</si>
  <si>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</si>
  <si>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</si>
  <si>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</si>
  <si>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</si>
  <si>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</si>
  <si>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</si>
  <si>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</si>
  <si>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</si>
  <si>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</si>
  <si>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</si>
  <si>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</si>
  <si>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</si>
  <si>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</si>
  <si>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</si>
  <si>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</si>
  <si>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</si>
  <si>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</si>
  <si>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</si>
  <si>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</si>
  <si>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</si>
  <si>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</si>
  <si>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</si>
  <si>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</si>
  <si>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</si>
  <si>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</si>
  <si>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</si>
  <si>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</si>
  <si>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</si>
  <si>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</si>
  <si>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</si>
  <si>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</si>
  <si>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</si>
  <si>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</si>
  <si>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</si>
  <si>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</si>
  <si>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</si>
  <si>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Lúcia da Saúde</t>
  </si>
  <si>
    <t>Ralfi Silva</t>
  </si>
  <si>
    <t>APROVADO</t>
  </si>
  <si>
    <t>na presidência</t>
  </si>
  <si>
    <t>Hélder Oliveira</t>
  </si>
  <si>
    <t>pela ausência do autor, será pautada na próxima sessão.</t>
  </si>
  <si>
    <t>pela ausência da autora, será pautada na próxima sessão</t>
  </si>
  <si>
    <r>
      <t>MOÇÃO DE CONGRATULAÇÕES Nº 424/2025 – PAULO JÚNIOR -</t>
    </r>
    <r>
      <rPr>
        <sz val="11"/>
        <color theme="1"/>
        <rFont val="Arial"/>
        <family val="2"/>
      </rPr>
      <t xml:space="preserve"> À Escola Municipal de Ensino Fundamental Oscar Pennacino, cuja história de quase quatro décadas se confunde com a luta diária por uma educação humana, transformadora e de qualidade.</t>
    </r>
  </si>
  <si>
    <r>
      <t xml:space="preserve">MOÇÃO DE APLAUSOS Nº 443/2025 – BATISTA COMUNIDADE – </t>
    </r>
    <r>
      <rPr>
        <sz val="11"/>
        <color theme="1"/>
        <rFont val="Arial"/>
        <family val="2"/>
      </rPr>
      <t>À Professora Gisleine de Cássia Soares Vianni, professora de educação especial há 38 anos na rede municipal de ensino de Osasco.</t>
    </r>
  </si>
  <si>
    <r>
      <t xml:space="preserve">PROJETO DE LEI Nº 92/2025 - LÚCIA DA SAÚDE – </t>
    </r>
    <r>
      <rPr>
        <sz val="14"/>
        <color theme="1"/>
        <rFont val="Arial"/>
        <family val="2"/>
      </rPr>
      <t>Institui o Dia Municipal das Doenças Raras no Município de Osasco.</t>
    </r>
  </si>
  <si>
    <r>
      <t>PROJETO DE LEI Nº 93/2025 - LÚCIA DA SAÚDE –</t>
    </r>
    <r>
      <rPr>
        <sz val="11"/>
        <color theme="1"/>
        <rFont val="Arial"/>
        <family val="2"/>
      </rPr>
      <t xml:space="preserve"> Institui a Semana de Prevenção e Apoio à Ansiedade no Município de Osasco. </t>
    </r>
  </si>
  <si>
    <r>
      <t>PROJETO DE LEI Nº 36/2025 - STEPHANE ROSSI –</t>
    </r>
    <r>
      <rPr>
        <sz val="11"/>
        <color theme="1"/>
        <rFont val="Arial"/>
        <family val="2"/>
      </rPr>
      <t xml:space="preserve"> Institui o Dia Municipal do Canto pela Paz. </t>
    </r>
  </si>
  <si>
    <t>51ª SESSÃO ORDINÁRIA</t>
  </si>
  <si>
    <t>DIA 18 DE SETEMBRO DE 2025 - QUINTA-FEIRA</t>
  </si>
  <si>
    <r>
      <rPr>
        <b/>
        <sz val="10"/>
        <color theme="1"/>
        <rFont val="Arial"/>
        <family val="2"/>
      </rPr>
      <t>4.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</si>
  <si>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</si>
  <si>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</si>
  <si>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</si>
  <si>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</si>
  <si>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</si>
  <si>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</si>
  <si>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</si>
  <si>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</si>
  <si>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</si>
  <si>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</si>
  <si>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</si>
  <si>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</si>
  <si>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</si>
  <si>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</si>
  <si>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</si>
  <si>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</si>
  <si>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</si>
  <si>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</si>
  <si>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</si>
  <si>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</si>
  <si>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Projeto de Lei nº 160/2025 – Helder Oliveira – Dispõe sobre a definição de todos os assentos dos ônibus municipais como preferenciais.</t>
  </si>
  <si>
    <t>Projeto de Lei nº 162/2025 – Helder Oliveira – Institui o Programa Municipal de Cursos Populares de Educação Financeira e Empreendedorismo para adultos em Osasco.</t>
  </si>
  <si>
    <t>Projeto de Lei nº 163/2025 – Helder Oliveira – Institui a Semana Municipal do Empreendedor.</t>
  </si>
  <si>
    <t>Projeto de Lei nº 164/2025 – Helder Oliveira – Institui o Sistema Municipal de Transparência em Fila de Procedimentos Eletivos do SUS.</t>
  </si>
  <si>
    <t>Projeto de Lei nº 166/2025 – Gabriel Saúde – Reconhece a importância dos jardins sensoriais nas escolas públicas e estabelece diretrizes para sua implementação voluntária no Município de Osasco.</t>
  </si>
  <si>
    <t>Projeto de Lei nº 167/2025 – Gabriel Saúde – Estabelece diretrizes municipais para implementação e efetivação do direito ao acompanhamento especializado nas escolas no Município de Osasco, em complementação à Lei Federal nº 12.764/2012 e ao Decreto Federal nº 8.368/2014.</t>
  </si>
  <si>
    <t>Projeto de Lei nº 168/2025 – Gabriel Saúde – Institui a iluminação especial em monumentos e edificações públicas municipais em alusão ao Dia Mundial de Conscientização do Autismo no Município de Osasco.</t>
  </si>
  <si>
    <t>Projeto de Lei Complementar nº 10/2025 – Helder Oliveira– Altera Lei Complementar nº 443, de 20 de dezembro de 2024, que institui o Código de Obras e Edificação do Município de Osasco e dá outras providências.</t>
  </si>
  <si>
    <r>
      <t>MOÇÃO DE RECONHECIMENTO Nº 445/2025 – JOSIAS DA JUCO –</t>
    </r>
    <r>
      <rPr>
        <sz val="11"/>
        <color theme="1"/>
        <rFont val="Arial"/>
        <family val="2"/>
      </rPr>
      <t xml:space="preserve"> Ao Dr. Rogério Naim Sawaia, médico ortopedista, em razão de sua notável trajetória acadêmica, científica e assistencial, contribuindo de forma ímpar para o desenvolvimento da medicina e para a saúde da população osasquense.</t>
    </r>
  </si>
  <si>
    <r>
      <t xml:space="preserve">MOÇÃO DE APLAUSOS Nº 446/2025 – ELSA OLIVEIRA – </t>
    </r>
    <r>
      <rPr>
        <sz val="11"/>
        <color theme="1"/>
        <rFont val="Arial"/>
        <family val="2"/>
      </rPr>
      <t>Ao artista plástico e muralista Régis Teixeira, pelo relevante trabalho desenvolvido na arte urbana e no grafite contemporâneo, levando cor, criatividade e transformação social às ruas de Osasco.</t>
    </r>
  </si>
  <si>
    <r>
      <t xml:space="preserve">MOÇÃO DE RECONHECIMENTO Nº 447/2025 – LAÉRCIO MENDONÇA – </t>
    </r>
    <r>
      <rPr>
        <sz val="11"/>
        <color theme="1"/>
        <rFont val="Arial"/>
        <family val="2"/>
      </rPr>
      <t>À Sra. Jane Andréa de Jesus Gasparini, pelo excelente trabalho realizado à frente do Instituto Kuàilè, em prol do desenvolvimento social, esportivo e cultural da comunidade.</t>
    </r>
  </si>
  <si>
    <r>
      <t xml:space="preserve">MOÇÃO DE CONGRATULAÇÕES Nº 448/2025 – FÁBIO CHIRINHAN – </t>
    </r>
    <r>
      <rPr>
        <sz val="11"/>
        <color theme="1"/>
        <rFont val="Arial"/>
        <family val="2"/>
      </rPr>
      <t>À Igreja Adventista do Sétimo Dia pelo 75º aniversário do Clube de Desbravadores.</t>
    </r>
  </si>
  <si>
    <r>
      <t>MOÇÃO DE RECONHECIMENTO Nº 449/2025 – RODRIGO GANSINHO –</t>
    </r>
    <r>
      <rPr>
        <sz val="11"/>
        <color theme="1"/>
        <rFont val="Arial"/>
        <family val="2"/>
      </rPr>
      <t xml:space="preserve"> Ao professor Betinho pelo trabalho de excelência na iniciação, na formação e no aperfeiçoamento de jovens atletas com comprometimento, visão e principalmente amor pelo que faz.</t>
    </r>
  </si>
  <si>
    <r>
      <t xml:space="preserve">MOÇÃO DE APLAUSOS Nº 450/2025 – BATISTA COMUNIDADE – </t>
    </r>
    <r>
      <rPr>
        <sz val="11"/>
        <color theme="1"/>
        <rFont val="Arial"/>
        <family val="2"/>
      </rPr>
      <t>A Ismael Alexandrino de Oliveira, que há dois anos exerce com excelência, comprometimento e dedicação suas funções na zeladoria da Prefeitura Municipal de Osasco.</t>
    </r>
  </si>
  <si>
    <r>
      <t xml:space="preserve">MOÇÃO DE RECONHECIMENTO Nº 451/2025 – EMERSON OSASCO – </t>
    </r>
    <r>
      <rPr>
        <sz val="11"/>
        <color theme="1"/>
        <rFont val="Arial"/>
        <family val="2"/>
      </rPr>
      <t>À Associação Pestalozzi de Osasco por seus 43 anos de relevantes serviços prestados ao município de Osasco.</t>
    </r>
  </si>
  <si>
    <r>
      <t xml:space="preserve">MOÇÃO DE APLAUSOS Nº 452/2025 – HEBER DO JUNTOZ – </t>
    </r>
    <r>
      <rPr>
        <sz val="11"/>
        <color theme="1"/>
        <rFont val="Arial"/>
        <family val="2"/>
      </rPr>
      <t>A todos os professores e professoras de Osasco, com especial reconhecimento àqueles e àquelas que atuam na área do ensino especial, pelo Dia dos Professores, celebrado em 15 de outubro.</t>
    </r>
  </si>
  <si>
    <r>
      <t xml:space="preserve">MOÇÃO DE APLAUSOS Nº 453/2025 – BATISTA COMUNIDADE – </t>
    </r>
    <r>
      <rPr>
        <sz val="11"/>
        <color theme="1"/>
        <rFont val="Arial"/>
        <family val="2"/>
      </rPr>
      <t>À Rosilene Mendes da Silva, pelo excelente trabalho desempenhado à frente da Associação "Da Ponte Pra Cá".</t>
    </r>
  </si>
  <si>
    <r>
      <t>MOÇÃO DE CONGRATULAÇÕES Nº 454/2025 – DÉLBIO TERUEL –</t>
    </r>
    <r>
      <rPr>
        <sz val="11"/>
        <color theme="1"/>
        <rFont val="Arial"/>
        <family val="2"/>
      </rPr>
      <t xml:space="preserve"> À Associação Atlético Aliança, pela comemoração de 50 anos de sua fundação.</t>
    </r>
  </si>
  <si>
    <r>
      <t>PROJETO DE LEI Nº 77/2025 – ELSA OLIVEIRA -</t>
    </r>
    <r>
      <rPr>
        <sz val="11"/>
        <color theme="1"/>
        <rFont val="Arial"/>
        <family val="2"/>
      </rPr>
      <t xml:space="preserve"> Institui o Dia Municipal do Desafio Menos Tela, Mais Saúde. </t>
    </r>
  </si>
  <si>
    <r>
      <t xml:space="preserve">PROJETO DE LEI Nº 132/2025 – ELANIA SILVA - </t>
    </r>
    <r>
      <rPr>
        <sz val="11"/>
        <color theme="1"/>
        <rFont val="Arial"/>
        <family val="2"/>
      </rPr>
      <t>Institui no Calendário Oficial do Município de Osasco a Semana de Conscientização da Manobra de Heimlich e dá outras providências.</t>
    </r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</si>
  <si>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</si>
  <si>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r>
      <t xml:space="preserve">PROJETO DE DECRETO LEGISLATIVO Nº 52/2025 – COMISSÃO DE ECONOMIA E FINANÇAS - </t>
    </r>
    <r>
      <rPr>
        <sz val="11"/>
        <color theme="1"/>
        <rFont val="Arial"/>
        <family val="2"/>
      </rPr>
      <t>Dispõe sobre aprovação das contas da Prefeitura do Município de Osasco referentes ao Exercício de 2023.</t>
    </r>
  </si>
  <si>
    <r>
      <t xml:space="preserve">PROJETO DE DECRETO LEGISLATIVO Nº 64/2024 – PAULO JÚNIOR - </t>
    </r>
    <r>
      <rPr>
        <sz val="11"/>
        <color theme="1"/>
        <rFont val="Arial"/>
        <family val="2"/>
      </rPr>
      <t>Dispõe sobre a concessão de Medalha Antônio Raposo Tavares e Diploma Cidade de Osasco ao pastor Sidnei Hipólito dos Santos.</t>
    </r>
  </si>
  <si>
    <r>
      <t xml:space="preserve">PROJETO DE DECRETO LEGISLATIVO Nº 40/2025 – PEDRINHO CANTAGESSI - </t>
    </r>
    <r>
      <rPr>
        <sz val="11"/>
        <color theme="1"/>
        <rFont val="Arial"/>
        <family val="2"/>
      </rPr>
      <t>Dispõe sobre a concessão de Título de Cidadão Osasquense à Sra. Vera Lucia Cantagessi.</t>
    </r>
  </si>
  <si>
    <t>abstenção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</si>
</sst>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b/>
      <sz val="11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46" fillId="0" borderId="1" xfId="0" applyFont="1" applyBorder="1" applyAlignment="1">
      <alignment horizontal="center"/>
    </xf>
    <xf numFmtId="0" fontId="6" fillId="0" borderId="1" xfId="0" applyFont="1" applyBorder="1" applyAlignment="1">
      <alignment horizontal="justify" vertical="top"/>
    </xf>
    <xf numFmtId="0" fontId="47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A54" sqref="A54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5" t="s">
        <v>29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70"/>
      <c r="O1" s="70"/>
      <c r="P1" s="70"/>
      <c r="Q1" s="40">
        <v>1</v>
      </c>
      <c r="R1" s="36" t="s">
        <v>10</v>
      </c>
      <c r="T1" s="149"/>
      <c r="U1" s="149"/>
      <c r="V1" s="149"/>
      <c r="W1" s="149"/>
      <c r="X1" s="149"/>
      <c r="Y1" s="149"/>
      <c r="Z1" s="7" t="s">
        <v>16</v>
      </c>
    </row>
    <row r="2" spans="1:28" ht="19.5" customHeight="1">
      <c r="A2" s="83" t="s">
        <v>81</v>
      </c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70"/>
      <c r="O2" s="70"/>
      <c r="P2" s="70"/>
      <c r="Q2" s="35">
        <v>2</v>
      </c>
      <c r="R2" s="36" t="s">
        <v>11</v>
      </c>
      <c r="T2" s="149"/>
      <c r="U2" s="149"/>
      <c r="V2" s="149"/>
      <c r="W2" s="149"/>
      <c r="X2" s="149"/>
      <c r="Y2" s="149"/>
      <c r="Z2" s="7" t="s">
        <v>17</v>
      </c>
    </row>
    <row r="3" spans="1:28" ht="19.5" customHeight="1" thickBot="1">
      <c r="A3" s="83" t="s">
        <v>82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70"/>
      <c r="O3" s="70"/>
      <c r="P3" s="70"/>
      <c r="Q3" s="41">
        <v>3</v>
      </c>
      <c r="R3" s="37" t="s">
        <v>12</v>
      </c>
      <c r="T3" s="149"/>
      <c r="U3" s="149"/>
      <c r="V3" s="149"/>
      <c r="W3" s="149"/>
      <c r="X3" s="149"/>
      <c r="Y3" s="149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9"/>
      <c r="U4" s="149"/>
      <c r="V4" s="149"/>
      <c r="W4" s="149"/>
      <c r="X4" s="149"/>
      <c r="Y4" s="149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9"/>
      <c r="U5" s="149"/>
      <c r="V5" s="149"/>
      <c r="W5" s="149"/>
      <c r="X5" s="149"/>
      <c r="Y5" s="149"/>
    </row>
    <row r="6" spans="1:28" ht="18" customHeight="1">
      <c r="A6" s="46" t="s">
        <v>68</v>
      </c>
      <c r="B6" s="88">
        <v>1</v>
      </c>
      <c r="C6" s="62" t="s">
        <v>52</v>
      </c>
      <c r="D6" s="63"/>
      <c r="E6" s="102"/>
      <c r="F6" s="88">
        <v>1</v>
      </c>
      <c r="G6" s="62" t="s">
        <v>52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9"/>
      <c r="U6" s="149"/>
      <c r="V6" s="149"/>
      <c r="W6" s="149"/>
      <c r="X6" s="149"/>
      <c r="Y6" s="149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9"/>
      <c r="U7" s="149"/>
      <c r="V7" s="149"/>
      <c r="W7" s="149"/>
      <c r="X7" s="149"/>
      <c r="Y7" s="149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9"/>
      <c r="U8" s="149"/>
      <c r="V8" s="149"/>
      <c r="W8" s="149"/>
      <c r="X8" s="149"/>
      <c r="Y8" s="149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6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49"/>
      <c r="U9" s="149"/>
      <c r="V9" s="149"/>
      <c r="W9" s="149"/>
      <c r="X9" s="149"/>
      <c r="Y9" s="149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2</v>
      </c>
      <c r="G10" s="102" t="s">
        <v>53</v>
      </c>
      <c r="H10" s="63"/>
      <c r="I10" s="62"/>
      <c r="J10" s="63">
        <v>1</v>
      </c>
      <c r="K10" s="62" t="s">
        <v>52</v>
      </c>
      <c r="L10" s="67"/>
      <c r="M10" s="65"/>
      <c r="N10" s="63"/>
      <c r="O10" s="102"/>
      <c r="P10" s="63"/>
      <c r="Q10" s="63"/>
      <c r="R10" s="62"/>
      <c r="S10" s="89"/>
      <c r="T10" s="149"/>
      <c r="U10" s="149"/>
      <c r="V10" s="149"/>
      <c r="W10" s="149"/>
      <c r="X10" s="149"/>
      <c r="Y10" s="149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9"/>
      <c r="U11" s="149"/>
      <c r="V11" s="149"/>
      <c r="W11" s="149"/>
      <c r="X11" s="149"/>
      <c r="Y11" s="149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1</v>
      </c>
      <c r="G12" s="62" t="s">
        <v>52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49"/>
      <c r="U12" s="149"/>
      <c r="V12" s="149"/>
      <c r="W12" s="149"/>
      <c r="X12" s="149"/>
      <c r="Y12" s="149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6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49"/>
      <c r="U13" s="149"/>
      <c r="V13" s="149"/>
      <c r="W13" s="149"/>
      <c r="X13" s="149"/>
      <c r="Y13" s="149"/>
    </row>
    <row r="14" spans="1:28" ht="18" customHeight="1">
      <c r="A14" s="46" t="s">
        <v>57</v>
      </c>
      <c r="B14" s="88">
        <v>2</v>
      </c>
      <c r="C14" s="102" t="s">
        <v>53</v>
      </c>
      <c r="D14" s="63"/>
      <c r="E14" s="62"/>
      <c r="F14" s="88">
        <v>2</v>
      </c>
      <c r="G14" s="102" t="s">
        <v>53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49"/>
      <c r="U14" s="149"/>
      <c r="V14" s="149"/>
      <c r="W14" s="149"/>
      <c r="X14" s="149"/>
      <c r="Y14" s="149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49"/>
      <c r="U15" s="149"/>
      <c r="V15" s="149"/>
      <c r="W15" s="149"/>
      <c r="X15" s="149"/>
      <c r="Y15" s="149"/>
    </row>
    <row r="16" spans="1:28" ht="18" customHeight="1">
      <c r="A16" s="46" t="s">
        <v>59</v>
      </c>
      <c r="B16" s="88">
        <v>2</v>
      </c>
      <c r="C16" s="102" t="s">
        <v>53</v>
      </c>
      <c r="D16" s="63"/>
      <c r="E16" s="6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49"/>
      <c r="U16" s="149"/>
      <c r="V16" s="149"/>
      <c r="W16" s="149"/>
      <c r="X16" s="149"/>
      <c r="Y16" s="149"/>
    </row>
    <row r="17" spans="1:28" ht="18.75" customHeight="1">
      <c r="A17" s="46" t="s">
        <v>25</v>
      </c>
      <c r="B17" s="88">
        <v>1</v>
      </c>
      <c r="C17" s="62" t="s">
        <v>52</v>
      </c>
      <c r="D17" s="63"/>
      <c r="E17" s="62"/>
      <c r="F17" s="88">
        <v>1</v>
      </c>
      <c r="G17" s="62" t="s">
        <v>52</v>
      </c>
      <c r="H17" s="63"/>
      <c r="I17" s="68"/>
      <c r="J17" s="63">
        <v>2</v>
      </c>
      <c r="K17" s="102" t="s">
        <v>53</v>
      </c>
      <c r="L17" s="67"/>
      <c r="M17" s="65"/>
      <c r="N17" s="63"/>
      <c r="O17" s="62"/>
      <c r="P17" s="63"/>
      <c r="Q17" s="63"/>
      <c r="R17" s="102"/>
      <c r="S17" s="91"/>
      <c r="T17" s="149"/>
      <c r="U17" s="149"/>
      <c r="V17" s="149"/>
      <c r="W17" s="149"/>
      <c r="X17" s="149"/>
      <c r="Y17" s="149"/>
    </row>
    <row r="18" spans="1:28" ht="17.25" customHeight="1">
      <c r="A18" s="46" t="s">
        <v>60</v>
      </c>
      <c r="B18" s="88">
        <v>1</v>
      </c>
      <c r="C18" s="62" t="s">
        <v>52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9"/>
      <c r="U18" s="149"/>
      <c r="V18" s="149"/>
      <c r="W18" s="149"/>
      <c r="X18" s="149"/>
      <c r="Y18" s="149"/>
    </row>
    <row r="19" spans="1:28" ht="18" customHeight="1">
      <c r="A19" s="46" t="s">
        <v>69</v>
      </c>
      <c r="B19" s="88">
        <v>2</v>
      </c>
      <c r="C19" s="102" t="s">
        <v>53</v>
      </c>
      <c r="D19" s="63"/>
      <c r="E19" s="102"/>
      <c r="F19" s="88">
        <v>2</v>
      </c>
      <c r="G19" s="102" t="s">
        <v>53</v>
      </c>
      <c r="H19" s="63"/>
      <c r="I19" s="62"/>
      <c r="J19" s="63">
        <v>2</v>
      </c>
      <c r="K19" s="102" t="s">
        <v>53</v>
      </c>
      <c r="L19" s="67"/>
      <c r="M19" s="65"/>
      <c r="N19" s="63"/>
      <c r="O19" s="102"/>
      <c r="P19" s="63"/>
      <c r="Q19" s="63"/>
      <c r="R19" s="102"/>
      <c r="S19" s="91"/>
      <c r="T19" s="149"/>
      <c r="U19" s="149"/>
      <c r="V19" s="149"/>
      <c r="W19" s="149"/>
      <c r="X19" s="149"/>
      <c r="Y19" s="149"/>
    </row>
    <row r="20" spans="1:28" ht="18" customHeight="1">
      <c r="A20" s="46" t="s">
        <v>26</v>
      </c>
      <c r="B20" s="88">
        <v>1</v>
      </c>
      <c r="C20" s="62" t="s">
        <v>52</v>
      </c>
      <c r="D20" s="63"/>
      <c r="E20" s="62"/>
      <c r="F20" s="88">
        <v>1</v>
      </c>
      <c r="G20" s="62" t="s">
        <v>52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49"/>
      <c r="U20" s="149"/>
      <c r="V20" s="149"/>
      <c r="W20" s="149"/>
      <c r="X20" s="149"/>
      <c r="Y20" s="149"/>
    </row>
    <row r="21" spans="1:28" ht="18.75" customHeight="1">
      <c r="A21" s="46" t="s">
        <v>61</v>
      </c>
      <c r="B21" s="88">
        <v>2</v>
      </c>
      <c r="C21" s="102" t="s">
        <v>53</v>
      </c>
      <c r="D21" s="63"/>
      <c r="E21" s="62"/>
      <c r="F21" s="88">
        <v>2</v>
      </c>
      <c r="G21" s="102" t="s">
        <v>53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49"/>
      <c r="U21" s="149"/>
      <c r="V21" s="149"/>
      <c r="W21" s="149"/>
      <c r="X21" s="149"/>
      <c r="Y21" s="149"/>
    </row>
    <row r="22" spans="1:28" ht="18" customHeight="1">
      <c r="A22" s="46" t="s">
        <v>70</v>
      </c>
      <c r="B22" s="88">
        <v>2</v>
      </c>
      <c r="C22" s="102" t="s">
        <v>53</v>
      </c>
      <c r="D22" s="63"/>
      <c r="E22" s="10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49"/>
      <c r="U22" s="149"/>
      <c r="V22" s="149"/>
      <c r="W22" s="149"/>
      <c r="X22" s="149"/>
      <c r="Y22" s="149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2</v>
      </c>
      <c r="G23" s="102" t="s">
        <v>53</v>
      </c>
      <c r="H23" s="63"/>
      <c r="I23" s="62"/>
      <c r="J23" s="63">
        <v>2</v>
      </c>
      <c r="K23" s="102" t="s">
        <v>53</v>
      </c>
      <c r="L23" s="67"/>
      <c r="M23" s="65"/>
      <c r="N23" s="63"/>
      <c r="O23" s="62"/>
      <c r="P23" s="63"/>
      <c r="Q23" s="63"/>
      <c r="R23" s="62"/>
      <c r="S23" s="91"/>
      <c r="T23" s="149"/>
      <c r="U23" s="149"/>
      <c r="V23" s="149"/>
      <c r="W23" s="149"/>
      <c r="X23" s="149"/>
      <c r="Y23" s="149"/>
    </row>
    <row r="24" spans="1:28" ht="20.25">
      <c r="A24" s="46" t="s">
        <v>73</v>
      </c>
      <c r="B24" s="88">
        <v>1</v>
      </c>
      <c r="C24" s="62" t="s">
        <v>52</v>
      </c>
      <c r="D24" s="63"/>
      <c r="E24" s="62"/>
      <c r="F24" s="88">
        <v>1</v>
      </c>
      <c r="G24" s="62" t="s">
        <v>52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49"/>
      <c r="U24" s="149"/>
      <c r="V24" s="149"/>
      <c r="W24" s="149"/>
      <c r="X24" s="149"/>
      <c r="Y24" s="149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9"/>
      <c r="U25" s="149"/>
      <c r="V25" s="149"/>
      <c r="W25" s="149"/>
      <c r="X25" s="149"/>
      <c r="Y25" s="149"/>
    </row>
    <row r="26" spans="1:28" ht="16.5" thickBot="1">
      <c r="A26" s="38" t="s">
        <v>13</v>
      </c>
      <c r="B26" s="98">
        <v>12</v>
      </c>
      <c r="C26" s="96" t="s">
        <v>46</v>
      </c>
      <c r="D26" s="98"/>
      <c r="E26" s="96"/>
      <c r="F26" s="98">
        <v>14</v>
      </c>
      <c r="G26" s="96" t="s">
        <v>46</v>
      </c>
      <c r="H26" s="100"/>
      <c r="I26" s="101"/>
      <c r="J26" s="98">
        <v>16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9</v>
      </c>
      <c r="C27" s="96" t="s">
        <v>47</v>
      </c>
      <c r="D27" s="98"/>
      <c r="E27" s="96"/>
      <c r="F27" s="98">
        <v>7</v>
      </c>
      <c r="G27" s="96" t="s">
        <v>47</v>
      </c>
      <c r="H27" s="100"/>
      <c r="I27" s="96"/>
      <c r="J27" s="98">
        <v>5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59</v>
      </c>
      <c r="V32" s="12"/>
      <c r="W32" s="12"/>
    </row>
    <row r="33" spans="1:23" ht="18">
      <c r="A33" s="34" t="s">
        <v>23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63</v>
      </c>
      <c r="V40" s="12"/>
      <c r="W40" s="12"/>
    </row>
    <row r="41" spans="1:23" ht="18">
      <c r="A41" s="34" t="s">
        <v>56</v>
      </c>
      <c r="V41" s="12"/>
      <c r="W41" s="12"/>
    </row>
    <row r="42" spans="1:23" ht="18">
      <c r="A42" s="34" t="s">
        <v>57</v>
      </c>
      <c r="V42" s="12"/>
      <c r="W42" s="12"/>
    </row>
    <row r="43" spans="1:23" ht="18">
      <c r="A43" s="34" t="s">
        <v>61</v>
      </c>
      <c r="V43" s="12"/>
      <c r="W43" s="12"/>
    </row>
    <row r="44" spans="1:23" ht="18">
      <c r="A44" s="34" t="s">
        <v>70</v>
      </c>
      <c r="V44" s="12"/>
      <c r="W44" s="12"/>
    </row>
    <row r="45" spans="1:23" ht="18">
      <c r="A45" s="34" t="s">
        <v>58</v>
      </c>
      <c r="B45" s="7"/>
      <c r="V45" s="12"/>
      <c r="W45" s="32"/>
    </row>
    <row r="46" spans="1:23" ht="18">
      <c r="A46" s="34" t="s">
        <v>49</v>
      </c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35</v>
      </c>
      <c r="M50"/>
      <c r="W50" s="12"/>
    </row>
    <row r="51" spans="1:23" ht="18">
      <c r="A51" s="34" t="s">
        <v>23</v>
      </c>
    </row>
    <row r="52" spans="1:23" ht="18">
      <c r="A52" s="34" t="s">
        <v>25</v>
      </c>
    </row>
    <row r="53" spans="1:23" ht="18">
      <c r="A53" s="34" t="s">
        <v>70</v>
      </c>
    </row>
    <row r="54" spans="1:23" ht="18">
      <c r="A54" s="34" t="s">
        <v>49</v>
      </c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Y39"/>
  <sheetViews>
    <sheetView workbookViewId="0">
      <pane xSplit="1" topLeftCell="B1" activePane="topRight" state="frozen"/>
      <selection pane="topRight" activeCell="V19" sqref="V19"/>
    </sheetView>
  </sheetViews>
  <sheetFormatPr defaultColWidth="9.140625" defaultRowHeight="12.75"/>
  <cols>
    <col min="1" max="1" width="47.7109375" style="22" customWidth="1"/>
    <col min="2" max="10" width="23.7109375" style="22" customWidth="1"/>
    <col min="11" max="11" width="19" style="22" customWidth="1"/>
    <col min="12" max="12" width="26.28515625" style="22" customWidth="1"/>
    <col min="13" max="13" width="22.140625" style="22" customWidth="1"/>
    <col min="14" max="25" width="22.7109375" style="22" customWidth="1"/>
    <col min="26" max="16384" width="9.140625" style="22"/>
  </cols>
  <sheetData>
    <row r="1" spans="1:25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25" ht="15">
      <c r="A2" s="76" t="s">
        <v>81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25" ht="17.25" customHeight="1">
      <c r="A3" s="76" t="s">
        <v>82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25" ht="63" customHeight="1">
      <c r="A4" s="51" t="str">
        <f>'[1]MOÇÃO E REQUERIMENTO'!B7</f>
        <v>EXPEDIENTE</v>
      </c>
      <c r="B4" s="50" t="s">
        <v>45</v>
      </c>
      <c r="C4" s="117" t="s">
        <v>104</v>
      </c>
      <c r="D4" s="117" t="s">
        <v>105</v>
      </c>
      <c r="E4" s="117" t="s">
        <v>106</v>
      </c>
      <c r="F4" s="117" t="s">
        <v>107</v>
      </c>
      <c r="G4" s="117" t="s">
        <v>108</v>
      </c>
      <c r="H4" s="117" t="s">
        <v>109</v>
      </c>
      <c r="I4" s="117" t="s">
        <v>110</v>
      </c>
      <c r="J4" s="117" t="s">
        <v>111</v>
      </c>
      <c r="K4" s="112" t="s">
        <v>34</v>
      </c>
      <c r="L4" s="124"/>
      <c r="M4" s="50" t="s">
        <v>27</v>
      </c>
      <c r="N4" s="84" t="s">
        <v>76</v>
      </c>
      <c r="O4" s="84" t="s">
        <v>77</v>
      </c>
      <c r="P4" s="84" t="s">
        <v>112</v>
      </c>
      <c r="Q4" s="84" t="s">
        <v>113</v>
      </c>
      <c r="R4" s="84" t="s">
        <v>114</v>
      </c>
      <c r="S4" s="84" t="s">
        <v>115</v>
      </c>
      <c r="T4" s="84" t="s">
        <v>116</v>
      </c>
      <c r="U4" s="84" t="s">
        <v>117</v>
      </c>
      <c r="V4" s="84" t="s">
        <v>118</v>
      </c>
      <c r="W4" s="84" t="s">
        <v>119</v>
      </c>
      <c r="X4" s="84" t="s">
        <v>120</v>
      </c>
      <c r="Y4" s="84" t="s">
        <v>121</v>
      </c>
    </row>
    <row r="5" spans="1:25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113"/>
      <c r="N5" s="113" t="s">
        <v>65</v>
      </c>
      <c r="O5" s="113" t="s">
        <v>65</v>
      </c>
      <c r="P5" s="118" t="s">
        <v>74</v>
      </c>
      <c r="Q5" s="113" t="s">
        <v>65</v>
      </c>
      <c r="R5" s="113" t="s">
        <v>65</v>
      </c>
      <c r="S5" s="113" t="s">
        <v>65</v>
      </c>
      <c r="T5" s="118" t="s">
        <v>74</v>
      </c>
      <c r="U5" s="113" t="s">
        <v>65</v>
      </c>
      <c r="V5" s="113" t="s">
        <v>65</v>
      </c>
      <c r="W5" s="118" t="s">
        <v>74</v>
      </c>
      <c r="X5" s="118" t="s">
        <v>74</v>
      </c>
      <c r="Y5" s="113" t="s">
        <v>65</v>
      </c>
    </row>
    <row r="6" spans="1:25" ht="15.75">
      <c r="A6" s="127" t="s">
        <v>51</v>
      </c>
      <c r="M6" s="23"/>
    </row>
    <row r="7" spans="1:25" ht="15.75">
      <c r="A7" s="127" t="s">
        <v>68</v>
      </c>
      <c r="M7" s="23"/>
    </row>
    <row r="8" spans="1:25" ht="15.75">
      <c r="A8" s="127" t="s">
        <v>54</v>
      </c>
      <c r="M8" s="23"/>
    </row>
    <row r="9" spans="1:25" ht="15.75">
      <c r="A9" s="128" t="s">
        <v>55</v>
      </c>
      <c r="M9" s="23"/>
    </row>
    <row r="10" spans="1:25" ht="15.75">
      <c r="A10" s="127" t="s">
        <v>28</v>
      </c>
      <c r="M10" s="23"/>
    </row>
    <row r="11" spans="1:25" ht="15.75">
      <c r="A11" s="127" t="s">
        <v>56</v>
      </c>
      <c r="M11" s="23"/>
    </row>
    <row r="12" spans="1:25" ht="15.75">
      <c r="A12" s="127" t="s">
        <v>22</v>
      </c>
      <c r="M12" s="23"/>
    </row>
    <row r="13" spans="1:25" ht="15.75">
      <c r="A13" s="127" t="s">
        <v>23</v>
      </c>
      <c r="M13" s="23"/>
    </row>
    <row r="14" spans="1:25" ht="15.75">
      <c r="A14" s="127" t="s">
        <v>24</v>
      </c>
      <c r="M14" s="23"/>
    </row>
    <row r="15" spans="1:25" ht="15.75">
      <c r="A15" s="127" t="s">
        <v>57</v>
      </c>
      <c r="M15" s="23"/>
    </row>
    <row r="16" spans="1:25" ht="15.75">
      <c r="A16" s="127" t="s">
        <v>58</v>
      </c>
      <c r="M16" s="23"/>
    </row>
    <row r="17" spans="1:13" ht="15.75">
      <c r="A17" s="127" t="s">
        <v>59</v>
      </c>
      <c r="M17" s="23"/>
    </row>
    <row r="18" spans="1:13" ht="15.75">
      <c r="A18" s="127" t="s">
        <v>25</v>
      </c>
      <c r="M18" s="23"/>
    </row>
    <row r="19" spans="1:13" ht="15.75">
      <c r="A19" s="127" t="s">
        <v>60</v>
      </c>
      <c r="M19" s="23"/>
    </row>
    <row r="20" spans="1:13" ht="15.75">
      <c r="A20" s="127" t="s">
        <v>69</v>
      </c>
      <c r="M20" s="23"/>
    </row>
    <row r="21" spans="1:13" ht="15.75">
      <c r="A21" s="127" t="s">
        <v>26</v>
      </c>
      <c r="M21" s="23"/>
    </row>
    <row r="22" spans="1:13" ht="15.75">
      <c r="A22" s="127" t="s">
        <v>61</v>
      </c>
      <c r="M22" s="23"/>
    </row>
    <row r="23" spans="1:13" ht="15.75">
      <c r="A23" s="127" t="s">
        <v>70</v>
      </c>
      <c r="M23" s="23"/>
    </row>
    <row r="24" spans="1:13" ht="15.75">
      <c r="A24" s="127" t="s">
        <v>49</v>
      </c>
      <c r="M24" s="23"/>
    </row>
    <row r="25" spans="1:13" ht="15.75">
      <c r="A25" s="127" t="s">
        <v>73</v>
      </c>
      <c r="M25" s="23"/>
    </row>
    <row r="26" spans="1:13" ht="15.75">
      <c r="A26" s="127" t="s">
        <v>62</v>
      </c>
      <c r="M26" s="23"/>
    </row>
    <row r="27" spans="1:13" s="25" customFormat="1">
      <c r="A27" s="24" t="s">
        <v>18</v>
      </c>
    </row>
    <row r="28" spans="1:13" s="27" customFormat="1">
      <c r="A28" s="26" t="s">
        <v>19</v>
      </c>
    </row>
    <row r="29" spans="1:13">
      <c r="A29" s="28" t="s">
        <v>11</v>
      </c>
    </row>
    <row r="30" spans="1:13" s="30" customFormat="1">
      <c r="A30" s="29" t="s">
        <v>20</v>
      </c>
    </row>
    <row r="32" spans="1:13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C1" activePane="topRight" state="frozen"/>
      <selection activeCell="A4" sqref="A4"/>
      <selection pane="topRight" activeCell="F15" sqref="F1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81</v>
      </c>
      <c r="B2" s="49"/>
      <c r="C2" s="74"/>
    </row>
    <row r="3" spans="1:45" ht="17.25" customHeight="1">
      <c r="A3" s="76" t="s">
        <v>82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2"/>
      <c r="D4" s="109" t="s">
        <v>6</v>
      </c>
      <c r="E4" s="140" t="s">
        <v>78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43"/>
      <c r="D5" s="79"/>
      <c r="E5" s="144" t="s">
        <v>75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/>
    </row>
    <row r="7" spans="1:45" ht="20.25">
      <c r="A7" s="46" t="s">
        <v>68</v>
      </c>
      <c r="C7" s="107"/>
      <c r="E7" s="107"/>
    </row>
    <row r="8" spans="1:45" ht="20.25">
      <c r="A8" s="46" t="s">
        <v>54</v>
      </c>
      <c r="C8" s="107"/>
      <c r="E8" s="107"/>
    </row>
    <row r="9" spans="1:45" ht="20.25">
      <c r="A9" s="82" t="s">
        <v>55</v>
      </c>
      <c r="C9" s="114"/>
      <c r="E9" s="114"/>
    </row>
    <row r="10" spans="1:45" ht="20.25">
      <c r="A10" s="46" t="s">
        <v>28</v>
      </c>
      <c r="C10" s="107"/>
      <c r="E10" s="114"/>
    </row>
    <row r="11" spans="1:45" ht="20.25">
      <c r="A11" s="46" t="s">
        <v>56</v>
      </c>
      <c r="C11" s="114"/>
      <c r="E11" s="107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14"/>
      <c r="E13" s="114"/>
    </row>
    <row r="14" spans="1:45" ht="20.25">
      <c r="A14" s="46" t="s">
        <v>24</v>
      </c>
      <c r="C14" s="107"/>
      <c r="E14" s="107"/>
    </row>
    <row r="15" spans="1:45" ht="20.25">
      <c r="A15" s="46" t="s">
        <v>57</v>
      </c>
      <c r="C15" s="107"/>
      <c r="E15" s="107"/>
    </row>
    <row r="16" spans="1:45" ht="20.25">
      <c r="A16" s="46" t="s">
        <v>58</v>
      </c>
      <c r="C16" s="107"/>
      <c r="E16" s="114"/>
    </row>
    <row r="17" spans="1:130" ht="20.25">
      <c r="A17" s="46" t="s">
        <v>59</v>
      </c>
      <c r="C17" s="141"/>
      <c r="E17" s="107"/>
    </row>
    <row r="18" spans="1:130" ht="20.25">
      <c r="A18" s="46" t="s">
        <v>25</v>
      </c>
      <c r="C18" s="107"/>
      <c r="E18" s="114"/>
    </row>
    <row r="19" spans="1:130" ht="20.25">
      <c r="A19" s="46" t="s">
        <v>60</v>
      </c>
      <c r="C19" s="107"/>
      <c r="E19" s="107"/>
    </row>
    <row r="20" spans="1:130" ht="20.25">
      <c r="A20" s="46" t="s">
        <v>69</v>
      </c>
      <c r="C20" s="107"/>
      <c r="E20" s="107"/>
    </row>
    <row r="21" spans="1:130" ht="20.25">
      <c r="A21" s="46" t="s">
        <v>26</v>
      </c>
      <c r="C21" s="107"/>
      <c r="E21" s="107"/>
    </row>
    <row r="22" spans="1:130" ht="20.25">
      <c r="A22" s="46" t="s">
        <v>61</v>
      </c>
      <c r="C22" s="107"/>
      <c r="E22" s="107"/>
    </row>
    <row r="23" spans="1:130" ht="20.25">
      <c r="A23" s="46" t="s">
        <v>70</v>
      </c>
      <c r="C23" s="107"/>
      <c r="E23" s="114"/>
    </row>
    <row r="24" spans="1:130" ht="20.25">
      <c r="A24" s="46" t="s">
        <v>49</v>
      </c>
      <c r="C24" s="107"/>
      <c r="E24" s="114"/>
    </row>
    <row r="25" spans="1:130" ht="20.25">
      <c r="A25" s="46" t="s">
        <v>73</v>
      </c>
      <c r="C25" s="107"/>
      <c r="E25" s="107"/>
    </row>
    <row r="26" spans="1:130" ht="20.25">
      <c r="A26" s="46" t="s">
        <v>62</v>
      </c>
      <c r="C26" s="107"/>
      <c r="E26" s="107"/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0</v>
      </c>
      <c r="E29" s="40">
        <f t="shared" ref="E29" si="5">COUNTIF(E6:E26,"ausente")</f>
        <v>0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V37"/>
  <sheetViews>
    <sheetView zoomScale="90" zoomScaleNormal="90" workbookViewId="0">
      <pane xSplit="1" topLeftCell="B1" activePane="topRight" state="frozen"/>
      <selection pane="topRight" activeCell="H6" sqref="H6"/>
    </sheetView>
  </sheetViews>
  <sheetFormatPr defaultRowHeight="15"/>
  <cols>
    <col min="1" max="1" width="46.85546875" customWidth="1"/>
    <col min="2" max="6" width="30.42578125" customWidth="1"/>
    <col min="7" max="7" width="17.42578125" customWidth="1"/>
    <col min="8" max="8" width="16.85546875" customWidth="1"/>
    <col min="9" max="9" width="29.85546875" customWidth="1"/>
    <col min="10" max="10" width="29.28515625" customWidth="1"/>
    <col min="11" max="11" width="25.7109375" customWidth="1"/>
    <col min="12" max="12" width="28" customWidth="1"/>
    <col min="13" max="13" width="28.140625" customWidth="1"/>
    <col min="14" max="14" width="30.5703125" customWidth="1"/>
    <col min="15" max="15" width="26.7109375" customWidth="1"/>
    <col min="16" max="17" width="29.28515625" customWidth="1"/>
    <col min="18" max="18" width="29.42578125" customWidth="1"/>
    <col min="19" max="20" width="28.7109375" customWidth="1"/>
    <col min="21" max="21" width="28.140625" customWidth="1"/>
    <col min="22" max="22" width="25.7109375" customWidth="1"/>
    <col min="23" max="23" width="21.28515625" customWidth="1"/>
    <col min="24" max="24" width="19.5703125" customWidth="1"/>
    <col min="25" max="25" width="18.28515625" customWidth="1"/>
    <col min="26" max="26" width="17.28515625" customWidth="1"/>
    <col min="27" max="27" width="18.140625" customWidth="1"/>
    <col min="28" max="28" width="22" customWidth="1"/>
    <col min="29" max="29" width="16.140625" customWidth="1"/>
    <col min="30" max="30" width="18" customWidth="1"/>
    <col min="32" max="32" width="18.28515625" customWidth="1"/>
  </cols>
  <sheetData>
    <row r="1" spans="1:32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2">
      <c r="A2" s="76" t="s">
        <v>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32" ht="18" customHeight="1" thickBot="1">
      <c r="A3" s="76" t="s">
        <v>82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32" ht="90.6" customHeight="1" thickBot="1">
      <c r="A4" s="120" t="s">
        <v>5</v>
      </c>
      <c r="B4" s="119" t="s">
        <v>7</v>
      </c>
      <c r="C4" s="139" t="s">
        <v>79</v>
      </c>
      <c r="D4" s="139" t="s">
        <v>80</v>
      </c>
      <c r="E4" s="139" t="s">
        <v>122</v>
      </c>
      <c r="F4" s="139" t="s">
        <v>123</v>
      </c>
      <c r="G4" s="60"/>
      <c r="H4" s="60"/>
      <c r="I4" s="60"/>
      <c r="J4" s="9"/>
      <c r="K4" s="9"/>
      <c r="L4" s="9"/>
      <c r="M4" s="9"/>
      <c r="N4" s="9"/>
      <c r="O4" s="9"/>
      <c r="P4" s="13"/>
      <c r="Q4" s="9"/>
      <c r="R4" s="9"/>
      <c r="S4" s="9"/>
      <c r="T4" s="9"/>
      <c r="U4" s="9"/>
      <c r="V4" s="9"/>
      <c r="W4" s="13"/>
      <c r="X4" s="13"/>
      <c r="Y4" s="13"/>
      <c r="Z4" s="13"/>
      <c r="AA4" s="13"/>
      <c r="AB4" s="9"/>
      <c r="AC4" s="9"/>
      <c r="AD4" s="9"/>
      <c r="AF4" s="8"/>
    </row>
    <row r="5" spans="1:32" s="77" customFormat="1" ht="51.75" customHeight="1">
      <c r="B5" s="75"/>
      <c r="C5" s="144" t="s">
        <v>75</v>
      </c>
      <c r="D5" s="144" t="s">
        <v>75</v>
      </c>
      <c r="E5" s="144" t="s">
        <v>75</v>
      </c>
      <c r="F5" s="113" t="s">
        <v>124</v>
      </c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AC5" s="75"/>
      <c r="AD5" s="75"/>
    </row>
    <row r="6" spans="1:32" ht="18">
      <c r="A6" s="129" t="s">
        <v>51</v>
      </c>
      <c r="C6" s="107"/>
      <c r="D6" s="107"/>
      <c r="E6" s="107"/>
      <c r="F6" s="107"/>
      <c r="X6" s="7"/>
      <c r="Y6" s="7"/>
    </row>
    <row r="7" spans="1:32" ht="18">
      <c r="A7" s="129" t="s">
        <v>68</v>
      </c>
      <c r="C7" s="107"/>
      <c r="D7" s="107"/>
      <c r="E7" s="107"/>
      <c r="F7" s="107"/>
      <c r="X7" s="7"/>
      <c r="Y7" s="7"/>
    </row>
    <row r="8" spans="1:32" ht="18">
      <c r="A8" s="129" t="s">
        <v>54</v>
      </c>
      <c r="C8" s="107"/>
      <c r="D8" s="107"/>
      <c r="E8" s="107"/>
      <c r="F8" s="107"/>
      <c r="X8" s="7"/>
      <c r="Y8" s="7"/>
    </row>
    <row r="9" spans="1:32" ht="18">
      <c r="A9" s="130" t="s">
        <v>55</v>
      </c>
      <c r="C9" s="65"/>
      <c r="D9" s="114"/>
      <c r="E9" s="114"/>
      <c r="F9" s="114"/>
      <c r="X9" s="7"/>
      <c r="Y9" s="7"/>
    </row>
    <row r="10" spans="1:32" ht="18">
      <c r="A10" s="129" t="s">
        <v>28</v>
      </c>
      <c r="C10" s="107"/>
      <c r="D10" s="107"/>
      <c r="E10" s="107"/>
      <c r="F10" s="107"/>
      <c r="X10" s="7"/>
      <c r="Y10" s="7"/>
    </row>
    <row r="11" spans="1:32" ht="18">
      <c r="A11" s="129" t="s">
        <v>56</v>
      </c>
      <c r="C11" s="114"/>
      <c r="D11" s="107"/>
      <c r="E11" s="107"/>
      <c r="F11" s="107"/>
      <c r="X11" s="7"/>
      <c r="Y11" s="7"/>
    </row>
    <row r="12" spans="1:32" ht="18">
      <c r="A12" s="129" t="s">
        <v>22</v>
      </c>
      <c r="C12" s="107"/>
      <c r="D12" s="107"/>
      <c r="E12" s="107"/>
      <c r="F12" s="107"/>
      <c r="X12" s="7"/>
      <c r="Y12" s="7"/>
    </row>
    <row r="13" spans="1:32" ht="18">
      <c r="A13" s="129" t="s">
        <v>23</v>
      </c>
      <c r="C13" s="114"/>
      <c r="D13" s="107"/>
      <c r="E13" s="107"/>
      <c r="F13" s="107"/>
      <c r="X13" s="7"/>
      <c r="Y13" s="7"/>
    </row>
    <row r="14" spans="1:32" ht="18">
      <c r="A14" s="129" t="s">
        <v>24</v>
      </c>
      <c r="C14" s="107"/>
      <c r="D14" s="107"/>
      <c r="E14" s="107"/>
      <c r="F14" s="107"/>
      <c r="X14" s="7"/>
      <c r="Y14" s="7"/>
    </row>
    <row r="15" spans="1:32" ht="18">
      <c r="A15" s="129" t="s">
        <v>57</v>
      </c>
      <c r="C15" s="107"/>
      <c r="D15" s="107"/>
      <c r="E15" s="107"/>
      <c r="F15" s="107"/>
      <c r="X15" s="7"/>
      <c r="Y15" s="7"/>
    </row>
    <row r="16" spans="1:32" ht="18">
      <c r="A16" s="129" t="s">
        <v>58</v>
      </c>
      <c r="C16" s="107"/>
      <c r="D16" s="107"/>
      <c r="E16" s="107"/>
      <c r="F16" s="107"/>
      <c r="X16" s="7"/>
      <c r="Y16" s="7"/>
    </row>
    <row r="17" spans="1:126" ht="15" customHeight="1">
      <c r="A17" s="129" t="s">
        <v>59</v>
      </c>
      <c r="C17" s="114"/>
      <c r="D17" s="114"/>
      <c r="E17" s="114"/>
      <c r="F17" s="114"/>
      <c r="W17" s="8"/>
      <c r="X17" s="7"/>
      <c r="Y17" s="7"/>
    </row>
    <row r="18" spans="1:126" ht="18">
      <c r="A18" s="129" t="s">
        <v>25</v>
      </c>
      <c r="C18" s="107"/>
      <c r="D18" s="107"/>
      <c r="E18" s="107"/>
      <c r="F18" s="107"/>
      <c r="X18" s="7"/>
      <c r="Y18" s="7"/>
    </row>
    <row r="19" spans="1:126" ht="18">
      <c r="A19" s="129" t="s">
        <v>60</v>
      </c>
      <c r="C19" s="107"/>
      <c r="D19" s="107"/>
      <c r="E19" s="107"/>
      <c r="F19" s="107"/>
      <c r="X19" s="7"/>
      <c r="Y19" s="7"/>
    </row>
    <row r="20" spans="1:126" ht="18">
      <c r="A20" s="129" t="s">
        <v>69</v>
      </c>
      <c r="C20" s="114"/>
      <c r="D20" s="114"/>
      <c r="E20" s="114"/>
      <c r="F20" s="114"/>
      <c r="X20" s="7"/>
      <c r="Y20" s="7"/>
    </row>
    <row r="21" spans="1:126" ht="18">
      <c r="A21" s="129" t="s">
        <v>26</v>
      </c>
      <c r="C21" s="114"/>
      <c r="D21" s="107"/>
      <c r="E21" s="107"/>
      <c r="F21" s="107"/>
      <c r="X21" s="7"/>
      <c r="Y21" s="7"/>
    </row>
    <row r="22" spans="1:126" ht="18">
      <c r="A22" s="129" t="s">
        <v>61</v>
      </c>
      <c r="C22" s="107"/>
      <c r="D22" s="107"/>
      <c r="E22" s="107"/>
      <c r="F22" s="107"/>
      <c r="X22" s="7"/>
      <c r="Y22" s="7"/>
    </row>
    <row r="23" spans="1:126" ht="18">
      <c r="A23" s="129" t="s">
        <v>70</v>
      </c>
      <c r="C23" s="107"/>
      <c r="D23" s="107"/>
      <c r="E23" s="107"/>
      <c r="F23" s="107"/>
      <c r="X23" s="7"/>
      <c r="Y23" s="7"/>
    </row>
    <row r="24" spans="1:126" ht="18">
      <c r="A24" s="129" t="s">
        <v>49</v>
      </c>
      <c r="C24" s="107"/>
      <c r="D24" s="114"/>
      <c r="E24" s="114"/>
      <c r="F24" s="114"/>
      <c r="X24" s="7"/>
      <c r="Y24" s="7"/>
    </row>
    <row r="25" spans="1:126" ht="18">
      <c r="A25" s="129" t="s">
        <v>73</v>
      </c>
      <c r="C25" s="107"/>
      <c r="D25" s="107"/>
      <c r="E25" s="107"/>
      <c r="F25" s="107"/>
      <c r="X25" s="7"/>
      <c r="Y25" s="7"/>
    </row>
    <row r="26" spans="1:126" ht="18">
      <c r="A26" s="129" t="s">
        <v>62</v>
      </c>
      <c r="C26" s="107"/>
      <c r="D26" s="107"/>
      <c r="E26" s="107"/>
      <c r="F26" s="107"/>
      <c r="X26" s="7"/>
      <c r="Y26" s="7"/>
    </row>
    <row r="27" spans="1:126" s="16" customFormat="1" ht="15.75">
      <c r="A27" s="15" t="s">
        <v>18</v>
      </c>
      <c r="B27" s="16">
        <f t="shared" ref="B27" si="0">COUNTIF(B6:B26,"sim")</f>
        <v>0</v>
      </c>
      <c r="C27" s="103">
        <f>COUNTIF(C6:C26,"sim")</f>
        <v>0</v>
      </c>
      <c r="D27" s="103">
        <f t="shared" ref="D27:F27" si="1">COUNTIF(D6:D26,"sim")</f>
        <v>0</v>
      </c>
      <c r="E27" s="103">
        <f t="shared" si="1"/>
        <v>0</v>
      </c>
      <c r="F27" s="103">
        <f t="shared" si="1"/>
        <v>0</v>
      </c>
      <c r="M27" s="16">
        <f t="shared" ref="M27:AR27" si="2">COUNTIF(M6:M26,"sim")</f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si="2"/>
        <v>0</v>
      </c>
      <c r="AR27" s="16">
        <f t="shared" si="2"/>
        <v>0</v>
      </c>
      <c r="AS27" s="16">
        <f t="shared" ref="AS27:BX27" si="3">COUNTIF(AS6:AS26,"sim")</f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si="3"/>
        <v>0</v>
      </c>
      <c r="BX27" s="16">
        <f t="shared" si="3"/>
        <v>0</v>
      </c>
      <c r="BY27" s="16">
        <f t="shared" ref="BY27:DD27" si="4">COUNTIF(BY6:BY26,"sim")</f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si="4"/>
        <v>0</v>
      </c>
      <c r="DD27" s="16">
        <f t="shared" si="4"/>
        <v>0</v>
      </c>
      <c r="DE27" s="16">
        <f t="shared" ref="DE27:DV27" si="5">COUNTIF(DE6:DE26,"sim")</f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  <c r="DU27" s="16">
        <f t="shared" si="5"/>
        <v>0</v>
      </c>
      <c r="DV27" s="16">
        <f t="shared" si="5"/>
        <v>0</v>
      </c>
    </row>
    <row r="28" spans="1:126" s="18" customFormat="1" ht="15.75">
      <c r="A28" s="17" t="s">
        <v>19</v>
      </c>
      <c r="B28" s="18">
        <f t="shared" ref="B28" si="6">COUNTIF(B6:B26,"não")</f>
        <v>0</v>
      </c>
      <c r="C28" s="104">
        <f>COUNTIF(C6:C26,"não")</f>
        <v>0</v>
      </c>
      <c r="D28" s="104">
        <f t="shared" ref="D28:F28" si="7">COUNTIF(D6:D26,"não")</f>
        <v>0</v>
      </c>
      <c r="E28" s="104">
        <f t="shared" si="7"/>
        <v>0</v>
      </c>
      <c r="F28" s="104">
        <f t="shared" si="7"/>
        <v>0</v>
      </c>
      <c r="M28" s="18">
        <f t="shared" ref="M28:AR28" si="8">COUNTIF(M6:M27,"não")</f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si="8"/>
        <v>0</v>
      </c>
      <c r="AR28" s="18">
        <f t="shared" si="8"/>
        <v>0</v>
      </c>
      <c r="AS28" s="18">
        <f t="shared" ref="AS28:BX28" si="9">COUNTIF(AS6:AS27,"não")</f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si="9"/>
        <v>0</v>
      </c>
      <c r="BX28" s="18">
        <f t="shared" si="9"/>
        <v>0</v>
      </c>
      <c r="BY28" s="18">
        <f t="shared" ref="BY28:DD28" si="10">COUNTIF(BY6:BY27,"não")</f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si="10"/>
        <v>0</v>
      </c>
      <c r="DD28" s="18">
        <f t="shared" si="10"/>
        <v>0</v>
      </c>
      <c r="DE28" s="18">
        <f t="shared" ref="DE28:DV28" si="11">COUNTIF(DE6:DE27,"não")</f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  <c r="DU28" s="18">
        <f t="shared" si="11"/>
        <v>0</v>
      </c>
      <c r="DV28" s="18">
        <f t="shared" si="11"/>
        <v>0</v>
      </c>
    </row>
    <row r="29" spans="1:126" ht="15.75">
      <c r="A29" s="14" t="s">
        <v>11</v>
      </c>
      <c r="B29">
        <f t="shared" ref="B29" si="12">COUNTIF(B6:B26,"ausente")</f>
        <v>0</v>
      </c>
      <c r="C29" s="40">
        <f>COUNTIF(C6:C26,"ausente")</f>
        <v>0</v>
      </c>
      <c r="D29" s="40">
        <f t="shared" ref="D29:F29" si="13">COUNTIF(D6:D26,"ausente")</f>
        <v>0</v>
      </c>
      <c r="E29" s="40">
        <f t="shared" si="13"/>
        <v>0</v>
      </c>
      <c r="F29" s="40">
        <f t="shared" si="13"/>
        <v>0</v>
      </c>
      <c r="M29">
        <f t="shared" ref="M29:AR29" si="14">COUNTIF(M6:M28,"ausente")</f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si="14"/>
        <v>0</v>
      </c>
      <c r="AR29">
        <f t="shared" si="14"/>
        <v>0</v>
      </c>
      <c r="AS29">
        <f t="shared" ref="AS29:BX29" si="15">COUNTIF(AS6:AS28,"ausente")</f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si="15"/>
        <v>0</v>
      </c>
      <c r="BX29">
        <f t="shared" si="15"/>
        <v>0</v>
      </c>
      <c r="BY29">
        <f t="shared" ref="BY29:DD29" si="16">COUNTIF(BY6:BY28,"ausente")</f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si="16"/>
        <v>0</v>
      </c>
      <c r="DD29">
        <f t="shared" si="16"/>
        <v>0</v>
      </c>
      <c r="DE29">
        <f t="shared" ref="DE29:DV29" si="17">COUNTIF(DE6:DE28,"ausente")</f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  <c r="DU29">
        <f t="shared" si="17"/>
        <v>0</v>
      </c>
      <c r="DV29">
        <f t="shared" si="17"/>
        <v>0</v>
      </c>
    </row>
    <row r="30" spans="1:126" s="20" customFormat="1" ht="15.75">
      <c r="A30" s="19" t="s">
        <v>20</v>
      </c>
      <c r="B30" s="20">
        <f t="shared" ref="B30" si="18">COUNTIF(B6:B26,"abstenção")</f>
        <v>0</v>
      </c>
      <c r="C30" s="105">
        <f>COUNTIF(C6:C26,"abstenção")</f>
        <v>0</v>
      </c>
      <c r="D30" s="105">
        <f t="shared" ref="D30:F30" si="19">COUNTIF(D6:D26,"abstenção")</f>
        <v>0</v>
      </c>
      <c r="E30" s="105">
        <f t="shared" si="19"/>
        <v>0</v>
      </c>
      <c r="F30" s="105">
        <f t="shared" si="19"/>
        <v>0</v>
      </c>
      <c r="M30" s="20">
        <f t="shared" ref="M30:AR30" si="20">COUNTIF(M10:M29,"abstenção")</f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si="20"/>
        <v>0</v>
      </c>
      <c r="AR30" s="20">
        <f t="shared" si="20"/>
        <v>0</v>
      </c>
      <c r="AS30" s="20">
        <f t="shared" ref="AS30:BK30" si="21">COUNTIF(AS10:AS29,"abstenção")</f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si="21"/>
        <v>0</v>
      </c>
      <c r="BK30" s="20">
        <f t="shared" si="21"/>
        <v>0</v>
      </c>
      <c r="BL30" s="20">
        <f t="shared" ref="BL30:DV30" si="22">COUNTIF(BL10:BL29,"abstenção")</f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  <c r="DU30" s="20">
        <f t="shared" si="22"/>
        <v>0</v>
      </c>
      <c r="DV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tabSelected="1" workbookViewId="0">
      <pane xSplit="1" topLeftCell="B1" activePane="topRight" state="frozen"/>
      <selection pane="topRight" activeCell="K8" sqref="K8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6" t="s">
        <v>8</v>
      </c>
      <c r="B1" s="2"/>
    </row>
    <row r="2" spans="1:5">
      <c r="A2" s="76" t="s">
        <v>81</v>
      </c>
      <c r="B2" s="2"/>
    </row>
    <row r="3" spans="1:5" ht="15.75" thickBot="1">
      <c r="A3" s="121" t="s">
        <v>82</v>
      </c>
      <c r="B3" s="2"/>
    </row>
    <row r="4" spans="1:5" ht="78.75" customHeight="1" thickBot="1">
      <c r="A4" s="120" t="s">
        <v>5</v>
      </c>
      <c r="B4" s="111" t="s">
        <v>21</v>
      </c>
      <c r="C4" s="139" t="s">
        <v>125</v>
      </c>
      <c r="D4" s="139" t="s">
        <v>126</v>
      </c>
      <c r="E4" s="139" t="s">
        <v>127</v>
      </c>
    </row>
    <row r="5" spans="1:5" s="6" customFormat="1" ht="60.75" customHeight="1">
      <c r="A5" s="122"/>
      <c r="B5" s="111"/>
      <c r="C5" s="113" t="s">
        <v>71</v>
      </c>
      <c r="D5" s="113" t="s">
        <v>71</v>
      </c>
      <c r="E5" s="113" t="s">
        <v>71</v>
      </c>
    </row>
    <row r="6" spans="1:5" ht="15.75">
      <c r="A6" s="127" t="s">
        <v>51</v>
      </c>
      <c r="C6" s="107" t="s">
        <v>66</v>
      </c>
      <c r="D6" s="107" t="s">
        <v>66</v>
      </c>
      <c r="E6" s="107" t="s">
        <v>66</v>
      </c>
    </row>
    <row r="7" spans="1:5" ht="15.75">
      <c r="A7" s="127" t="s">
        <v>68</v>
      </c>
      <c r="C7" s="107" t="s">
        <v>66</v>
      </c>
      <c r="D7" s="107" t="s">
        <v>66</v>
      </c>
      <c r="E7" s="107" t="s">
        <v>66</v>
      </c>
    </row>
    <row r="8" spans="1:5" ht="15.75">
      <c r="A8" s="127" t="s">
        <v>54</v>
      </c>
      <c r="C8" s="107" t="s">
        <v>66</v>
      </c>
      <c r="D8" s="107" t="s">
        <v>66</v>
      </c>
      <c r="E8" s="107" t="s">
        <v>66</v>
      </c>
    </row>
    <row r="9" spans="1:5" ht="15.75">
      <c r="A9" s="128" t="s">
        <v>55</v>
      </c>
      <c r="C9" s="114" t="s">
        <v>72</v>
      </c>
      <c r="D9" s="107" t="s">
        <v>66</v>
      </c>
      <c r="E9" s="107" t="s">
        <v>66</v>
      </c>
    </row>
    <row r="10" spans="1:5" ht="15.75">
      <c r="A10" s="127" t="s">
        <v>28</v>
      </c>
      <c r="C10" s="107" t="s">
        <v>66</v>
      </c>
      <c r="D10" s="107" t="s">
        <v>66</v>
      </c>
      <c r="E10" s="107" t="s">
        <v>66</v>
      </c>
    </row>
    <row r="11" spans="1:5" ht="15.75">
      <c r="A11" s="127" t="s">
        <v>56</v>
      </c>
      <c r="C11" s="107" t="s">
        <v>66</v>
      </c>
      <c r="D11" s="107" t="s">
        <v>66</v>
      </c>
      <c r="E11" s="107" t="s">
        <v>66</v>
      </c>
    </row>
    <row r="12" spans="1:5" ht="15.75">
      <c r="A12" s="127" t="s">
        <v>22</v>
      </c>
      <c r="C12" s="107" t="s">
        <v>66</v>
      </c>
      <c r="D12" s="107" t="s">
        <v>66</v>
      </c>
      <c r="E12" s="107" t="s">
        <v>66</v>
      </c>
    </row>
    <row r="13" spans="1:5" ht="15.75">
      <c r="A13" s="127" t="s">
        <v>23</v>
      </c>
      <c r="B13" s="138"/>
      <c r="C13" s="107" t="s">
        <v>66</v>
      </c>
      <c r="D13" s="107" t="s">
        <v>66</v>
      </c>
      <c r="E13" s="107" t="s">
        <v>66</v>
      </c>
    </row>
    <row r="14" spans="1:5" ht="15.75">
      <c r="A14" s="127" t="s">
        <v>24</v>
      </c>
      <c r="C14" s="107" t="s">
        <v>66</v>
      </c>
      <c r="D14" s="107" t="s">
        <v>66</v>
      </c>
      <c r="E14" s="107" t="s">
        <v>66</v>
      </c>
    </row>
    <row r="15" spans="1:5" ht="15.75">
      <c r="A15" s="127" t="s">
        <v>57</v>
      </c>
      <c r="C15" s="107" t="s">
        <v>66</v>
      </c>
      <c r="D15" s="107" t="s">
        <v>66</v>
      </c>
      <c r="E15" s="107" t="s">
        <v>66</v>
      </c>
    </row>
    <row r="16" spans="1:5" ht="15.75">
      <c r="A16" s="127" t="s">
        <v>58</v>
      </c>
      <c r="C16" s="107" t="s">
        <v>66</v>
      </c>
      <c r="D16" s="107" t="s">
        <v>66</v>
      </c>
      <c r="E16" s="107" t="s">
        <v>66</v>
      </c>
    </row>
    <row r="17" spans="1:5" ht="15.75">
      <c r="A17" s="127" t="s">
        <v>59</v>
      </c>
      <c r="C17" s="114" t="s">
        <v>128</v>
      </c>
      <c r="D17" s="107" t="s">
        <v>66</v>
      </c>
      <c r="E17" s="107" t="s">
        <v>66</v>
      </c>
    </row>
    <row r="18" spans="1:5" ht="15.75">
      <c r="A18" s="127" t="s">
        <v>25</v>
      </c>
      <c r="C18" s="107" t="s">
        <v>66</v>
      </c>
      <c r="D18" s="107" t="s">
        <v>66</v>
      </c>
      <c r="E18" s="107" t="s">
        <v>66</v>
      </c>
    </row>
    <row r="19" spans="1:5" ht="15.75">
      <c r="A19" s="127" t="s">
        <v>60</v>
      </c>
      <c r="C19" s="107" t="s">
        <v>66</v>
      </c>
      <c r="D19" s="107" t="s">
        <v>66</v>
      </c>
      <c r="E19" s="107" t="s">
        <v>66</v>
      </c>
    </row>
    <row r="20" spans="1:5" ht="15.75">
      <c r="A20" s="127" t="s">
        <v>69</v>
      </c>
      <c r="C20" s="114" t="s">
        <v>53</v>
      </c>
      <c r="D20" s="114" t="s">
        <v>53</v>
      </c>
      <c r="E20" s="114" t="s">
        <v>53</v>
      </c>
    </row>
    <row r="21" spans="1:5" ht="15.75">
      <c r="A21" s="127" t="s">
        <v>26</v>
      </c>
      <c r="C21" s="107" t="s">
        <v>66</v>
      </c>
      <c r="D21" s="107" t="s">
        <v>66</v>
      </c>
      <c r="E21" s="107" t="s">
        <v>66</v>
      </c>
    </row>
    <row r="22" spans="1:5" ht="15.75">
      <c r="A22" s="127" t="s">
        <v>61</v>
      </c>
      <c r="C22" s="107" t="s">
        <v>66</v>
      </c>
      <c r="D22" s="107" t="s">
        <v>66</v>
      </c>
      <c r="E22" s="107" t="s">
        <v>66</v>
      </c>
    </row>
    <row r="23" spans="1:5" ht="15.75">
      <c r="A23" s="127" t="s">
        <v>70</v>
      </c>
      <c r="C23" s="107" t="s">
        <v>66</v>
      </c>
      <c r="D23" s="107" t="s">
        <v>66</v>
      </c>
      <c r="E23" s="107" t="s">
        <v>66</v>
      </c>
    </row>
    <row r="24" spans="1:5" ht="15.75">
      <c r="A24" s="127" t="s">
        <v>49</v>
      </c>
      <c r="C24" s="107" t="s">
        <v>66</v>
      </c>
      <c r="D24" s="107" t="s">
        <v>66</v>
      </c>
      <c r="E24" s="107" t="s">
        <v>66</v>
      </c>
    </row>
    <row r="25" spans="1:5" ht="15.75">
      <c r="A25" s="127" t="s">
        <v>73</v>
      </c>
      <c r="C25" s="107" t="s">
        <v>66</v>
      </c>
      <c r="D25" s="107" t="s">
        <v>66</v>
      </c>
      <c r="E25" s="107" t="s">
        <v>66</v>
      </c>
    </row>
    <row r="26" spans="1:5" ht="15.75">
      <c r="A26" s="127" t="s">
        <v>62</v>
      </c>
      <c r="C26" s="107" t="s">
        <v>66</v>
      </c>
      <c r="D26" s="114" t="s">
        <v>53</v>
      </c>
      <c r="E26" s="114" t="s">
        <v>53</v>
      </c>
    </row>
    <row r="27" spans="1:5">
      <c r="C27" s="107"/>
      <c r="D27" s="107"/>
      <c r="E27" s="107"/>
    </row>
    <row r="28" spans="1:5" ht="15.75">
      <c r="A28" s="15" t="s">
        <v>18</v>
      </c>
      <c r="B28" s="16">
        <f>COUNTIF(B6:B26,"sim")</f>
        <v>0</v>
      </c>
      <c r="C28" s="103">
        <f t="shared" ref="C28:E28" si="0">COUNTIF(C6:C26,"sim")</f>
        <v>18</v>
      </c>
      <c r="D28" s="103">
        <f t="shared" si="0"/>
        <v>19</v>
      </c>
      <c r="E28" s="103">
        <f t="shared" si="0"/>
        <v>19</v>
      </c>
    </row>
    <row r="29" spans="1:5" ht="15.75">
      <c r="A29" s="17" t="s">
        <v>19</v>
      </c>
      <c r="B29" s="18">
        <f>COUNTIF(B6:B26,"não")</f>
        <v>0</v>
      </c>
      <c r="C29" s="104">
        <f t="shared" ref="C29:E29" si="1">COUNTIF(C6:C26,"não")</f>
        <v>0</v>
      </c>
      <c r="D29" s="104">
        <f t="shared" si="1"/>
        <v>0</v>
      </c>
      <c r="E29" s="104">
        <f t="shared" si="1"/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:E30" si="2">COUNTIF(C6:C26,"ausente")</f>
        <v>1</v>
      </c>
      <c r="D30" s="40">
        <f t="shared" si="2"/>
        <v>2</v>
      </c>
      <c r="E30" s="40">
        <f t="shared" si="2"/>
        <v>2</v>
      </c>
    </row>
    <row r="31" spans="1:5" ht="15.75">
      <c r="A31" s="19" t="s">
        <v>20</v>
      </c>
      <c r="B31" s="20">
        <f>COUNTIF(B6:B26,"abstenção")</f>
        <v>0</v>
      </c>
      <c r="C31" s="105">
        <f t="shared" ref="C31:E31" si="3">COUNTIF(C6:C26,"abstenção")</f>
        <v>1</v>
      </c>
      <c r="D31" s="105">
        <f t="shared" si="3"/>
        <v>0</v>
      </c>
      <c r="E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F38"/>
  <sheetViews>
    <sheetView workbookViewId="0">
      <selection activeCell="K25" sqref="K25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5.5703125" customWidth="1"/>
    <col min="7" max="7" width="18.28515625" customWidth="1"/>
  </cols>
  <sheetData>
    <row r="1" spans="1:6">
      <c r="A1" s="76" t="s">
        <v>8</v>
      </c>
      <c r="B1" s="2"/>
      <c r="C1" s="54"/>
      <c r="D1" s="54"/>
      <c r="E1" s="54"/>
    </row>
    <row r="2" spans="1:6">
      <c r="A2" s="76" t="s">
        <v>81</v>
      </c>
      <c r="B2" s="2"/>
      <c r="C2" s="54"/>
      <c r="D2" s="54"/>
      <c r="E2" s="54"/>
    </row>
    <row r="3" spans="1:6" ht="15.75" thickBot="1">
      <c r="A3" s="121" t="s">
        <v>82</v>
      </c>
      <c r="B3" s="2"/>
      <c r="C3" s="54"/>
      <c r="D3" s="54"/>
      <c r="E3" s="54"/>
    </row>
    <row r="4" spans="1:6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31" t="s">
        <v>83</v>
      </c>
    </row>
    <row r="5" spans="1:6" ht="60.75" customHeight="1">
      <c r="A5" s="48"/>
      <c r="B5" s="10"/>
      <c r="C5" s="132"/>
      <c r="D5" s="131"/>
      <c r="E5" s="131"/>
      <c r="F5" s="40"/>
    </row>
    <row r="6" spans="1:6" ht="18">
      <c r="A6" s="129" t="s">
        <v>51</v>
      </c>
      <c r="C6" s="133"/>
      <c r="D6" s="133"/>
      <c r="E6" s="133"/>
      <c r="F6" s="40"/>
    </row>
    <row r="7" spans="1:6" ht="18">
      <c r="A7" s="129" t="s">
        <v>68</v>
      </c>
      <c r="C7" s="133"/>
      <c r="D7" s="133"/>
      <c r="E7" s="133"/>
      <c r="F7" s="40"/>
    </row>
    <row r="8" spans="1:6" ht="18">
      <c r="A8" s="129" t="s">
        <v>54</v>
      </c>
      <c r="C8" s="133"/>
      <c r="D8" s="133"/>
      <c r="E8" s="133"/>
      <c r="F8" s="40"/>
    </row>
    <row r="9" spans="1:6" ht="18">
      <c r="A9" s="130" t="s">
        <v>55</v>
      </c>
      <c r="C9" s="133"/>
      <c r="D9" s="133"/>
      <c r="E9" s="133"/>
      <c r="F9" s="40"/>
    </row>
    <row r="10" spans="1:6" ht="18">
      <c r="A10" s="129" t="s">
        <v>28</v>
      </c>
      <c r="C10" s="133"/>
      <c r="D10" s="133"/>
      <c r="E10" s="133"/>
      <c r="F10" s="40"/>
    </row>
    <row r="11" spans="1:6" ht="18">
      <c r="A11" s="129" t="s">
        <v>56</v>
      </c>
      <c r="C11" s="133"/>
      <c r="D11" s="133"/>
      <c r="E11" s="133"/>
      <c r="F11" s="40"/>
    </row>
    <row r="12" spans="1:6" ht="18">
      <c r="A12" s="129" t="s">
        <v>22</v>
      </c>
      <c r="C12" s="133"/>
      <c r="D12" s="133"/>
      <c r="E12" s="133"/>
      <c r="F12" s="40"/>
    </row>
    <row r="13" spans="1:6" ht="18">
      <c r="A13" s="129" t="s">
        <v>23</v>
      </c>
      <c r="C13" s="133"/>
      <c r="D13" s="133"/>
      <c r="E13" s="133"/>
      <c r="F13" s="40"/>
    </row>
    <row r="14" spans="1:6" ht="18">
      <c r="A14" s="129" t="s">
        <v>24</v>
      </c>
      <c r="C14" s="133"/>
      <c r="D14" s="133"/>
      <c r="E14" s="133"/>
      <c r="F14" s="40"/>
    </row>
    <row r="15" spans="1:6" ht="18">
      <c r="A15" s="129" t="s">
        <v>57</v>
      </c>
      <c r="C15" s="133"/>
      <c r="D15" s="133"/>
      <c r="E15" s="133"/>
      <c r="F15" s="40"/>
    </row>
    <row r="16" spans="1:6" ht="18">
      <c r="A16" s="129" t="s">
        <v>58</v>
      </c>
      <c r="C16" s="133"/>
      <c r="D16" s="133"/>
      <c r="E16" s="133"/>
      <c r="F16" s="40"/>
    </row>
    <row r="17" spans="1:6" ht="18">
      <c r="A17" s="129" t="s">
        <v>59</v>
      </c>
      <c r="C17" s="133"/>
      <c r="D17" s="133"/>
      <c r="E17" s="133"/>
      <c r="F17" s="40"/>
    </row>
    <row r="18" spans="1:6" ht="18">
      <c r="A18" s="129" t="s">
        <v>25</v>
      </c>
      <c r="C18" s="133"/>
      <c r="D18" s="133"/>
      <c r="E18" s="133"/>
      <c r="F18" s="40"/>
    </row>
    <row r="19" spans="1:6" ht="18">
      <c r="A19" s="129" t="s">
        <v>60</v>
      </c>
      <c r="C19" s="133"/>
      <c r="D19" s="133"/>
      <c r="E19" s="133"/>
      <c r="F19" s="40"/>
    </row>
    <row r="20" spans="1:6" ht="18">
      <c r="A20" s="129" t="s">
        <v>69</v>
      </c>
      <c r="C20" s="133"/>
      <c r="D20" s="133"/>
      <c r="E20" s="133"/>
      <c r="F20" s="40"/>
    </row>
    <row r="21" spans="1:6" ht="18">
      <c r="A21" s="129" t="s">
        <v>26</v>
      </c>
      <c r="C21" s="133"/>
      <c r="D21" s="133"/>
      <c r="E21" s="133"/>
      <c r="F21" s="40"/>
    </row>
    <row r="22" spans="1:6" ht="18">
      <c r="A22" s="129" t="s">
        <v>61</v>
      </c>
      <c r="C22" s="133"/>
      <c r="D22" s="133"/>
      <c r="E22" s="133"/>
      <c r="F22" s="40"/>
    </row>
    <row r="23" spans="1:6" ht="18">
      <c r="A23" s="129" t="s">
        <v>70</v>
      </c>
      <c r="C23" s="133"/>
      <c r="D23" s="133"/>
      <c r="E23" s="133"/>
      <c r="F23" s="40"/>
    </row>
    <row r="24" spans="1:6" ht="18">
      <c r="A24" s="129" t="s">
        <v>49</v>
      </c>
      <c r="C24" s="133"/>
      <c r="D24" s="133"/>
      <c r="E24" s="133"/>
      <c r="F24" s="40"/>
    </row>
    <row r="25" spans="1:6" ht="18">
      <c r="A25" s="129" t="s">
        <v>73</v>
      </c>
      <c r="C25" s="133"/>
      <c r="D25" s="133"/>
      <c r="E25" s="133"/>
      <c r="F25" s="40"/>
    </row>
    <row r="26" spans="1:6" ht="18">
      <c r="A26" s="129" t="s">
        <v>62</v>
      </c>
      <c r="C26" s="133"/>
      <c r="D26" s="133"/>
      <c r="E26" s="133"/>
      <c r="F26" s="40"/>
    </row>
    <row r="27" spans="1:6">
      <c r="C27" s="133"/>
      <c r="D27" s="133"/>
      <c r="E27" s="133"/>
      <c r="F27" s="40"/>
    </row>
    <row r="28" spans="1:6" ht="15.75">
      <c r="A28" s="15" t="s">
        <v>18</v>
      </c>
      <c r="B28" s="16"/>
      <c r="C28" s="134">
        <f t="shared" ref="C28:F28" si="0">COUNTIF(C6:C26,"sim")</f>
        <v>0</v>
      </c>
      <c r="D28" s="134">
        <f t="shared" si="0"/>
        <v>0</v>
      </c>
      <c r="E28" s="134">
        <f t="shared" si="0"/>
        <v>0</v>
      </c>
      <c r="F28" s="134">
        <f t="shared" si="0"/>
        <v>0</v>
      </c>
    </row>
    <row r="29" spans="1:6" ht="15.75">
      <c r="A29" s="17" t="s">
        <v>19</v>
      </c>
      <c r="B29" s="18"/>
      <c r="C29" s="135">
        <f t="shared" ref="C29:F29" si="1">COUNTIF(C6:C26,"não")</f>
        <v>0</v>
      </c>
      <c r="D29" s="135">
        <f t="shared" si="1"/>
        <v>0</v>
      </c>
      <c r="E29" s="135">
        <f t="shared" si="1"/>
        <v>0</v>
      </c>
      <c r="F29" s="135">
        <f t="shared" si="1"/>
        <v>0</v>
      </c>
    </row>
    <row r="30" spans="1:6" ht="15.75">
      <c r="A30" s="14" t="s">
        <v>11</v>
      </c>
      <c r="C30" s="133">
        <f t="shared" ref="C30:F30" si="2">COUNTIF(C6:C26,"ausente")</f>
        <v>0</v>
      </c>
      <c r="D30" s="133">
        <f t="shared" si="2"/>
        <v>0</v>
      </c>
      <c r="E30" s="133">
        <f t="shared" si="2"/>
        <v>0</v>
      </c>
      <c r="F30" s="133">
        <f t="shared" si="2"/>
        <v>0</v>
      </c>
    </row>
    <row r="31" spans="1:6" ht="15.75">
      <c r="A31" s="19" t="s">
        <v>20</v>
      </c>
      <c r="B31" s="20"/>
      <c r="C31" s="136">
        <f t="shared" ref="C31:F31" si="3">COUNTIF(C6:C26,"abstenção")</f>
        <v>0</v>
      </c>
      <c r="D31" s="136">
        <f t="shared" si="3"/>
        <v>0</v>
      </c>
      <c r="E31" s="136">
        <f t="shared" si="3"/>
        <v>0</v>
      </c>
      <c r="F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topLeftCell="N1" zoomScale="90" zoomScaleNormal="90" workbookViewId="0">
      <selection activeCell="Z5" sqref="Z5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81</v>
      </c>
      <c r="B2" s="2"/>
    </row>
    <row r="3" spans="1:23">
      <c r="A3" s="76" t="s">
        <v>82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84</v>
      </c>
      <c r="E4" s="106" t="s">
        <v>85</v>
      </c>
      <c r="F4" s="106" t="s">
        <v>86</v>
      </c>
      <c r="G4" s="106" t="s">
        <v>87</v>
      </c>
      <c r="H4" s="106" t="s">
        <v>88</v>
      </c>
      <c r="I4" s="106" t="s">
        <v>89</v>
      </c>
      <c r="J4" s="106" t="s">
        <v>90</v>
      </c>
      <c r="K4" s="106" t="s">
        <v>91</v>
      </c>
      <c r="L4" s="106" t="s">
        <v>92</v>
      </c>
      <c r="M4" s="106" t="s">
        <v>93</v>
      </c>
      <c r="N4" s="106" t="s">
        <v>94</v>
      </c>
      <c r="O4" s="106" t="s">
        <v>95</v>
      </c>
      <c r="P4" s="106" t="s">
        <v>96</v>
      </c>
      <c r="Q4" s="106" t="s">
        <v>97</v>
      </c>
      <c r="R4" s="106" t="s">
        <v>98</v>
      </c>
      <c r="S4" s="106" t="s">
        <v>99</v>
      </c>
      <c r="T4" s="106" t="s">
        <v>100</v>
      </c>
      <c r="U4" s="106" t="s">
        <v>101</v>
      </c>
      <c r="V4" s="106" t="s">
        <v>102</v>
      </c>
      <c r="W4" s="106" t="s">
        <v>103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69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70</v>
      </c>
    </row>
    <row r="24" spans="1:23" ht="15.75">
      <c r="A24" s="127" t="s">
        <v>49</v>
      </c>
    </row>
    <row r="25" spans="1:23" ht="15.75">
      <c r="A25" s="127" t="s">
        <v>73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2025-09-23T16:13:30Z</dcterms:modified>
</cp:coreProperties>
</file>