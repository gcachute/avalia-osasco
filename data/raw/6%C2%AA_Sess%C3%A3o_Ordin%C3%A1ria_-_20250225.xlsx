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FFAF0833-C2EA-4A3F-9A4D-ECFFBCA14823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D28" i="10"/>
  <c r="E28" i="10"/>
  <c r="D29" i="10"/>
  <c r="E29" i="10"/>
  <c r="D30" i="10"/>
  <c r="E30" i="10"/>
  <c r="D31" i="10"/>
  <c r="E31" i="10"/>
  <c r="F28" i="10"/>
  <c r="F29" i="10"/>
  <c r="F30" i="10"/>
  <c r="F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3"/>
  <c r="C28" i="3"/>
  <c r="C29" i="3"/>
  <c r="C30" i="3"/>
  <c r="E27" i="2"/>
  <c r="E28" i="2"/>
  <c r="E29" i="2"/>
  <c r="E30" i="2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<sst xmlns="http://schemas.openxmlformats.org/spreadsheetml/2006/main" count="534" uniqueCount="125">
  <si>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</si>
  <si>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</si>
  <si>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</si>
  <si>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</si>
  <si>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</si>
  <si>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</si>
  <si>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</si>
  <si>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</si>
  <si>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</si>
  <si>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</si>
  <si>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</si>
  <si>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</si>
  <si>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</si>
  <si>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</si>
  <si>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</si>
  <si>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</si>
  <si>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</si>
  <si>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</si>
  <si>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</si>
  <si>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</si>
  <si>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</si>
  <si>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</si>
  <si>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</si>
  <si>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</si>
  <si>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</si>
  <si>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</si>
  <si>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</si>
  <si>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</si>
  <si>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</si>
  <si>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</si>
  <si>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</si>
  <si>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</si>
  <si>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</si>
  <si>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</si>
  <si>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</si>
  <si>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</si>
  <si>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</si>
  <si>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</si>
  <si>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</si>
  <si>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</si>
  <si>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</si>
  <si>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</si>
  <si>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</si>
  <si>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</si>
  <si>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</si>
  <si>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</si>
  <si>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</si>
  <si>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</si>
  <si>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</si>
  <si>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</si>
  <si>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</si>
  <si>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</si>
  <si>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</si>
  <si>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</si>
  <si>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</si>
  <si>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</si>
  <si>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</si>
  <si>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</si>
  <si>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</si>
  <si>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</si>
  <si>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</si>
  <si>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</si>
  <si>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</si>
  <si>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</si>
  <si>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</si>
  <si>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</si>
  <si>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</si>
  <si>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</si>
  <si>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</si>
  <si>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</si>
  <si>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</si>
  <si>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</si>
  <si>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</si>
  <si>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</si>
  <si>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</si>
  <si>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</si>
  <si>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</si>
  <si>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</si>
  <si>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</si>
  <si>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</si>
  <si>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</si>
  <si>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</si>
  <si>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</si>
  <si>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</si>
  <si>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</si>
  <si>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</si>
  <si>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</si>
  <si>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</si>
  <si>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</si>
  <si>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</si>
  <si>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</si>
  <si>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</si>
  <si>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</si>
  <si>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</si>
  <si>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</si>
  <si>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</si>
  <si>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r>
      <t xml:space="preserve">PROJETO DE DECRETO LEGISLATIVO Nº 59/2023 – PAULO JÚNIOR – </t>
    </r>
    <r>
      <rPr>
        <sz val="11"/>
        <color theme="1"/>
        <rFont val="Arial"/>
        <family val="2"/>
      </rPr>
      <t>Dispõe sobre a concessão de Cartão de Prata ao senhor Altair do Carmo Mateus Nunes, pastor-sênior da Primeira Igreja Presbiteriana Renovada de Osasco.</t>
    </r>
  </si>
  <si>
    <t>APROVADO</t>
  </si>
  <si>
    <t>sim</t>
  </si>
  <si>
    <t xml:space="preserve"> 1ª chamada abertura da sessão </t>
  </si>
  <si>
    <r>
      <t xml:space="preserve">MOÇÃO DE APLAUSO Nº 38/2025 – JOSIAS DA JUCO – </t>
    </r>
    <r>
      <rPr>
        <sz val="11"/>
        <color theme="1"/>
        <rFont val="Arial"/>
        <family val="2"/>
      </rPr>
      <t>Para a Secretaria de Educação, na pessoa do Secretário Cláudio Piteri e a todos os profissionais da educação do município, pela conquista do Selo Ouro do Ministério da Educação (MEC), reconhecimento máximo da premiação "Selo Nacional Compromisso com a Alfabetização".</t>
    </r>
  </si>
  <si>
    <r>
      <t xml:space="preserve">MOÇÃO DE APLAUSO Nº 43/2025 – ELSA OLIVEIRA – </t>
    </r>
    <r>
      <rPr>
        <sz val="11"/>
        <color theme="1"/>
        <rFont val="Arial"/>
        <family val="2"/>
      </rPr>
      <t>Para o Instituto Casa Neri, uma organização sem fins lucrativos sediada em Osasco, que tem se destacado pelo compromisso exemplar com a saúde e o bem-estar da comunidade.</t>
    </r>
  </si>
  <si>
    <t>na presidência</t>
  </si>
  <si>
    <t>6ª SESSÃO ORDINÁRIA</t>
  </si>
  <si>
    <t>DIA 25 DE FEVEREIRO DE 2025 - TERÇA-FEIRA</t>
  </si>
  <si>
    <t>DIA 25 DE FEVEREIRO DE 2025 - TERÇA–FEIRA</t>
  </si>
  <si>
    <t xml:space="preserve">Justificativa de ausência do Vereador Ralfi Rafael da Silva </t>
  </si>
  <si>
    <t>Justificativa de ausência da Vereadora Elsa Natal de Oliveira</t>
  </si>
  <si>
    <r>
      <t xml:space="preserve">Decretos 14.552, 14.553, 14.554, 14.555 e 14.556 de fevereiro de 2025 – Prefeito do Município de Osasco – </t>
    </r>
    <r>
      <rPr>
        <sz val="12"/>
        <color rgb="FF000000"/>
        <rFont val="Calibri"/>
        <family val="2"/>
      </rPr>
      <t>Dispõe sobre a abertura de crédito adicional suplementar ao orçamento vigente e dá outras providências.</t>
    </r>
  </si>
  <si>
    <r>
      <t>Ato da Presidência 5/2025 – Presidente da Câmara de Vereadores do Município de Osasco –</t>
    </r>
    <r>
      <rPr>
        <sz val="12"/>
        <color rgb="FF000000"/>
        <rFont val="Calibri"/>
        <family val="2"/>
      </rPr>
      <t xml:space="preserve"> Dispõe sobre a nomeação dos membros das comissões permanentes para o biênio de 2025/2026, seus presidentes e relatores. </t>
    </r>
  </si>
  <si>
    <r>
      <t>Comunicado recebido de Pedro Sotero de Albuquerque – Presidente do Diretório Municipal do União Brasil -</t>
    </r>
    <r>
      <rPr>
        <sz val="12"/>
        <color rgb="FF000000"/>
        <rFont val="Calibri"/>
        <family val="2"/>
      </rPr>
      <t xml:space="preserve"> Informa que o vereador Pedrinho Cantagessi será o líder da bancada do União Brasil na Câmara. </t>
    </r>
  </si>
  <si>
    <r>
      <t xml:space="preserve">MOÇÃO DE APLAUSO Nº 25/2025 – JOSIAS DA JUCO – </t>
    </r>
    <r>
      <rPr>
        <sz val="11"/>
        <color theme="1"/>
        <rFont val="Arial"/>
        <family val="2"/>
      </rPr>
      <t>Para os novos Policiais Militares do 14.º Batalhão de Polícia Militar Metropolitano (14.º BPM/M), por reconhecimento e valorização pelo ingresso nesta honrosa instituição e pelo compromisso assumido com a segurança e o bem-estar da sociedade.</t>
    </r>
  </si>
  <si>
    <t>pela ausência da autora, será pautada na próxima sessão</t>
  </si>
  <si>
    <r>
      <t>MOÇÃO DE APLAUSO Nº 45/2025 – LAÉRCIO MENDONÇA –</t>
    </r>
    <r>
      <rPr>
        <sz val="11"/>
        <color theme="1"/>
        <rFont val="Arial"/>
        <family val="2"/>
      </rPr>
      <t xml:space="preserve"> Para os Guardas Municipais Thayná Débora da Silva Nunes e Gabriel Gomes Belarmino Santos pelo excelente trabalho realizado no salvamento de um bebê.</t>
    </r>
  </si>
  <si>
    <r>
      <t xml:space="preserve">MOÇÃO DE APLAUSO Nº 46/2025 – SÉRGIO FONTELLAS – </t>
    </r>
    <r>
      <rPr>
        <sz val="11"/>
        <color theme="1"/>
        <rFont val="Arial"/>
        <family val="2"/>
      </rPr>
      <t>Para a Deputada Maria Rosas, do Republicanos, por destinar o valor de R$ 1 milhão de reais, para a Área da Saúde e trará a Carreta da Visão para a Cidade de Osasco, através de recursos oriundos de emenda parlamentar.</t>
    </r>
  </si>
  <si>
    <r>
      <t xml:space="preserve">MOÇÃO DE APLAUSO Nº 47/2025 – SÉRGIO FONTELLAS – </t>
    </r>
    <r>
      <rPr>
        <sz val="11"/>
        <color theme="1"/>
        <rFont val="Arial"/>
        <family val="2"/>
      </rPr>
      <t>Ao Centro de Apoio aos Municípios (CAM), pelo Encontro de Novos Prefeitos e Prefeitas 2025, que reuniu em Brasília, gestores de todo o país para debater soluções e desafios da administração municipal.</t>
    </r>
  </si>
  <si>
    <r>
      <t xml:space="preserve">MOÇÃO DE APELO Nº 48/2025 – PEDRO CANTAGESSI – </t>
    </r>
    <r>
      <rPr>
        <sz val="11"/>
        <color theme="1"/>
        <rFont val="Arial"/>
        <family val="2"/>
      </rPr>
      <t>Ao Prefeito Gerson Pessoa e a Secretaria da Saúde, para que sejam feitas Reforma e Melhorias na UBS Darcy Alves Evangelista Robalinho e no PS Vila Ayrosa.</t>
    </r>
  </si>
  <si>
    <r>
      <t xml:space="preserve">MOÇÃO DE REPÚDIO Nº 49/2025 – ALEXANDRE CAPRIOTTI – </t>
    </r>
    <r>
      <rPr>
        <sz val="11"/>
        <color theme="1"/>
        <rFont val="Arial"/>
        <family val="2"/>
      </rPr>
      <t>Ao sr. Victor Nascimento, vereador de Itajaí, por declarar que “todos os animais da face da terra não valem uma alma humana”.</t>
    </r>
  </si>
  <si>
    <r>
      <t xml:space="preserve">MOÇÃO EM MEMÓRIA Nº 50/2025 – PEDRO CANTAGESSI – </t>
    </r>
    <r>
      <rPr>
        <sz val="11"/>
        <color theme="1"/>
        <rFont val="Arial"/>
        <family val="2"/>
      </rPr>
      <t>Pela passagem de um ano do falecimento de William Gomes de Sousa.</t>
    </r>
  </si>
  <si>
    <r>
      <t xml:space="preserve">MOÇÃO DE CONGRATULAÇÕES Nº 51/2025 – DELBIO TERUEL – </t>
    </r>
    <r>
      <rPr>
        <sz val="11"/>
        <color theme="1"/>
        <rFont val="Arial"/>
        <family val="2"/>
      </rPr>
      <t>Ao 14° BPM/M, sob o comando e liderança do Ten. Cel. PM Keida e Major PM Eduardo Mosna Xavier, autor do estudo que resultou em uma redução média de 20% em todos os crimes contra o patrimônio, e as Forças de Segurança de Osasco.</t>
    </r>
  </si>
  <si>
    <r>
      <t xml:space="preserve">PROJETO DE LEI Nº 62/2024 – CARMÔNIO BASTOS – </t>
    </r>
    <r>
      <rPr>
        <sz val="14"/>
        <color theme="1"/>
        <rFont val="Arial"/>
        <family val="2"/>
      </rPr>
      <t>Altera a Lei nº 3.981, de 27 de dezembro de 2005, que dispõe sobre a instituição do Programa Operação Trabalho do Município de Osasco e dá outras providências.</t>
    </r>
  </si>
  <si>
    <r>
      <t>PROJETO DE RESOLUÇÃO Nº 2/2025 – MESA DIRETORA DA CÂMARA MUNICIPAL DE OSASCO –</t>
    </r>
    <r>
      <rPr>
        <sz val="11"/>
        <color theme="1"/>
        <rFont val="Arial"/>
        <family val="2"/>
      </rPr>
      <t xml:space="preserve"> Dispõe sobre a reestruturação de cargos de servidores efetivos, cria diretorias, reorganiza a estrutura da Escola do Parlamento, e dá outras providências.</t>
    </r>
  </si>
  <si>
    <r>
      <t xml:space="preserve">PROJETO DE DECRETO LEGISLATIVO Nº 2/2025 – MESA DIRETORA DA CÂMARA MUNICIPAL DE OSASCO – </t>
    </r>
    <r>
      <rPr>
        <sz val="11"/>
        <color theme="1"/>
        <rFont val="Arial"/>
        <family val="2"/>
      </rPr>
      <t>Dispõe sobre a concessão de Prêmio Ana Paula Rossi – Mulher de destaque 2025.</t>
    </r>
  </si>
  <si>
    <r>
      <t>2.	PROJETO DE DECRETO LEGISLATIVO Nº 47/2024 – JOSIAS DA JUCO –</t>
    </r>
    <r>
      <rPr>
        <sz val="11"/>
        <color theme="1"/>
        <rFont val="Arial"/>
        <family val="2"/>
      </rPr>
      <t xml:space="preserve"> Dispõe sobre a concessão do Diploma João Cândido - Almirante Negro à Dulcinéia Gonçalves.</t>
    </r>
  </si>
  <si>
    <r>
      <t xml:space="preserve">PROJETO DE DECRETO LEGISLATIVO Nº 46/2023 – PAULO JÚNIOR – </t>
    </r>
    <r>
      <rPr>
        <sz val="11"/>
        <color theme="1"/>
        <rFont val="Arial"/>
        <family val="2"/>
      </rPr>
      <t>Dispõe sobre a concessão de Placa Comemorativa à Igreja Evangélica Povo Livre.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</si>
</sst>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4" fillId="0" borderId="1" xfId="0" applyFont="1" applyBorder="1" applyAlignment="1">
      <alignment horizontal="justify" vertic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" fillId="0" borderId="21" xfId="0" applyFont="1" applyBorder="1" applyAlignment="1">
      <alignment horizontal="justify" vertical="top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justify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C44" sqref="C44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103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104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99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7"/>
      <c r="M5" s="128"/>
      <c r="N5" s="63"/>
      <c r="O5" s="62"/>
      <c r="P5" s="63"/>
      <c r="Q5" s="63"/>
      <c r="R5" s="62"/>
      <c r="S5" s="117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2</v>
      </c>
      <c r="C6" s="103" t="s">
        <v>59</v>
      </c>
      <c r="D6" s="63"/>
      <c r="E6" s="103"/>
      <c r="F6" s="89">
        <v>2</v>
      </c>
      <c r="G6" s="103" t="s">
        <v>59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2</v>
      </c>
      <c r="C9" s="103" t="s">
        <v>59</v>
      </c>
      <c r="D9" s="63"/>
      <c r="E9" s="62"/>
      <c r="F9" s="89">
        <v>2</v>
      </c>
      <c r="G9" s="103" t="s">
        <v>59</v>
      </c>
      <c r="H9" s="63"/>
      <c r="I9" s="62"/>
      <c r="J9" s="63">
        <v>2</v>
      </c>
      <c r="K9" s="103" t="s">
        <v>59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2</v>
      </c>
      <c r="K10" s="103" t="s">
        <v>59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2</v>
      </c>
      <c r="C11" s="103" t="s">
        <v>59</v>
      </c>
      <c r="D11" s="63"/>
      <c r="E11" s="62"/>
      <c r="F11" s="89">
        <v>2</v>
      </c>
      <c r="G11" s="103" t="s">
        <v>59</v>
      </c>
      <c r="H11" s="63"/>
      <c r="I11" s="62"/>
      <c r="J11" s="63">
        <v>2</v>
      </c>
      <c r="K11" s="103" t="s">
        <v>59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1</v>
      </c>
      <c r="C14" s="62" t="s">
        <v>58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2</v>
      </c>
      <c r="C15" s="103" t="s">
        <v>59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1</v>
      </c>
      <c r="C16" s="62" t="s">
        <v>58</v>
      </c>
      <c r="D16" s="63"/>
      <c r="E16" s="62"/>
      <c r="F16" s="89">
        <v>1</v>
      </c>
      <c r="G16" s="62" t="s">
        <v>58</v>
      </c>
      <c r="H16" s="63"/>
      <c r="I16" s="62"/>
      <c r="J16" s="63">
        <v>1</v>
      </c>
      <c r="K16" s="62" t="s">
        <v>58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1</v>
      </c>
      <c r="C17" s="62" t="s">
        <v>58</v>
      </c>
      <c r="D17" s="63"/>
      <c r="E17" s="62"/>
      <c r="F17" s="89">
        <v>1</v>
      </c>
      <c r="G17" s="62" t="s">
        <v>58</v>
      </c>
      <c r="H17" s="63"/>
      <c r="I17" s="68"/>
      <c r="J17" s="63">
        <v>1</v>
      </c>
      <c r="K17" s="62" t="s">
        <v>58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1</v>
      </c>
      <c r="C18" s="62" t="s">
        <v>58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103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1</v>
      </c>
      <c r="G23" s="62" t="s">
        <v>58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1</v>
      </c>
      <c r="G24" s="62" t="s">
        <v>58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62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10</v>
      </c>
      <c r="C26" s="97" t="s">
        <v>51</v>
      </c>
      <c r="D26" s="99"/>
      <c r="E26" s="97"/>
      <c r="F26" s="99">
        <v>15</v>
      </c>
      <c r="G26" s="97" t="s">
        <v>51</v>
      </c>
      <c r="H26" s="101"/>
      <c r="I26" s="102"/>
      <c r="J26" s="99">
        <v>16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52</v>
      </c>
      <c r="D27" s="99"/>
      <c r="E27" s="97"/>
      <c r="F27" s="99">
        <v>6</v>
      </c>
      <c r="G27" s="97" t="s">
        <v>52</v>
      </c>
      <c r="H27" s="101"/>
      <c r="I27" s="97"/>
      <c r="J27" s="99">
        <v>5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64</v>
      </c>
      <c r="V32" s="12"/>
      <c r="W32" s="12"/>
    </row>
    <row r="33" spans="1:23" ht="18">
      <c r="A33" s="34" t="s">
        <v>68</v>
      </c>
      <c r="V33" s="12"/>
      <c r="W33" s="12"/>
    </row>
    <row r="34" spans="1:23" ht="18">
      <c r="A34" s="34" t="s">
        <v>62</v>
      </c>
      <c r="V34" s="12"/>
      <c r="W34" s="12"/>
    </row>
    <row r="35" spans="1:23" ht="18">
      <c r="A35" s="34" t="s">
        <v>55</v>
      </c>
      <c r="V35" s="12"/>
      <c r="W35" s="12"/>
    </row>
    <row r="36" spans="1:23" ht="18">
      <c r="A36" s="34" t="s">
        <v>57</v>
      </c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29</v>
      </c>
      <c r="V41" s="12"/>
      <c r="W41" s="12"/>
    </row>
    <row r="42" spans="1:23" ht="18">
      <c r="A42" s="34" t="s">
        <v>53</v>
      </c>
      <c r="V42" s="12"/>
      <c r="W42" s="12"/>
    </row>
    <row r="43" spans="1:23" ht="18">
      <c r="A43" s="34" t="s">
        <v>38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23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T39"/>
  <sheetViews>
    <sheetView workbookViewId="0">
      <pane xSplit="1" topLeftCell="B1" activePane="topRight" state="frozen"/>
      <selection pane="topRight" activeCell="Q13" sqref="Q13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20" width="22.7109375" style="22" customWidth="1"/>
    <col min="21" max="16384" width="9.140625" style="22"/>
  </cols>
  <sheetData>
    <row r="1" spans="1:20" ht="15">
      <c r="A1" s="77" t="s">
        <v>8</v>
      </c>
      <c r="B1" s="21"/>
      <c r="C1" s="21"/>
      <c r="D1" s="21"/>
      <c r="E1" s="21"/>
      <c r="F1" s="21"/>
      <c r="G1" s="21"/>
      <c r="H1" s="21"/>
      <c r="I1" s="21"/>
    </row>
    <row r="2" spans="1:20" ht="15">
      <c r="A2" s="77" t="s">
        <v>103</v>
      </c>
      <c r="B2" s="21"/>
      <c r="C2" s="21"/>
      <c r="D2" s="21"/>
      <c r="E2" s="21"/>
      <c r="F2" s="21"/>
      <c r="G2" s="21"/>
      <c r="H2" s="21"/>
      <c r="I2" s="21"/>
    </row>
    <row r="3" spans="1:20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</row>
    <row r="4" spans="1:20" ht="63" customHeight="1">
      <c r="A4" s="51" t="str">
        <f>'[1]MOÇÃO E REQUERIMENTO'!B7</f>
        <v>EXPEDIENTE</v>
      </c>
      <c r="B4" s="50" t="s">
        <v>50</v>
      </c>
      <c r="C4" s="119" t="s">
        <v>106</v>
      </c>
      <c r="D4" s="119" t="s">
        <v>107</v>
      </c>
      <c r="E4" s="119" t="s">
        <v>108</v>
      </c>
      <c r="F4" s="119" t="s">
        <v>109</v>
      </c>
      <c r="G4" s="119" t="s">
        <v>110</v>
      </c>
      <c r="H4" s="113" t="s">
        <v>35</v>
      </c>
      <c r="I4" s="126"/>
      <c r="J4" s="50" t="s">
        <v>28</v>
      </c>
      <c r="K4" s="85" t="s">
        <v>111</v>
      </c>
      <c r="L4" s="85" t="s">
        <v>100</v>
      </c>
      <c r="M4" s="85" t="s">
        <v>101</v>
      </c>
      <c r="N4" s="85" t="s">
        <v>113</v>
      </c>
      <c r="O4" s="69" t="s">
        <v>114</v>
      </c>
      <c r="P4" s="69" t="s">
        <v>115</v>
      </c>
      <c r="Q4" s="69" t="s">
        <v>116</v>
      </c>
      <c r="R4" s="69" t="s">
        <v>117</v>
      </c>
      <c r="S4" s="69" t="s">
        <v>118</v>
      </c>
      <c r="T4" s="69" t="s">
        <v>119</v>
      </c>
    </row>
    <row r="5" spans="1:20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55"/>
      <c r="I5" s="114"/>
      <c r="K5" s="120" t="s">
        <v>94</v>
      </c>
      <c r="L5" s="114" t="s">
        <v>95</v>
      </c>
      <c r="M5" s="120" t="s">
        <v>112</v>
      </c>
      <c r="N5" s="114" t="s">
        <v>95</v>
      </c>
      <c r="O5" s="114" t="s">
        <v>95</v>
      </c>
      <c r="P5" s="114" t="s">
        <v>95</v>
      </c>
      <c r="Q5" s="120" t="s">
        <v>94</v>
      </c>
      <c r="R5" s="114" t="s">
        <v>95</v>
      </c>
      <c r="S5" s="114" t="s">
        <v>95</v>
      </c>
      <c r="T5" s="114" t="s">
        <v>95</v>
      </c>
    </row>
    <row r="6" spans="1:20" ht="15.75">
      <c r="A6" s="129" t="s">
        <v>57</v>
      </c>
      <c r="J6" s="23"/>
    </row>
    <row r="7" spans="1:20" ht="15.75">
      <c r="A7" s="129" t="s">
        <v>53</v>
      </c>
      <c r="J7" s="23"/>
    </row>
    <row r="8" spans="1:20" ht="15.75">
      <c r="A8" s="129" t="s">
        <v>60</v>
      </c>
      <c r="J8" s="23"/>
    </row>
    <row r="9" spans="1:20" ht="15.75">
      <c r="A9" s="130" t="s">
        <v>61</v>
      </c>
      <c r="J9" s="23"/>
    </row>
    <row r="10" spans="1:20" ht="15.75">
      <c r="A10" s="129" t="s">
        <v>29</v>
      </c>
      <c r="J10" s="23"/>
    </row>
    <row r="11" spans="1:20" ht="15.75">
      <c r="A11" s="129" t="s">
        <v>62</v>
      </c>
      <c r="J11" s="23"/>
    </row>
    <row r="12" spans="1:20" ht="15.75">
      <c r="A12" s="129" t="s">
        <v>22</v>
      </c>
      <c r="J12" s="23"/>
    </row>
    <row r="13" spans="1:20" ht="15.75">
      <c r="A13" s="129" t="s">
        <v>23</v>
      </c>
      <c r="J13" s="23"/>
    </row>
    <row r="14" spans="1:20" ht="15.75">
      <c r="A14" s="129" t="s">
        <v>24</v>
      </c>
      <c r="J14" s="23"/>
    </row>
    <row r="15" spans="1:20" ht="15.75">
      <c r="A15" s="129" t="s">
        <v>63</v>
      </c>
      <c r="J15" s="23"/>
    </row>
    <row r="16" spans="1:20" ht="15.75">
      <c r="A16" s="129" t="s">
        <v>64</v>
      </c>
      <c r="J16" s="23"/>
    </row>
    <row r="17" spans="1:10" ht="15.75">
      <c r="A17" s="129" t="s">
        <v>65</v>
      </c>
      <c r="J17" s="23"/>
    </row>
    <row r="18" spans="1:10" ht="15.75">
      <c r="A18" s="129" t="s">
        <v>25</v>
      </c>
      <c r="J18" s="23"/>
    </row>
    <row r="19" spans="1:10" ht="15.75">
      <c r="A19" s="129" t="s">
        <v>66</v>
      </c>
      <c r="J19" s="23"/>
    </row>
    <row r="20" spans="1:10" ht="15.75">
      <c r="A20" s="129" t="s">
        <v>38</v>
      </c>
      <c r="J20" s="23"/>
    </row>
    <row r="21" spans="1:10" ht="15.75">
      <c r="A21" s="129" t="s">
        <v>26</v>
      </c>
      <c r="J21" s="23"/>
    </row>
    <row r="22" spans="1:10" ht="15.75">
      <c r="A22" s="129" t="s">
        <v>67</v>
      </c>
      <c r="J22" s="23"/>
    </row>
    <row r="23" spans="1:10" ht="15.75">
      <c r="A23" s="129" t="s">
        <v>27</v>
      </c>
      <c r="J23" s="23"/>
    </row>
    <row r="24" spans="1:10" ht="15.75">
      <c r="A24" s="129" t="s">
        <v>55</v>
      </c>
      <c r="J24" s="23"/>
    </row>
    <row r="25" spans="1:10" ht="15.75">
      <c r="A25" s="129" t="s">
        <v>68</v>
      </c>
      <c r="J25" s="23"/>
    </row>
    <row r="26" spans="1:10" ht="15.75">
      <c r="A26" s="129" t="s">
        <v>69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9" sqref="G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103</v>
      </c>
      <c r="B2" s="49"/>
      <c r="C2" s="75"/>
    </row>
    <row r="3" spans="1:45" ht="17.25" customHeight="1">
      <c r="A3" s="77" t="s">
        <v>105</v>
      </c>
      <c r="B3" s="49"/>
      <c r="C3" s="75"/>
      <c r="E3" s="118"/>
    </row>
    <row r="4" spans="1:45" ht="90.75" customHeight="1" thickBot="1">
      <c r="A4" s="52" t="s">
        <v>5</v>
      </c>
      <c r="B4" s="109" t="s">
        <v>32</v>
      </c>
      <c r="C4" s="116"/>
      <c r="D4" s="110" t="s">
        <v>6</v>
      </c>
      <c r="E4" s="147" t="s">
        <v>120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 t="s">
        <v>97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08"/>
      <c r="E6" s="108" t="s">
        <v>98</v>
      </c>
    </row>
    <row r="7" spans="1:45" ht="20.25">
      <c r="A7" s="46" t="s">
        <v>53</v>
      </c>
      <c r="C7" s="108"/>
      <c r="E7" s="108" t="s">
        <v>98</v>
      </c>
    </row>
    <row r="8" spans="1:45" ht="20.25">
      <c r="A8" s="46" t="s">
        <v>60</v>
      </c>
      <c r="C8" s="115"/>
      <c r="E8" s="108" t="s">
        <v>98</v>
      </c>
    </row>
    <row r="9" spans="1:45" ht="20.25">
      <c r="A9" s="83" t="s">
        <v>61</v>
      </c>
      <c r="C9" s="108"/>
      <c r="E9" s="115" t="s">
        <v>102</v>
      </c>
    </row>
    <row r="10" spans="1:45" ht="20.25">
      <c r="A10" s="46" t="s">
        <v>29</v>
      </c>
      <c r="C10" s="108"/>
      <c r="E10" s="115" t="s">
        <v>59</v>
      </c>
    </row>
    <row r="11" spans="1:45" ht="20.25">
      <c r="A11" s="46" t="s">
        <v>62</v>
      </c>
      <c r="C11" s="108"/>
      <c r="E11" s="115" t="s">
        <v>59</v>
      </c>
    </row>
    <row r="12" spans="1:45" ht="20.25">
      <c r="A12" s="46" t="s">
        <v>22</v>
      </c>
      <c r="C12" s="108"/>
      <c r="E12" s="115" t="s">
        <v>59</v>
      </c>
    </row>
    <row r="13" spans="1:45" ht="20.25">
      <c r="A13" s="46" t="s">
        <v>23</v>
      </c>
      <c r="C13" s="115"/>
      <c r="E13" s="108" t="s">
        <v>98</v>
      </c>
    </row>
    <row r="14" spans="1:45" ht="20.25">
      <c r="A14" s="46" t="s">
        <v>24</v>
      </c>
      <c r="C14" s="115"/>
      <c r="E14" s="108" t="s">
        <v>98</v>
      </c>
    </row>
    <row r="15" spans="1:45" ht="20.25">
      <c r="A15" s="46" t="s">
        <v>63</v>
      </c>
      <c r="C15" s="115"/>
      <c r="E15" s="108" t="s">
        <v>98</v>
      </c>
    </row>
    <row r="16" spans="1:45" ht="20.25">
      <c r="A16" s="46" t="s">
        <v>64</v>
      </c>
      <c r="C16" s="108"/>
      <c r="E16" s="108" t="s">
        <v>98</v>
      </c>
    </row>
    <row r="17" spans="1:130" ht="20.25">
      <c r="A17" s="46" t="s">
        <v>65</v>
      </c>
      <c r="C17" s="115"/>
      <c r="E17" s="108" t="s">
        <v>98</v>
      </c>
    </row>
    <row r="18" spans="1:130" ht="20.25">
      <c r="A18" s="46" t="s">
        <v>25</v>
      </c>
      <c r="C18" s="108"/>
      <c r="E18" s="108" t="s">
        <v>98</v>
      </c>
    </row>
    <row r="19" spans="1:130" ht="20.25">
      <c r="A19" s="46" t="s">
        <v>66</v>
      </c>
      <c r="C19" s="108"/>
      <c r="E19" s="108" t="s">
        <v>98</v>
      </c>
    </row>
    <row r="20" spans="1:130" ht="20.25">
      <c r="A20" s="46" t="s">
        <v>38</v>
      </c>
      <c r="C20" s="108"/>
      <c r="E20" s="108" t="s">
        <v>98</v>
      </c>
    </row>
    <row r="21" spans="1:130" ht="20.25">
      <c r="A21" s="46" t="s">
        <v>26</v>
      </c>
      <c r="C21" s="108"/>
      <c r="E21" s="108" t="s">
        <v>98</v>
      </c>
    </row>
    <row r="22" spans="1:130" ht="20.25">
      <c r="A22" s="46" t="s">
        <v>67</v>
      </c>
      <c r="C22" s="108"/>
      <c r="E22" s="108" t="s">
        <v>98</v>
      </c>
    </row>
    <row r="23" spans="1:130" ht="20.25">
      <c r="A23" s="46" t="s">
        <v>27</v>
      </c>
      <c r="C23" s="108"/>
      <c r="E23" s="115" t="s">
        <v>59</v>
      </c>
    </row>
    <row r="24" spans="1:130" ht="20.25">
      <c r="A24" s="46" t="s">
        <v>55</v>
      </c>
      <c r="C24" s="108"/>
      <c r="E24" s="108" t="s">
        <v>98</v>
      </c>
    </row>
    <row r="25" spans="1:130" ht="20.25">
      <c r="A25" s="46" t="s">
        <v>68</v>
      </c>
      <c r="C25" s="108"/>
      <c r="E25" s="108" t="s">
        <v>98</v>
      </c>
    </row>
    <row r="26" spans="1:130" ht="20.25">
      <c r="A26" s="46" t="s">
        <v>69</v>
      </c>
      <c r="C26" s="115"/>
      <c r="E26" s="108" t="s">
        <v>98</v>
      </c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16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4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F21" sqref="F21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2" t="s">
        <v>5</v>
      </c>
      <c r="B4" s="121" t="s">
        <v>7</v>
      </c>
      <c r="C4" s="107" t="s">
        <v>121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1" t="s">
        <v>57</v>
      </c>
      <c r="C6" s="108" t="s">
        <v>98</v>
      </c>
      <c r="U6" s="7"/>
      <c r="V6" s="7"/>
    </row>
    <row r="7" spans="1:29" ht="18">
      <c r="A7" s="131" t="s">
        <v>53</v>
      </c>
      <c r="C7" s="108" t="s">
        <v>98</v>
      </c>
      <c r="U7" s="7"/>
      <c r="V7" s="7"/>
    </row>
    <row r="8" spans="1:29" ht="18">
      <c r="A8" s="131" t="s">
        <v>60</v>
      </c>
      <c r="C8" s="108" t="s">
        <v>98</v>
      </c>
      <c r="U8" s="7"/>
      <c r="V8" s="7"/>
    </row>
    <row r="9" spans="1:29" ht="18">
      <c r="A9" s="132" t="s">
        <v>61</v>
      </c>
      <c r="C9" s="115" t="s">
        <v>102</v>
      </c>
      <c r="U9" s="7"/>
      <c r="V9" s="7"/>
    </row>
    <row r="10" spans="1:29" ht="18">
      <c r="A10" s="131" t="s">
        <v>29</v>
      </c>
      <c r="C10" s="115" t="s">
        <v>59</v>
      </c>
      <c r="U10" s="7"/>
      <c r="V10" s="7"/>
    </row>
    <row r="11" spans="1:29" ht="18">
      <c r="A11" s="131" t="s">
        <v>62</v>
      </c>
      <c r="C11" s="115" t="s">
        <v>59</v>
      </c>
      <c r="U11" s="7"/>
      <c r="V11" s="7"/>
    </row>
    <row r="12" spans="1:29" ht="18">
      <c r="A12" s="131" t="s">
        <v>22</v>
      </c>
      <c r="C12" s="115" t="s">
        <v>59</v>
      </c>
      <c r="U12" s="7"/>
      <c r="V12" s="7"/>
    </row>
    <row r="13" spans="1:29" ht="18">
      <c r="A13" s="131" t="s">
        <v>23</v>
      </c>
      <c r="C13" s="108" t="s">
        <v>98</v>
      </c>
      <c r="U13" s="7"/>
      <c r="V13" s="7"/>
    </row>
    <row r="14" spans="1:29" ht="18">
      <c r="A14" s="131" t="s">
        <v>24</v>
      </c>
      <c r="C14" s="108" t="s">
        <v>98</v>
      </c>
      <c r="U14" s="7"/>
      <c r="V14" s="7"/>
    </row>
    <row r="15" spans="1:29" ht="18">
      <c r="A15" s="131" t="s">
        <v>63</v>
      </c>
      <c r="C15" s="108" t="s">
        <v>98</v>
      </c>
      <c r="U15" s="7"/>
      <c r="V15" s="7"/>
    </row>
    <row r="16" spans="1:29" ht="18">
      <c r="A16" s="131" t="s">
        <v>64</v>
      </c>
      <c r="C16" s="108" t="s">
        <v>98</v>
      </c>
      <c r="U16" s="7"/>
      <c r="V16" s="7"/>
    </row>
    <row r="17" spans="1:123" ht="15" customHeight="1">
      <c r="A17" s="131" t="s">
        <v>65</v>
      </c>
      <c r="C17" s="108" t="s">
        <v>98</v>
      </c>
      <c r="T17" s="8"/>
      <c r="U17" s="7"/>
      <c r="V17" s="7"/>
    </row>
    <row r="18" spans="1:123" ht="18">
      <c r="A18" s="131" t="s">
        <v>25</v>
      </c>
      <c r="C18" s="108" t="s">
        <v>98</v>
      </c>
      <c r="U18" s="7"/>
      <c r="V18" s="7"/>
    </row>
    <row r="19" spans="1:123" ht="18">
      <c r="A19" s="131" t="s">
        <v>66</v>
      </c>
      <c r="C19" s="108" t="s">
        <v>98</v>
      </c>
      <c r="U19" s="7"/>
      <c r="V19" s="7"/>
    </row>
    <row r="20" spans="1:123" ht="18">
      <c r="A20" s="131" t="s">
        <v>38</v>
      </c>
      <c r="C20" s="108" t="s">
        <v>98</v>
      </c>
      <c r="U20" s="7"/>
      <c r="V20" s="7"/>
    </row>
    <row r="21" spans="1:123" ht="18">
      <c r="A21" s="131" t="s">
        <v>26</v>
      </c>
      <c r="C21" s="108" t="s">
        <v>98</v>
      </c>
      <c r="U21" s="7"/>
      <c r="V21" s="7"/>
    </row>
    <row r="22" spans="1:123" ht="18">
      <c r="A22" s="131" t="s">
        <v>67</v>
      </c>
      <c r="C22" s="108" t="s">
        <v>98</v>
      </c>
      <c r="U22" s="7"/>
      <c r="V22" s="7"/>
    </row>
    <row r="23" spans="1:123" ht="18">
      <c r="A23" s="131" t="s">
        <v>27</v>
      </c>
      <c r="C23" s="115" t="s">
        <v>59</v>
      </c>
      <c r="U23" s="7"/>
      <c r="V23" s="7"/>
    </row>
    <row r="24" spans="1:123" ht="18">
      <c r="A24" s="131" t="s">
        <v>55</v>
      </c>
      <c r="C24" s="108" t="s">
        <v>98</v>
      </c>
      <c r="U24" s="7"/>
      <c r="V24" s="7"/>
    </row>
    <row r="25" spans="1:123" ht="18">
      <c r="A25" s="131" t="s">
        <v>68</v>
      </c>
      <c r="C25" s="108" t="s">
        <v>98</v>
      </c>
      <c r="U25" s="7"/>
      <c r="V25" s="7"/>
    </row>
    <row r="26" spans="1:123" ht="18">
      <c r="A26" s="131" t="s">
        <v>69</v>
      </c>
      <c r="C26" s="108" t="s">
        <v>98</v>
      </c>
      <c r="U26" s="7"/>
      <c r="V26" s="7"/>
    </row>
    <row r="27" spans="1:123" s="16" customFormat="1" ht="15.75">
      <c r="A27" s="15" t="s">
        <v>18</v>
      </c>
      <c r="B27" s="16">
        <f t="shared" ref="B27:C27" si="0">COUNTIF(B6:B26,"sim")</f>
        <v>0</v>
      </c>
      <c r="C27" s="104">
        <f t="shared" si="0"/>
        <v>16</v>
      </c>
      <c r="J27" s="16">
        <f t="shared" ref="J27:AO27" si="1">COUNTIF(J6:J26,"sim")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  <c r="Z27" s="16">
        <f t="shared" si="1"/>
        <v>0</v>
      </c>
      <c r="AA27" s="16">
        <f t="shared" si="1"/>
        <v>0</v>
      </c>
      <c r="AB27" s="16">
        <f t="shared" si="1"/>
        <v>0</v>
      </c>
      <c r="AC27" s="16">
        <f t="shared" si="1"/>
        <v>0</v>
      </c>
      <c r="AD27" s="16">
        <f t="shared" si="1"/>
        <v>0</v>
      </c>
      <c r="AE27" s="16">
        <f t="shared" si="1"/>
        <v>0</v>
      </c>
      <c r="AF27" s="16">
        <f t="shared" si="1"/>
        <v>0</v>
      </c>
      <c r="AG27" s="16">
        <f t="shared" si="1"/>
        <v>0</v>
      </c>
      <c r="AH27" s="16">
        <f t="shared" si="1"/>
        <v>0</v>
      </c>
      <c r="AI27" s="16">
        <f t="shared" si="1"/>
        <v>0</v>
      </c>
      <c r="AJ27" s="16">
        <f t="shared" si="1"/>
        <v>0</v>
      </c>
      <c r="AK27" s="16">
        <f t="shared" si="1"/>
        <v>0</v>
      </c>
      <c r="AL27" s="16">
        <f t="shared" si="1"/>
        <v>0</v>
      </c>
      <c r="AM27" s="16">
        <f t="shared" si="1"/>
        <v>0</v>
      </c>
      <c r="AN27" s="16">
        <f t="shared" si="1"/>
        <v>0</v>
      </c>
      <c r="AO27" s="16">
        <f t="shared" si="1"/>
        <v>0</v>
      </c>
      <c r="AP27" s="16">
        <f t="shared" ref="AP27:BU27" si="2">COUNTIF(AP6:AP26,"sim")</f>
        <v>0</v>
      </c>
      <c r="AQ27" s="16">
        <f t="shared" si="2"/>
        <v>0</v>
      </c>
      <c r="AR27" s="16">
        <f t="shared" si="2"/>
        <v>0</v>
      </c>
      <c r="AS27" s="16">
        <f t="shared" si="2"/>
        <v>0</v>
      </c>
      <c r="AT27" s="16">
        <f t="shared" si="2"/>
        <v>0</v>
      </c>
      <c r="AU27" s="16">
        <f t="shared" si="2"/>
        <v>0</v>
      </c>
      <c r="AV27" s="16">
        <f t="shared" si="2"/>
        <v>0</v>
      </c>
      <c r="AW27" s="16">
        <f t="shared" si="2"/>
        <v>0</v>
      </c>
      <c r="AX27" s="16">
        <f t="shared" si="2"/>
        <v>0</v>
      </c>
      <c r="AY27" s="16">
        <f t="shared" si="2"/>
        <v>0</v>
      </c>
      <c r="AZ27" s="16">
        <f t="shared" si="2"/>
        <v>0</v>
      </c>
      <c r="BA27" s="16">
        <f t="shared" si="2"/>
        <v>0</v>
      </c>
      <c r="BB27" s="16">
        <f t="shared" si="2"/>
        <v>0</v>
      </c>
      <c r="BC27" s="16">
        <f t="shared" si="2"/>
        <v>0</v>
      </c>
      <c r="BD27" s="16">
        <f t="shared" si="2"/>
        <v>0</v>
      </c>
      <c r="BE27" s="16">
        <f t="shared" si="2"/>
        <v>0</v>
      </c>
      <c r="BF27" s="16">
        <f t="shared" si="2"/>
        <v>0</v>
      </c>
      <c r="BG27" s="16">
        <f t="shared" si="2"/>
        <v>0</v>
      </c>
      <c r="BH27" s="16">
        <f t="shared" si="2"/>
        <v>0</v>
      </c>
      <c r="BI27" s="16">
        <f t="shared" si="2"/>
        <v>0</v>
      </c>
      <c r="BJ27" s="16">
        <f t="shared" si="2"/>
        <v>0</v>
      </c>
      <c r="BK27" s="16">
        <f t="shared" si="2"/>
        <v>0</v>
      </c>
      <c r="BL27" s="16">
        <f t="shared" si="2"/>
        <v>0</v>
      </c>
      <c r="BM27" s="16">
        <f t="shared" si="2"/>
        <v>0</v>
      </c>
      <c r="BN27" s="16">
        <f t="shared" si="2"/>
        <v>0</v>
      </c>
      <c r="BO27" s="16">
        <f t="shared" si="2"/>
        <v>0</v>
      </c>
      <c r="BP27" s="16">
        <f t="shared" si="2"/>
        <v>0</v>
      </c>
      <c r="BQ27" s="16">
        <f t="shared" si="2"/>
        <v>0</v>
      </c>
      <c r="BR27" s="16">
        <f t="shared" si="2"/>
        <v>0</v>
      </c>
      <c r="BS27" s="16">
        <f t="shared" si="2"/>
        <v>0</v>
      </c>
      <c r="BT27" s="16">
        <f t="shared" si="2"/>
        <v>0</v>
      </c>
      <c r="BU27" s="16">
        <f t="shared" si="2"/>
        <v>0</v>
      </c>
      <c r="BV27" s="16">
        <f t="shared" ref="BV27:DA27" si="3">COUNTIF(BV6:BV26,"sim")</f>
        <v>0</v>
      </c>
      <c r="BW27" s="16">
        <f t="shared" si="3"/>
        <v>0</v>
      </c>
      <c r="BX27" s="16">
        <f t="shared" si="3"/>
        <v>0</v>
      </c>
      <c r="BY27" s="16">
        <f t="shared" si="3"/>
        <v>0</v>
      </c>
      <c r="BZ27" s="16">
        <f t="shared" si="3"/>
        <v>0</v>
      </c>
      <c r="CA27" s="16">
        <f t="shared" si="3"/>
        <v>0</v>
      </c>
      <c r="CB27" s="16">
        <f t="shared" si="3"/>
        <v>0</v>
      </c>
      <c r="CC27" s="16">
        <f t="shared" si="3"/>
        <v>0</v>
      </c>
      <c r="CD27" s="16">
        <f t="shared" si="3"/>
        <v>0</v>
      </c>
      <c r="CE27" s="16">
        <f t="shared" si="3"/>
        <v>0</v>
      </c>
      <c r="CF27" s="16">
        <f t="shared" si="3"/>
        <v>0</v>
      </c>
      <c r="CG27" s="16">
        <f t="shared" si="3"/>
        <v>0</v>
      </c>
      <c r="CH27" s="16">
        <f t="shared" si="3"/>
        <v>0</v>
      </c>
      <c r="CI27" s="16">
        <f t="shared" si="3"/>
        <v>0</v>
      </c>
      <c r="CJ27" s="16">
        <f t="shared" si="3"/>
        <v>0</v>
      </c>
      <c r="CK27" s="16">
        <f t="shared" si="3"/>
        <v>0</v>
      </c>
      <c r="CL27" s="16">
        <f t="shared" si="3"/>
        <v>0</v>
      </c>
      <c r="CM27" s="16">
        <f t="shared" si="3"/>
        <v>0</v>
      </c>
      <c r="CN27" s="16">
        <f t="shared" si="3"/>
        <v>0</v>
      </c>
      <c r="CO27" s="16">
        <f t="shared" si="3"/>
        <v>0</v>
      </c>
      <c r="CP27" s="16">
        <f t="shared" si="3"/>
        <v>0</v>
      </c>
      <c r="CQ27" s="16">
        <f t="shared" si="3"/>
        <v>0</v>
      </c>
      <c r="CR27" s="16">
        <f t="shared" si="3"/>
        <v>0</v>
      </c>
      <c r="CS27" s="16">
        <f t="shared" si="3"/>
        <v>0</v>
      </c>
      <c r="CT27" s="16">
        <f t="shared" si="3"/>
        <v>0</v>
      </c>
      <c r="CU27" s="16">
        <f t="shared" si="3"/>
        <v>0</v>
      </c>
      <c r="CV27" s="16">
        <f t="shared" si="3"/>
        <v>0</v>
      </c>
      <c r="CW27" s="16">
        <f t="shared" si="3"/>
        <v>0</v>
      </c>
      <c r="CX27" s="16">
        <f t="shared" si="3"/>
        <v>0</v>
      </c>
      <c r="CY27" s="16">
        <f t="shared" si="3"/>
        <v>0</v>
      </c>
      <c r="CZ27" s="16">
        <f t="shared" si="3"/>
        <v>0</v>
      </c>
      <c r="DA27" s="16">
        <f t="shared" si="3"/>
        <v>0</v>
      </c>
      <c r="DB27" s="16">
        <f t="shared" ref="DB27:DS27" si="4">COUNTIF(DB6:DB26,"sim")</f>
        <v>0</v>
      </c>
      <c r="DC27" s="16">
        <f t="shared" si="4"/>
        <v>0</v>
      </c>
      <c r="DD27" s="16">
        <f t="shared" si="4"/>
        <v>0</v>
      </c>
      <c r="DE27" s="16">
        <f t="shared" si="4"/>
        <v>0</v>
      </c>
      <c r="DF27" s="16">
        <f t="shared" si="4"/>
        <v>0</v>
      </c>
      <c r="DG27" s="16">
        <f t="shared" si="4"/>
        <v>0</v>
      </c>
      <c r="DH27" s="16">
        <f t="shared" si="4"/>
        <v>0</v>
      </c>
      <c r="DI27" s="16">
        <f t="shared" si="4"/>
        <v>0</v>
      </c>
      <c r="DJ27" s="16">
        <f t="shared" si="4"/>
        <v>0</v>
      </c>
      <c r="DK27" s="16">
        <f t="shared" si="4"/>
        <v>0</v>
      </c>
      <c r="DL27" s="16">
        <f t="shared" si="4"/>
        <v>0</v>
      </c>
      <c r="DM27" s="16">
        <f t="shared" si="4"/>
        <v>0</v>
      </c>
      <c r="DN27" s="16">
        <f t="shared" si="4"/>
        <v>0</v>
      </c>
      <c r="DO27" s="16">
        <f t="shared" si="4"/>
        <v>0</v>
      </c>
      <c r="DP27" s="16">
        <f t="shared" si="4"/>
        <v>0</v>
      </c>
      <c r="DQ27" s="16">
        <f t="shared" si="4"/>
        <v>0</v>
      </c>
      <c r="DR27" s="16">
        <f t="shared" si="4"/>
        <v>0</v>
      </c>
      <c r="DS27" s="16">
        <f t="shared" si="4"/>
        <v>0</v>
      </c>
    </row>
    <row r="28" spans="1:123" s="18" customFormat="1" ht="15.75">
      <c r="A28" s="17" t="s">
        <v>19</v>
      </c>
      <c r="B28" s="18">
        <f t="shared" ref="B28:C28" si="5">COUNTIF(B6:B26,"não")</f>
        <v>0</v>
      </c>
      <c r="C28" s="105">
        <f t="shared" si="5"/>
        <v>0</v>
      </c>
      <c r="J28" s="18">
        <f t="shared" ref="J28:AO28" si="6">COUNTIF(J6:J27,"não")</f>
        <v>0</v>
      </c>
      <c r="K28" s="18">
        <f t="shared" si="6"/>
        <v>0</v>
      </c>
      <c r="L28" s="18">
        <f t="shared" si="6"/>
        <v>0</v>
      </c>
      <c r="M28" s="18">
        <f t="shared" si="6"/>
        <v>0</v>
      </c>
      <c r="N28" s="18">
        <f t="shared" si="6"/>
        <v>0</v>
      </c>
      <c r="O28" s="18">
        <f t="shared" si="6"/>
        <v>0</v>
      </c>
      <c r="P28" s="18">
        <f t="shared" si="6"/>
        <v>0</v>
      </c>
      <c r="Q28" s="18">
        <f t="shared" si="6"/>
        <v>0</v>
      </c>
      <c r="R28" s="18">
        <f t="shared" si="6"/>
        <v>0</v>
      </c>
      <c r="S28" s="18">
        <f t="shared" si="6"/>
        <v>0</v>
      </c>
      <c r="T28" s="18">
        <f t="shared" si="6"/>
        <v>0</v>
      </c>
      <c r="U28" s="18">
        <f t="shared" si="6"/>
        <v>0</v>
      </c>
      <c r="V28" s="18">
        <f t="shared" si="6"/>
        <v>0</v>
      </c>
      <c r="W28" s="18">
        <f t="shared" si="6"/>
        <v>0</v>
      </c>
      <c r="X28" s="18">
        <f t="shared" si="6"/>
        <v>0</v>
      </c>
      <c r="Y28" s="18">
        <f t="shared" si="6"/>
        <v>0</v>
      </c>
      <c r="Z28" s="18">
        <f t="shared" si="6"/>
        <v>0</v>
      </c>
      <c r="AA28" s="18">
        <f t="shared" si="6"/>
        <v>0</v>
      </c>
      <c r="AB28" s="18">
        <f t="shared" si="6"/>
        <v>0</v>
      </c>
      <c r="AC28" s="18">
        <f t="shared" si="6"/>
        <v>0</v>
      </c>
      <c r="AD28" s="18">
        <f t="shared" si="6"/>
        <v>0</v>
      </c>
      <c r="AE28" s="18">
        <f t="shared" si="6"/>
        <v>0</v>
      </c>
      <c r="AF28" s="18">
        <f t="shared" si="6"/>
        <v>0</v>
      </c>
      <c r="AG28" s="18">
        <f t="shared" si="6"/>
        <v>0</v>
      </c>
      <c r="AH28" s="18">
        <f t="shared" si="6"/>
        <v>0</v>
      </c>
      <c r="AI28" s="18">
        <f t="shared" si="6"/>
        <v>0</v>
      </c>
      <c r="AJ28" s="18">
        <f t="shared" si="6"/>
        <v>0</v>
      </c>
      <c r="AK28" s="18">
        <f t="shared" si="6"/>
        <v>0</v>
      </c>
      <c r="AL28" s="18">
        <f t="shared" si="6"/>
        <v>0</v>
      </c>
      <c r="AM28" s="18">
        <f t="shared" si="6"/>
        <v>0</v>
      </c>
      <c r="AN28" s="18">
        <f t="shared" si="6"/>
        <v>0</v>
      </c>
      <c r="AO28" s="18">
        <f t="shared" si="6"/>
        <v>0</v>
      </c>
      <c r="AP28" s="18">
        <f t="shared" ref="AP28:BU28" si="7">COUNTIF(AP6:AP27,"não")</f>
        <v>0</v>
      </c>
      <c r="AQ28" s="18">
        <f t="shared" si="7"/>
        <v>0</v>
      </c>
      <c r="AR28" s="18">
        <f t="shared" si="7"/>
        <v>0</v>
      </c>
      <c r="AS28" s="18">
        <f t="shared" si="7"/>
        <v>0</v>
      </c>
      <c r="AT28" s="18">
        <f t="shared" si="7"/>
        <v>0</v>
      </c>
      <c r="AU28" s="18">
        <f t="shared" si="7"/>
        <v>0</v>
      </c>
      <c r="AV28" s="18">
        <f t="shared" si="7"/>
        <v>0</v>
      </c>
      <c r="AW28" s="18">
        <f t="shared" si="7"/>
        <v>0</v>
      </c>
      <c r="AX28" s="18">
        <f t="shared" si="7"/>
        <v>0</v>
      </c>
      <c r="AY28" s="18">
        <f t="shared" si="7"/>
        <v>0</v>
      </c>
      <c r="AZ28" s="18">
        <f t="shared" si="7"/>
        <v>0</v>
      </c>
      <c r="BA28" s="18">
        <f t="shared" si="7"/>
        <v>0</v>
      </c>
      <c r="BB28" s="18">
        <f t="shared" si="7"/>
        <v>0</v>
      </c>
      <c r="BC28" s="18">
        <f t="shared" si="7"/>
        <v>0</v>
      </c>
      <c r="BD28" s="18">
        <f t="shared" si="7"/>
        <v>0</v>
      </c>
      <c r="BE28" s="18">
        <f t="shared" si="7"/>
        <v>0</v>
      </c>
      <c r="BF28" s="18">
        <f t="shared" si="7"/>
        <v>0</v>
      </c>
      <c r="BG28" s="18">
        <f t="shared" si="7"/>
        <v>0</v>
      </c>
      <c r="BH28" s="18">
        <f t="shared" si="7"/>
        <v>0</v>
      </c>
      <c r="BI28" s="18">
        <f t="shared" si="7"/>
        <v>0</v>
      </c>
      <c r="BJ28" s="18">
        <f t="shared" si="7"/>
        <v>0</v>
      </c>
      <c r="BK28" s="18">
        <f t="shared" si="7"/>
        <v>0</v>
      </c>
      <c r="BL28" s="18">
        <f t="shared" si="7"/>
        <v>0</v>
      </c>
      <c r="BM28" s="18">
        <f t="shared" si="7"/>
        <v>0</v>
      </c>
      <c r="BN28" s="18">
        <f t="shared" si="7"/>
        <v>0</v>
      </c>
      <c r="BO28" s="18">
        <f t="shared" si="7"/>
        <v>0</v>
      </c>
      <c r="BP28" s="18">
        <f t="shared" si="7"/>
        <v>0</v>
      </c>
      <c r="BQ28" s="18">
        <f t="shared" si="7"/>
        <v>0</v>
      </c>
      <c r="BR28" s="18">
        <f t="shared" si="7"/>
        <v>0</v>
      </c>
      <c r="BS28" s="18">
        <f t="shared" si="7"/>
        <v>0</v>
      </c>
      <c r="BT28" s="18">
        <f t="shared" si="7"/>
        <v>0</v>
      </c>
      <c r="BU28" s="18">
        <f t="shared" si="7"/>
        <v>0</v>
      </c>
      <c r="BV28" s="18">
        <f t="shared" ref="BV28:DA28" si="8">COUNTIF(BV6:BV27,"não")</f>
        <v>0</v>
      </c>
      <c r="BW28" s="18">
        <f t="shared" si="8"/>
        <v>0</v>
      </c>
      <c r="BX28" s="18">
        <f t="shared" si="8"/>
        <v>0</v>
      </c>
      <c r="BY28" s="18">
        <f t="shared" si="8"/>
        <v>0</v>
      </c>
      <c r="BZ28" s="18">
        <f t="shared" si="8"/>
        <v>0</v>
      </c>
      <c r="CA28" s="18">
        <f t="shared" si="8"/>
        <v>0</v>
      </c>
      <c r="CB28" s="18">
        <f t="shared" si="8"/>
        <v>0</v>
      </c>
      <c r="CC28" s="18">
        <f t="shared" si="8"/>
        <v>0</v>
      </c>
      <c r="CD28" s="18">
        <f t="shared" si="8"/>
        <v>0</v>
      </c>
      <c r="CE28" s="18">
        <f t="shared" si="8"/>
        <v>0</v>
      </c>
      <c r="CF28" s="18">
        <f t="shared" si="8"/>
        <v>0</v>
      </c>
      <c r="CG28" s="18">
        <f t="shared" si="8"/>
        <v>0</v>
      </c>
      <c r="CH28" s="18">
        <f t="shared" si="8"/>
        <v>0</v>
      </c>
      <c r="CI28" s="18">
        <f t="shared" si="8"/>
        <v>0</v>
      </c>
      <c r="CJ28" s="18">
        <f t="shared" si="8"/>
        <v>0</v>
      </c>
      <c r="CK28" s="18">
        <f t="shared" si="8"/>
        <v>0</v>
      </c>
      <c r="CL28" s="18">
        <f t="shared" si="8"/>
        <v>0</v>
      </c>
      <c r="CM28" s="18">
        <f t="shared" si="8"/>
        <v>0</v>
      </c>
      <c r="CN28" s="18">
        <f t="shared" si="8"/>
        <v>0</v>
      </c>
      <c r="CO28" s="18">
        <f t="shared" si="8"/>
        <v>0</v>
      </c>
      <c r="CP28" s="18">
        <f t="shared" si="8"/>
        <v>0</v>
      </c>
      <c r="CQ28" s="18">
        <f t="shared" si="8"/>
        <v>0</v>
      </c>
      <c r="CR28" s="18">
        <f t="shared" si="8"/>
        <v>0</v>
      </c>
      <c r="CS28" s="18">
        <f t="shared" si="8"/>
        <v>0</v>
      </c>
      <c r="CT28" s="18">
        <f t="shared" si="8"/>
        <v>0</v>
      </c>
      <c r="CU28" s="18">
        <f t="shared" si="8"/>
        <v>0</v>
      </c>
      <c r="CV28" s="18">
        <f t="shared" si="8"/>
        <v>0</v>
      </c>
      <c r="CW28" s="18">
        <f t="shared" si="8"/>
        <v>0</v>
      </c>
      <c r="CX28" s="18">
        <f t="shared" si="8"/>
        <v>0</v>
      </c>
      <c r="CY28" s="18">
        <f t="shared" si="8"/>
        <v>0</v>
      </c>
      <c r="CZ28" s="18">
        <f t="shared" si="8"/>
        <v>0</v>
      </c>
      <c r="DA28" s="18">
        <f t="shared" si="8"/>
        <v>0</v>
      </c>
      <c r="DB28" s="18">
        <f t="shared" ref="DB28:DS28" si="9">COUNTIF(DB6:DB27,"não")</f>
        <v>0</v>
      </c>
      <c r="DC28" s="18">
        <f t="shared" si="9"/>
        <v>0</v>
      </c>
      <c r="DD28" s="18">
        <f t="shared" si="9"/>
        <v>0</v>
      </c>
      <c r="DE28" s="18">
        <f t="shared" si="9"/>
        <v>0</v>
      </c>
      <c r="DF28" s="18">
        <f t="shared" si="9"/>
        <v>0</v>
      </c>
      <c r="DG28" s="18">
        <f t="shared" si="9"/>
        <v>0</v>
      </c>
      <c r="DH28" s="18">
        <f t="shared" si="9"/>
        <v>0</v>
      </c>
      <c r="DI28" s="18">
        <f t="shared" si="9"/>
        <v>0</v>
      </c>
      <c r="DJ28" s="18">
        <f t="shared" si="9"/>
        <v>0</v>
      </c>
      <c r="DK28" s="18">
        <f t="shared" si="9"/>
        <v>0</v>
      </c>
      <c r="DL28" s="18">
        <f t="shared" si="9"/>
        <v>0</v>
      </c>
      <c r="DM28" s="18">
        <f t="shared" si="9"/>
        <v>0</v>
      </c>
      <c r="DN28" s="18">
        <f t="shared" si="9"/>
        <v>0</v>
      </c>
      <c r="DO28" s="18">
        <f t="shared" si="9"/>
        <v>0</v>
      </c>
      <c r="DP28" s="18">
        <f t="shared" si="9"/>
        <v>0</v>
      </c>
      <c r="DQ28" s="18">
        <f t="shared" si="9"/>
        <v>0</v>
      </c>
      <c r="DR28" s="18">
        <f t="shared" si="9"/>
        <v>0</v>
      </c>
      <c r="DS28" s="18">
        <f t="shared" si="9"/>
        <v>0</v>
      </c>
    </row>
    <row r="29" spans="1:123" ht="15.75">
      <c r="A29" s="14" t="s">
        <v>11</v>
      </c>
      <c r="B29">
        <f t="shared" ref="B29:C29" si="10">COUNTIF(B6:B26,"ausente")</f>
        <v>0</v>
      </c>
      <c r="C29" s="40">
        <f t="shared" si="10"/>
        <v>4</v>
      </c>
      <c r="J29">
        <f t="shared" ref="J29:AO29" si="11">COUNTIF(J6:J28,"ausente")</f>
        <v>0</v>
      </c>
      <c r="K29">
        <f t="shared" si="11"/>
        <v>0</v>
      </c>
      <c r="L29">
        <f t="shared" si="11"/>
        <v>0</v>
      </c>
      <c r="M29">
        <f t="shared" si="11"/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ref="AP29:BU29" si="12">COUNTIF(AP6:AP28,"ausente")</f>
        <v>0</v>
      </c>
      <c r="AQ29">
        <f t="shared" si="12"/>
        <v>0</v>
      </c>
      <c r="AR29">
        <f t="shared" si="12"/>
        <v>0</v>
      </c>
      <c r="AS29">
        <f t="shared" si="12"/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ref="BV29:DA29" si="13">COUNTIF(BV6:BV28,"ausente")</f>
        <v>0</v>
      </c>
      <c r="BW29">
        <f t="shared" si="13"/>
        <v>0</v>
      </c>
      <c r="BX29">
        <f t="shared" si="13"/>
        <v>0</v>
      </c>
      <c r="BY29">
        <f t="shared" si="13"/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ref="DB29:DS29" si="14">COUNTIF(DB6:DB28,"ausente")</f>
        <v>0</v>
      </c>
      <c r="DC29">
        <f t="shared" si="14"/>
        <v>0</v>
      </c>
      <c r="DD29">
        <f t="shared" si="14"/>
        <v>0</v>
      </c>
      <c r="DE29">
        <f t="shared" si="14"/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</row>
    <row r="30" spans="1:123" s="20" customFormat="1" ht="15.75">
      <c r="A30" s="19" t="s">
        <v>20</v>
      </c>
      <c r="B30" s="20">
        <f t="shared" ref="B30:C30" si="15">COUNTIF(B6:B26,"abstenção")</f>
        <v>0</v>
      </c>
      <c r="C30" s="106">
        <f t="shared" si="15"/>
        <v>0</v>
      </c>
      <c r="J30" s="20">
        <f t="shared" ref="J30:AO30" si="16">COUNTIF(J10:J29,"abstenção")</f>
        <v>0</v>
      </c>
      <c r="K30" s="20">
        <f t="shared" si="16"/>
        <v>0</v>
      </c>
      <c r="L30" s="20">
        <f t="shared" si="16"/>
        <v>0</v>
      </c>
      <c r="M30" s="20">
        <f t="shared" si="16"/>
        <v>0</v>
      </c>
      <c r="N30" s="20">
        <f t="shared" si="16"/>
        <v>0</v>
      </c>
      <c r="O30" s="20">
        <f t="shared" si="16"/>
        <v>0</v>
      </c>
      <c r="P30" s="20">
        <f t="shared" si="16"/>
        <v>0</v>
      </c>
      <c r="Q30" s="20">
        <f t="shared" si="16"/>
        <v>0</v>
      </c>
      <c r="R30" s="20">
        <f t="shared" si="16"/>
        <v>0</v>
      </c>
      <c r="S30" s="20">
        <f t="shared" si="16"/>
        <v>0</v>
      </c>
      <c r="T30" s="20">
        <f t="shared" si="16"/>
        <v>0</v>
      </c>
      <c r="U30" s="20">
        <f t="shared" si="16"/>
        <v>0</v>
      </c>
      <c r="V30" s="20">
        <f t="shared" si="16"/>
        <v>0</v>
      </c>
      <c r="W30" s="20">
        <f t="shared" si="16"/>
        <v>0</v>
      </c>
      <c r="X30" s="20">
        <f t="shared" si="16"/>
        <v>0</v>
      </c>
      <c r="Y30" s="20">
        <f t="shared" si="16"/>
        <v>0</v>
      </c>
      <c r="Z30" s="20">
        <f t="shared" si="16"/>
        <v>0</v>
      </c>
      <c r="AA30" s="20">
        <f t="shared" si="16"/>
        <v>0</v>
      </c>
      <c r="AB30" s="20">
        <f t="shared" si="16"/>
        <v>0</v>
      </c>
      <c r="AC30" s="20">
        <f t="shared" si="16"/>
        <v>0</v>
      </c>
      <c r="AD30" s="20">
        <f t="shared" si="16"/>
        <v>0</v>
      </c>
      <c r="AE30" s="20">
        <f t="shared" si="16"/>
        <v>0</v>
      </c>
      <c r="AF30" s="20">
        <f t="shared" si="16"/>
        <v>0</v>
      </c>
      <c r="AG30" s="20">
        <f t="shared" si="16"/>
        <v>0</v>
      </c>
      <c r="AH30" s="20">
        <f t="shared" si="16"/>
        <v>0</v>
      </c>
      <c r="AI30" s="20">
        <f t="shared" si="16"/>
        <v>0</v>
      </c>
      <c r="AJ30" s="20">
        <f t="shared" si="16"/>
        <v>0</v>
      </c>
      <c r="AK30" s="20">
        <f t="shared" si="16"/>
        <v>0</v>
      </c>
      <c r="AL30" s="20">
        <f t="shared" si="16"/>
        <v>0</v>
      </c>
      <c r="AM30" s="20">
        <f t="shared" si="16"/>
        <v>0</v>
      </c>
      <c r="AN30" s="20">
        <f t="shared" si="16"/>
        <v>0</v>
      </c>
      <c r="AO30" s="20">
        <f t="shared" si="16"/>
        <v>0</v>
      </c>
      <c r="AP30" s="20">
        <f t="shared" ref="AP30:BH30" si="17">COUNTIF(AP10:AP29,"abstenção")</f>
        <v>0</v>
      </c>
      <c r="AQ30" s="20">
        <f t="shared" si="17"/>
        <v>0</v>
      </c>
      <c r="AR30" s="20">
        <f t="shared" si="17"/>
        <v>0</v>
      </c>
      <c r="AS30" s="20">
        <f t="shared" si="17"/>
        <v>0</v>
      </c>
      <c r="AT30" s="20">
        <f t="shared" si="17"/>
        <v>0</v>
      </c>
      <c r="AU30" s="20">
        <f t="shared" si="17"/>
        <v>0</v>
      </c>
      <c r="AV30" s="20">
        <f t="shared" si="17"/>
        <v>0</v>
      </c>
      <c r="AW30" s="20">
        <f t="shared" si="17"/>
        <v>0</v>
      </c>
      <c r="AX30" s="20">
        <f t="shared" si="17"/>
        <v>0</v>
      </c>
      <c r="AY30" s="20">
        <f t="shared" si="17"/>
        <v>0</v>
      </c>
      <c r="AZ30" s="20">
        <f t="shared" si="17"/>
        <v>0</v>
      </c>
      <c r="BA30" s="20">
        <f t="shared" si="17"/>
        <v>0</v>
      </c>
      <c r="BB30" s="20">
        <f t="shared" si="17"/>
        <v>0</v>
      </c>
      <c r="BC30" s="20">
        <f t="shared" si="17"/>
        <v>0</v>
      </c>
      <c r="BD30" s="20">
        <f t="shared" si="17"/>
        <v>0</v>
      </c>
      <c r="BE30" s="20">
        <f t="shared" si="17"/>
        <v>0</v>
      </c>
      <c r="BF30" s="20">
        <f t="shared" si="17"/>
        <v>0</v>
      </c>
      <c r="BG30" s="20">
        <f t="shared" si="17"/>
        <v>0</v>
      </c>
      <c r="BH30" s="20">
        <f t="shared" si="17"/>
        <v>0</v>
      </c>
      <c r="BI30" s="20">
        <f t="shared" ref="BI30:DS30" si="18">COUNTIF(BI10:BI29,"abstenção")</f>
        <v>0</v>
      </c>
      <c r="BJ30" s="20">
        <f t="shared" si="18"/>
        <v>0</v>
      </c>
      <c r="BK30" s="20">
        <f t="shared" si="18"/>
        <v>0</v>
      </c>
      <c r="BL30" s="20">
        <f t="shared" si="18"/>
        <v>0</v>
      </c>
      <c r="BM30" s="20">
        <f t="shared" si="18"/>
        <v>0</v>
      </c>
      <c r="BN30" s="20">
        <f t="shared" si="18"/>
        <v>0</v>
      </c>
      <c r="BO30" s="20">
        <f t="shared" si="18"/>
        <v>0</v>
      </c>
      <c r="BP30" s="20">
        <f t="shared" si="18"/>
        <v>0</v>
      </c>
      <c r="BQ30" s="20">
        <f t="shared" si="18"/>
        <v>0</v>
      </c>
      <c r="BR30" s="20">
        <f t="shared" si="18"/>
        <v>0</v>
      </c>
      <c r="BS30" s="20">
        <f t="shared" si="18"/>
        <v>0</v>
      </c>
      <c r="BT30" s="20">
        <f t="shared" si="18"/>
        <v>0</v>
      </c>
      <c r="BU30" s="20">
        <f t="shared" si="18"/>
        <v>0</v>
      </c>
      <c r="BV30" s="20">
        <f t="shared" si="18"/>
        <v>0</v>
      </c>
      <c r="BW30" s="20">
        <f t="shared" si="18"/>
        <v>0</v>
      </c>
      <c r="BX30" s="20">
        <f t="shared" si="18"/>
        <v>0</v>
      </c>
      <c r="BY30" s="20">
        <f t="shared" si="18"/>
        <v>0</v>
      </c>
      <c r="BZ30" s="20">
        <f t="shared" si="18"/>
        <v>0</v>
      </c>
      <c r="CA30" s="20">
        <f t="shared" si="18"/>
        <v>0</v>
      </c>
      <c r="CB30" s="20">
        <f t="shared" si="18"/>
        <v>0</v>
      </c>
      <c r="CC30" s="20">
        <f t="shared" si="18"/>
        <v>0</v>
      </c>
      <c r="CD30" s="20">
        <f t="shared" si="18"/>
        <v>0</v>
      </c>
      <c r="CE30" s="20">
        <f t="shared" si="18"/>
        <v>0</v>
      </c>
      <c r="CF30" s="20">
        <f t="shared" si="18"/>
        <v>0</v>
      </c>
      <c r="CG30" s="20">
        <f t="shared" si="18"/>
        <v>0</v>
      </c>
      <c r="CH30" s="20">
        <f t="shared" si="18"/>
        <v>0</v>
      </c>
      <c r="CI30" s="20">
        <f t="shared" si="18"/>
        <v>0</v>
      </c>
      <c r="CJ30" s="20">
        <f t="shared" si="18"/>
        <v>0</v>
      </c>
      <c r="CK30" s="20">
        <f t="shared" si="18"/>
        <v>0</v>
      </c>
      <c r="CL30" s="20">
        <f t="shared" si="18"/>
        <v>0</v>
      </c>
      <c r="CM30" s="20">
        <f t="shared" si="18"/>
        <v>0</v>
      </c>
      <c r="CN30" s="20">
        <f t="shared" si="18"/>
        <v>0</v>
      </c>
      <c r="CO30" s="20">
        <f t="shared" si="18"/>
        <v>0</v>
      </c>
      <c r="CP30" s="20">
        <f t="shared" si="18"/>
        <v>0</v>
      </c>
      <c r="CQ30" s="20">
        <f t="shared" si="18"/>
        <v>0</v>
      </c>
      <c r="CR30" s="20">
        <f t="shared" si="18"/>
        <v>0</v>
      </c>
      <c r="CS30" s="20">
        <f t="shared" si="18"/>
        <v>0</v>
      </c>
      <c r="CT30" s="20">
        <f t="shared" si="18"/>
        <v>0</v>
      </c>
      <c r="CU30" s="20">
        <f t="shared" si="18"/>
        <v>0</v>
      </c>
      <c r="CV30" s="20">
        <f t="shared" si="18"/>
        <v>0</v>
      </c>
      <c r="CW30" s="20">
        <f t="shared" si="18"/>
        <v>0</v>
      </c>
      <c r="CX30" s="20">
        <f t="shared" si="18"/>
        <v>0</v>
      </c>
      <c r="CY30" s="20">
        <f t="shared" si="18"/>
        <v>0</v>
      </c>
      <c r="CZ30" s="20">
        <f t="shared" si="18"/>
        <v>0</v>
      </c>
      <c r="DA30" s="20">
        <f t="shared" si="18"/>
        <v>0</v>
      </c>
      <c r="DB30" s="20">
        <f t="shared" si="18"/>
        <v>0</v>
      </c>
      <c r="DC30" s="20">
        <f t="shared" si="18"/>
        <v>0</v>
      </c>
      <c r="DD30" s="20">
        <f t="shared" si="18"/>
        <v>0</v>
      </c>
      <c r="DE30" s="20">
        <f t="shared" si="18"/>
        <v>0</v>
      </c>
      <c r="DF30" s="20">
        <f t="shared" si="18"/>
        <v>0</v>
      </c>
      <c r="DG30" s="20">
        <f t="shared" si="18"/>
        <v>0</v>
      </c>
      <c r="DH30" s="20">
        <f t="shared" si="18"/>
        <v>0</v>
      </c>
      <c r="DI30" s="20">
        <f t="shared" si="18"/>
        <v>0</v>
      </c>
      <c r="DJ30" s="20">
        <f t="shared" si="18"/>
        <v>0</v>
      </c>
      <c r="DK30" s="20">
        <f t="shared" si="18"/>
        <v>0</v>
      </c>
      <c r="DL30" s="20">
        <f t="shared" si="18"/>
        <v>0</v>
      </c>
      <c r="DM30" s="20">
        <f t="shared" si="18"/>
        <v>0</v>
      </c>
      <c r="DN30" s="20">
        <f t="shared" si="18"/>
        <v>0</v>
      </c>
      <c r="DO30" s="20">
        <f t="shared" si="18"/>
        <v>0</v>
      </c>
      <c r="DP30" s="20">
        <f t="shared" si="18"/>
        <v>0</v>
      </c>
      <c r="DQ30" s="20">
        <f t="shared" si="18"/>
        <v>0</v>
      </c>
      <c r="DR30" s="20">
        <f t="shared" si="18"/>
        <v>0</v>
      </c>
      <c r="DS30" s="20">
        <f t="shared" si="18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F38"/>
  <sheetViews>
    <sheetView workbookViewId="0">
      <pane xSplit="1" topLeftCell="B1" activePane="topRight" state="frozen"/>
      <selection pane="topRight" activeCell="H5" sqref="H5"/>
    </sheetView>
  </sheetViews>
  <sheetFormatPr defaultRowHeight="15"/>
  <cols>
    <col min="1" max="1" width="49.7109375" customWidth="1"/>
    <col min="2" max="2" width="22.85546875" customWidth="1"/>
    <col min="3" max="6" width="28.5703125" customWidth="1"/>
  </cols>
  <sheetData>
    <row r="1" spans="1:6">
      <c r="A1" s="77" t="s">
        <v>8</v>
      </c>
      <c r="B1" s="2"/>
    </row>
    <row r="2" spans="1:6">
      <c r="A2" s="77" t="s">
        <v>103</v>
      </c>
      <c r="B2" s="2"/>
    </row>
    <row r="3" spans="1:6" ht="15.75" thickBot="1">
      <c r="A3" s="123" t="s">
        <v>105</v>
      </c>
      <c r="B3" s="2"/>
    </row>
    <row r="4" spans="1:6" ht="78.75" customHeight="1" thickBot="1">
      <c r="A4" s="122" t="s">
        <v>5</v>
      </c>
      <c r="B4" s="112" t="s">
        <v>21</v>
      </c>
      <c r="C4" s="107" t="s">
        <v>122</v>
      </c>
      <c r="D4" s="141" t="s">
        <v>123</v>
      </c>
      <c r="E4" s="141" t="s">
        <v>96</v>
      </c>
      <c r="F4" s="107" t="s">
        <v>124</v>
      </c>
    </row>
    <row r="5" spans="1:6" s="6" customFormat="1" ht="60.75" customHeight="1">
      <c r="A5" s="124"/>
      <c r="B5" s="112"/>
      <c r="C5" s="114" t="s">
        <v>97</v>
      </c>
      <c r="D5" s="114" t="s">
        <v>97</v>
      </c>
      <c r="E5" s="114" t="s">
        <v>97</v>
      </c>
      <c r="F5" s="114" t="s">
        <v>97</v>
      </c>
    </row>
    <row r="6" spans="1:6" ht="15.75">
      <c r="A6" s="129" t="s">
        <v>57</v>
      </c>
      <c r="C6" s="108" t="s">
        <v>98</v>
      </c>
      <c r="D6" s="108" t="s">
        <v>98</v>
      </c>
      <c r="E6" s="108" t="s">
        <v>98</v>
      </c>
      <c r="F6" s="108" t="s">
        <v>98</v>
      </c>
    </row>
    <row r="7" spans="1:6" ht="15.75">
      <c r="A7" s="129" t="s">
        <v>53</v>
      </c>
      <c r="C7" s="108" t="s">
        <v>98</v>
      </c>
      <c r="D7" s="108" t="s">
        <v>98</v>
      </c>
      <c r="E7" s="108" t="s">
        <v>98</v>
      </c>
      <c r="F7" s="108" t="s">
        <v>98</v>
      </c>
    </row>
    <row r="8" spans="1:6" ht="15.75">
      <c r="A8" s="129" t="s">
        <v>60</v>
      </c>
      <c r="C8" s="108" t="s">
        <v>98</v>
      </c>
      <c r="D8" s="108" t="s">
        <v>98</v>
      </c>
      <c r="E8" s="108" t="s">
        <v>98</v>
      </c>
      <c r="F8" s="108" t="s">
        <v>98</v>
      </c>
    </row>
    <row r="9" spans="1:6" ht="15.75">
      <c r="A9" s="130" t="s">
        <v>61</v>
      </c>
      <c r="C9" s="108" t="s">
        <v>98</v>
      </c>
      <c r="D9" s="108" t="s">
        <v>98</v>
      </c>
      <c r="E9" s="108" t="s">
        <v>98</v>
      </c>
      <c r="F9" s="108" t="s">
        <v>98</v>
      </c>
    </row>
    <row r="10" spans="1:6" ht="15.75">
      <c r="A10" s="129" t="s">
        <v>29</v>
      </c>
      <c r="C10" s="115" t="s">
        <v>59</v>
      </c>
      <c r="D10" s="115" t="s">
        <v>59</v>
      </c>
      <c r="E10" s="115" t="s">
        <v>59</v>
      </c>
      <c r="F10" s="115" t="s">
        <v>59</v>
      </c>
    </row>
    <row r="11" spans="1:6" ht="15.75">
      <c r="A11" s="129" t="s">
        <v>62</v>
      </c>
      <c r="C11" s="115" t="s">
        <v>59</v>
      </c>
      <c r="D11" s="115" t="s">
        <v>59</v>
      </c>
      <c r="E11" s="115" t="s">
        <v>59</v>
      </c>
      <c r="F11" s="115" t="s">
        <v>59</v>
      </c>
    </row>
    <row r="12" spans="1:6" ht="15.75">
      <c r="A12" s="129" t="s">
        <v>22</v>
      </c>
      <c r="C12" s="115" t="s">
        <v>59</v>
      </c>
      <c r="D12" s="115" t="s">
        <v>59</v>
      </c>
      <c r="E12" s="115" t="s">
        <v>59</v>
      </c>
      <c r="F12" s="115" t="s">
        <v>59</v>
      </c>
    </row>
    <row r="13" spans="1:6" ht="15.75">
      <c r="A13" s="129" t="s">
        <v>23</v>
      </c>
      <c r="C13" s="108" t="s">
        <v>98</v>
      </c>
      <c r="D13" s="108" t="s">
        <v>98</v>
      </c>
      <c r="E13" s="108" t="s">
        <v>98</v>
      </c>
      <c r="F13" s="108" t="s">
        <v>98</v>
      </c>
    </row>
    <row r="14" spans="1:6" ht="15.75">
      <c r="A14" s="129" t="s">
        <v>24</v>
      </c>
      <c r="C14" s="108" t="s">
        <v>98</v>
      </c>
      <c r="D14" s="108" t="s">
        <v>98</v>
      </c>
      <c r="E14" s="108" t="s">
        <v>98</v>
      </c>
      <c r="F14" s="108" t="s">
        <v>98</v>
      </c>
    </row>
    <row r="15" spans="1:6" ht="15.75">
      <c r="A15" s="129" t="s">
        <v>63</v>
      </c>
      <c r="C15" s="108" t="s">
        <v>98</v>
      </c>
      <c r="D15" s="108" t="s">
        <v>98</v>
      </c>
      <c r="E15" s="108" t="s">
        <v>98</v>
      </c>
      <c r="F15" s="108" t="s">
        <v>98</v>
      </c>
    </row>
    <row r="16" spans="1:6" ht="15.75">
      <c r="A16" s="129" t="s">
        <v>64</v>
      </c>
      <c r="C16" s="108" t="s">
        <v>98</v>
      </c>
      <c r="D16" s="108" t="s">
        <v>98</v>
      </c>
      <c r="E16" s="108" t="s">
        <v>98</v>
      </c>
      <c r="F16" s="108" t="s">
        <v>98</v>
      </c>
    </row>
    <row r="17" spans="1:6" ht="15.75">
      <c r="A17" s="129" t="s">
        <v>65</v>
      </c>
      <c r="C17" s="108" t="s">
        <v>98</v>
      </c>
      <c r="D17" s="108" t="s">
        <v>98</v>
      </c>
      <c r="E17" s="108" t="s">
        <v>98</v>
      </c>
      <c r="F17" s="108" t="s">
        <v>98</v>
      </c>
    </row>
    <row r="18" spans="1:6" ht="15.75">
      <c r="A18" s="129" t="s">
        <v>25</v>
      </c>
      <c r="C18" s="108" t="s">
        <v>98</v>
      </c>
      <c r="D18" s="108" t="s">
        <v>98</v>
      </c>
      <c r="E18" s="108" t="s">
        <v>98</v>
      </c>
      <c r="F18" s="108" t="s">
        <v>98</v>
      </c>
    </row>
    <row r="19" spans="1:6" ht="15.75">
      <c r="A19" s="129" t="s">
        <v>66</v>
      </c>
      <c r="C19" s="108" t="s">
        <v>98</v>
      </c>
      <c r="D19" s="108" t="s">
        <v>98</v>
      </c>
      <c r="E19" s="108" t="s">
        <v>98</v>
      </c>
      <c r="F19" s="108" t="s">
        <v>98</v>
      </c>
    </row>
    <row r="20" spans="1:6" ht="15.75">
      <c r="A20" s="129" t="s">
        <v>38</v>
      </c>
      <c r="C20" s="108" t="s">
        <v>98</v>
      </c>
      <c r="D20" s="108" t="s">
        <v>98</v>
      </c>
      <c r="E20" s="108" t="s">
        <v>98</v>
      </c>
      <c r="F20" s="108" t="s">
        <v>98</v>
      </c>
    </row>
    <row r="21" spans="1:6" ht="15.75">
      <c r="A21" s="129" t="s">
        <v>26</v>
      </c>
      <c r="C21" s="108" t="s">
        <v>98</v>
      </c>
      <c r="D21" s="108" t="s">
        <v>98</v>
      </c>
      <c r="E21" s="108" t="s">
        <v>98</v>
      </c>
      <c r="F21" s="108" t="s">
        <v>98</v>
      </c>
    </row>
    <row r="22" spans="1:6" ht="15.75">
      <c r="A22" s="129" t="s">
        <v>67</v>
      </c>
      <c r="C22" s="108" t="s">
        <v>98</v>
      </c>
      <c r="D22" s="108" t="s">
        <v>98</v>
      </c>
      <c r="E22" s="108" t="s">
        <v>98</v>
      </c>
      <c r="F22" s="108" t="s">
        <v>98</v>
      </c>
    </row>
    <row r="23" spans="1:6" ht="15.75">
      <c r="A23" s="129" t="s">
        <v>27</v>
      </c>
      <c r="C23" s="115" t="s">
        <v>59</v>
      </c>
      <c r="D23" s="115" t="s">
        <v>59</v>
      </c>
      <c r="E23" s="115" t="s">
        <v>59</v>
      </c>
      <c r="F23" s="115" t="s">
        <v>59</v>
      </c>
    </row>
    <row r="24" spans="1:6" ht="15.75">
      <c r="A24" s="129" t="s">
        <v>55</v>
      </c>
      <c r="C24" s="108" t="s">
        <v>98</v>
      </c>
      <c r="D24" s="108" t="s">
        <v>98</v>
      </c>
      <c r="E24" s="108" t="s">
        <v>98</v>
      </c>
      <c r="F24" s="108" t="s">
        <v>98</v>
      </c>
    </row>
    <row r="25" spans="1:6" ht="15.75">
      <c r="A25" s="129" t="s">
        <v>68</v>
      </c>
      <c r="C25" s="108" t="s">
        <v>98</v>
      </c>
      <c r="D25" s="108" t="s">
        <v>98</v>
      </c>
      <c r="E25" s="108" t="s">
        <v>98</v>
      </c>
      <c r="F25" s="108" t="s">
        <v>98</v>
      </c>
    </row>
    <row r="26" spans="1:6" ht="15.75">
      <c r="A26" s="129" t="s">
        <v>69</v>
      </c>
      <c r="C26" s="108" t="s">
        <v>98</v>
      </c>
      <c r="D26" s="108" t="s">
        <v>98</v>
      </c>
      <c r="E26" s="108" t="s">
        <v>98</v>
      </c>
      <c r="F26" s="108" t="s">
        <v>98</v>
      </c>
    </row>
    <row r="27" spans="1:6">
      <c r="C27" s="108"/>
      <c r="D27" s="108"/>
      <c r="E27" s="108"/>
      <c r="F27" s="108"/>
    </row>
    <row r="28" spans="1:6" ht="15.75">
      <c r="A28" s="15" t="s">
        <v>18</v>
      </c>
      <c r="B28" s="16">
        <f>COUNTIF(B6:B26,"sim")</f>
        <v>0</v>
      </c>
      <c r="C28" s="104">
        <f t="shared" ref="C28" si="0">COUNTIF(C6:C26,"sim")</f>
        <v>17</v>
      </c>
      <c r="D28" s="104">
        <f t="shared" ref="D28:E28" si="1">COUNTIF(D6:D26,"sim")</f>
        <v>17</v>
      </c>
      <c r="E28" s="104">
        <f t="shared" si="1"/>
        <v>17</v>
      </c>
      <c r="F28" s="104">
        <f>COUNTIF(F6:F26,"sim")</f>
        <v>17</v>
      </c>
    </row>
    <row r="29" spans="1:6" ht="15.75">
      <c r="A29" s="17" t="s">
        <v>19</v>
      </c>
      <c r="B29" s="18">
        <f>COUNTIF(B6:B26,"não")</f>
        <v>0</v>
      </c>
      <c r="C29" s="105">
        <f t="shared" ref="C29" si="2">COUNTIF(C6:C26,"não")</f>
        <v>0</v>
      </c>
      <c r="D29" s="105">
        <f t="shared" ref="D29:E29" si="3">COUNTIF(D6:D26,"não")</f>
        <v>0</v>
      </c>
      <c r="E29" s="105">
        <f t="shared" si="3"/>
        <v>0</v>
      </c>
      <c r="F29" s="105">
        <f>COUNTIF(F6:F26,"não")</f>
        <v>0</v>
      </c>
    </row>
    <row r="30" spans="1:6" ht="15.75">
      <c r="A30" s="14" t="s">
        <v>11</v>
      </c>
      <c r="B30">
        <f>COUNTIF(B6:B26,"ausente")</f>
        <v>0</v>
      </c>
      <c r="C30" s="40">
        <f t="shared" ref="C30" si="4">COUNTIF(C6:C26,"ausente")</f>
        <v>4</v>
      </c>
      <c r="D30" s="40">
        <f t="shared" ref="D30:E30" si="5">COUNTIF(D6:D26,"ausente")</f>
        <v>4</v>
      </c>
      <c r="E30" s="40">
        <f t="shared" si="5"/>
        <v>4</v>
      </c>
      <c r="F30" s="40">
        <f>COUNTIF(F6:F26,"ausente")</f>
        <v>4</v>
      </c>
    </row>
    <row r="31" spans="1:6" ht="15.75">
      <c r="A31" s="19" t="s">
        <v>20</v>
      </c>
      <c r="B31" s="20">
        <f>COUNTIF(B6:B26,"abstenção")</f>
        <v>0</v>
      </c>
      <c r="C31" s="106">
        <f t="shared" ref="C31" si="6">COUNTIF(C6:C26,"abstenção")</f>
        <v>0</v>
      </c>
      <c r="D31" s="106">
        <f t="shared" ref="D31:E31" si="7">COUNTIF(D6:D26,"abstenção")</f>
        <v>0</v>
      </c>
      <c r="E31" s="106">
        <f t="shared" si="7"/>
        <v>0</v>
      </c>
      <c r="F31" s="106">
        <f>COUNTIF(F6:F26,"abstenção")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2" sqref="B2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3" t="s">
        <v>105</v>
      </c>
      <c r="B3" s="2"/>
      <c r="C3" s="54"/>
      <c r="D3" s="54"/>
      <c r="E3" s="54"/>
    </row>
    <row r="4" spans="1:9" ht="78" customHeight="1" thickBot="1">
      <c r="A4" s="122" t="s">
        <v>5</v>
      </c>
      <c r="B4" s="125" t="s">
        <v>33</v>
      </c>
      <c r="C4" s="133" t="s">
        <v>42</v>
      </c>
      <c r="D4" s="133" t="s">
        <v>41</v>
      </c>
      <c r="E4" s="133" t="s">
        <v>43</v>
      </c>
      <c r="F4" s="133" t="s">
        <v>44</v>
      </c>
      <c r="G4" s="133" t="s">
        <v>45</v>
      </c>
      <c r="H4" s="133" t="s">
        <v>46</v>
      </c>
      <c r="I4" s="133" t="s">
        <v>70</v>
      </c>
    </row>
    <row r="5" spans="1:9" ht="60.75" customHeight="1">
      <c r="A5" s="48"/>
      <c r="B5" s="10"/>
      <c r="C5" s="134"/>
      <c r="D5" s="133"/>
      <c r="E5" s="133"/>
      <c r="F5" s="135"/>
      <c r="G5" s="136"/>
      <c r="H5" s="136"/>
      <c r="I5" s="40"/>
    </row>
    <row r="6" spans="1:9" ht="18">
      <c r="A6" s="131" t="s">
        <v>57</v>
      </c>
      <c r="C6" s="136"/>
      <c r="D6" s="136"/>
      <c r="E6" s="136"/>
      <c r="F6" s="136"/>
      <c r="G6" s="136"/>
      <c r="H6" s="136"/>
      <c r="I6" s="40"/>
    </row>
    <row r="7" spans="1:9" ht="18">
      <c r="A7" s="131" t="s">
        <v>53</v>
      </c>
      <c r="C7" s="136"/>
      <c r="D7" s="136"/>
      <c r="E7" s="136"/>
      <c r="F7" s="136"/>
      <c r="G7" s="136"/>
      <c r="H7" s="136"/>
      <c r="I7" s="40"/>
    </row>
    <row r="8" spans="1:9" ht="18">
      <c r="A8" s="131" t="s">
        <v>60</v>
      </c>
      <c r="C8" s="136"/>
      <c r="D8" s="136"/>
      <c r="E8" s="136"/>
      <c r="F8" s="136"/>
      <c r="G8" s="136"/>
      <c r="H8" s="136"/>
      <c r="I8" s="40"/>
    </row>
    <row r="9" spans="1:9" ht="18">
      <c r="A9" s="132" t="s">
        <v>61</v>
      </c>
      <c r="C9" s="136"/>
      <c r="D9" s="136"/>
      <c r="E9" s="136"/>
      <c r="F9" s="136"/>
      <c r="G9" s="136"/>
      <c r="H9" s="136"/>
      <c r="I9" s="40"/>
    </row>
    <row r="10" spans="1:9" ht="18">
      <c r="A10" s="131" t="s">
        <v>29</v>
      </c>
      <c r="C10" s="136"/>
      <c r="D10" s="136"/>
      <c r="E10" s="136"/>
      <c r="F10" s="136"/>
      <c r="G10" s="136"/>
      <c r="H10" s="136"/>
      <c r="I10" s="40"/>
    </row>
    <row r="11" spans="1:9" ht="18">
      <c r="A11" s="131" t="s">
        <v>62</v>
      </c>
      <c r="C11" s="136"/>
      <c r="D11" s="136"/>
      <c r="E11" s="136"/>
      <c r="F11" s="136"/>
      <c r="G11" s="136"/>
      <c r="H11" s="136"/>
      <c r="I11" s="40"/>
    </row>
    <row r="12" spans="1:9" ht="18">
      <c r="A12" s="131" t="s">
        <v>22</v>
      </c>
      <c r="C12" s="136"/>
      <c r="D12" s="136"/>
      <c r="E12" s="136"/>
      <c r="F12" s="136"/>
      <c r="G12" s="136"/>
      <c r="H12" s="136"/>
      <c r="I12" s="40"/>
    </row>
    <row r="13" spans="1:9" ht="18">
      <c r="A13" s="131" t="s">
        <v>23</v>
      </c>
      <c r="C13" s="136"/>
      <c r="D13" s="136"/>
      <c r="E13" s="136"/>
      <c r="F13" s="136"/>
      <c r="G13" s="136"/>
      <c r="H13" s="136"/>
      <c r="I13" s="40"/>
    </row>
    <row r="14" spans="1:9" ht="18">
      <c r="A14" s="131" t="s">
        <v>24</v>
      </c>
      <c r="C14" s="136"/>
      <c r="D14" s="136"/>
      <c r="E14" s="136"/>
      <c r="F14" s="136"/>
      <c r="G14" s="136"/>
      <c r="H14" s="136"/>
      <c r="I14" s="40"/>
    </row>
    <row r="15" spans="1:9" ht="18">
      <c r="A15" s="131" t="s">
        <v>63</v>
      </c>
      <c r="C15" s="136"/>
      <c r="D15" s="136"/>
      <c r="E15" s="136"/>
      <c r="F15" s="136"/>
      <c r="G15" s="136"/>
      <c r="H15" s="136"/>
      <c r="I15" s="40"/>
    </row>
    <row r="16" spans="1:9" ht="18">
      <c r="A16" s="131" t="s">
        <v>64</v>
      </c>
      <c r="C16" s="136"/>
      <c r="D16" s="136"/>
      <c r="E16" s="136"/>
      <c r="F16" s="136"/>
      <c r="G16" s="136"/>
      <c r="H16" s="136"/>
      <c r="I16" s="40"/>
    </row>
    <row r="17" spans="1:9" ht="18">
      <c r="A17" s="131" t="s">
        <v>65</v>
      </c>
      <c r="C17" s="136"/>
      <c r="D17" s="136"/>
      <c r="E17" s="136"/>
      <c r="F17" s="136"/>
      <c r="G17" s="136"/>
      <c r="H17" s="136"/>
      <c r="I17" s="40"/>
    </row>
    <row r="18" spans="1:9" ht="18">
      <c r="A18" s="131" t="s">
        <v>25</v>
      </c>
      <c r="C18" s="136"/>
      <c r="D18" s="136"/>
      <c r="E18" s="136"/>
      <c r="F18" s="136"/>
      <c r="G18" s="136"/>
      <c r="H18" s="136"/>
      <c r="I18" s="40"/>
    </row>
    <row r="19" spans="1:9" ht="18">
      <c r="A19" s="131" t="s">
        <v>66</v>
      </c>
      <c r="C19" s="136"/>
      <c r="D19" s="136"/>
      <c r="E19" s="136"/>
      <c r="F19" s="136"/>
      <c r="G19" s="136"/>
      <c r="H19" s="136"/>
      <c r="I19" s="40"/>
    </row>
    <row r="20" spans="1:9" ht="18">
      <c r="A20" s="131" t="s">
        <v>38</v>
      </c>
      <c r="C20" s="136"/>
      <c r="D20" s="136"/>
      <c r="E20" s="136"/>
      <c r="F20" s="136"/>
      <c r="G20" s="136"/>
      <c r="H20" s="136"/>
      <c r="I20" s="40"/>
    </row>
    <row r="21" spans="1:9" ht="18">
      <c r="A21" s="131" t="s">
        <v>26</v>
      </c>
      <c r="C21" s="136"/>
      <c r="D21" s="136"/>
      <c r="E21" s="136"/>
      <c r="F21" s="136"/>
      <c r="G21" s="136"/>
      <c r="H21" s="136"/>
      <c r="I21" s="40"/>
    </row>
    <row r="22" spans="1:9" ht="18">
      <c r="A22" s="131" t="s">
        <v>67</v>
      </c>
      <c r="C22" s="136"/>
      <c r="D22" s="136"/>
      <c r="E22" s="136"/>
      <c r="F22" s="136"/>
      <c r="G22" s="136"/>
      <c r="H22" s="136"/>
      <c r="I22" s="40"/>
    </row>
    <row r="23" spans="1:9" ht="18">
      <c r="A23" s="131" t="s">
        <v>27</v>
      </c>
      <c r="C23" s="136"/>
      <c r="D23" s="136"/>
      <c r="E23" s="136"/>
      <c r="F23" s="136"/>
      <c r="G23" s="136"/>
      <c r="H23" s="136"/>
      <c r="I23" s="40"/>
    </row>
    <row r="24" spans="1:9" ht="18">
      <c r="A24" s="131" t="s">
        <v>55</v>
      </c>
      <c r="C24" s="136"/>
      <c r="D24" s="136"/>
      <c r="E24" s="136"/>
      <c r="F24" s="136"/>
      <c r="G24" s="136"/>
      <c r="H24" s="136"/>
      <c r="I24" s="40"/>
    </row>
    <row r="25" spans="1:9" ht="18">
      <c r="A25" s="131" t="s">
        <v>68</v>
      </c>
      <c r="C25" s="136"/>
      <c r="D25" s="136"/>
      <c r="E25" s="136"/>
      <c r="F25" s="136"/>
      <c r="G25" s="136"/>
      <c r="H25" s="136"/>
      <c r="I25" s="40"/>
    </row>
    <row r="26" spans="1:9" ht="18">
      <c r="A26" s="131" t="s">
        <v>69</v>
      </c>
      <c r="C26" s="136"/>
      <c r="D26" s="136"/>
      <c r="E26" s="136"/>
      <c r="F26" s="136"/>
      <c r="G26" s="136"/>
      <c r="H26" s="136"/>
      <c r="I26" s="40"/>
    </row>
    <row r="27" spans="1:9">
      <c r="C27" s="136"/>
      <c r="D27" s="136"/>
      <c r="E27" s="136"/>
      <c r="F27" s="136"/>
      <c r="G27" s="136"/>
      <c r="H27" s="136"/>
      <c r="I27" s="40"/>
    </row>
    <row r="28" spans="1:9" ht="15.75">
      <c r="A28" s="15" t="s">
        <v>18</v>
      </c>
      <c r="B28" s="16"/>
      <c r="C28" s="137">
        <f t="shared" ref="C28:I28" si="0">COUNTIF(C6:C26,"sim")</f>
        <v>0</v>
      </c>
      <c r="D28" s="137">
        <f t="shared" si="0"/>
        <v>0</v>
      </c>
      <c r="E28" s="137">
        <f t="shared" si="0"/>
        <v>0</v>
      </c>
      <c r="F28" s="137">
        <f t="shared" si="0"/>
        <v>0</v>
      </c>
      <c r="G28" s="137">
        <f t="shared" si="0"/>
        <v>0</v>
      </c>
      <c r="H28" s="137">
        <f t="shared" si="0"/>
        <v>0</v>
      </c>
      <c r="I28" s="137">
        <f t="shared" si="0"/>
        <v>0</v>
      </c>
    </row>
    <row r="29" spans="1:9" ht="15.75">
      <c r="A29" s="17" t="s">
        <v>19</v>
      </c>
      <c r="B29" s="18"/>
      <c r="C29" s="138">
        <f t="shared" ref="C29:I29" si="1">COUNTIF(C6:C26,"não")</f>
        <v>0</v>
      </c>
      <c r="D29" s="138">
        <f t="shared" si="1"/>
        <v>0</v>
      </c>
      <c r="E29" s="138">
        <f t="shared" si="1"/>
        <v>0</v>
      </c>
      <c r="F29" s="138">
        <f t="shared" si="1"/>
        <v>0</v>
      </c>
      <c r="G29" s="138">
        <f t="shared" si="1"/>
        <v>0</v>
      </c>
      <c r="H29" s="138">
        <f t="shared" si="1"/>
        <v>0</v>
      </c>
      <c r="I29" s="138">
        <f t="shared" si="1"/>
        <v>0</v>
      </c>
    </row>
    <row r="30" spans="1:9" ht="15.75">
      <c r="A30" s="14" t="s">
        <v>11</v>
      </c>
      <c r="C30" s="136">
        <f t="shared" ref="C30:I30" si="2">COUNTIF(C6:C26,"ausente")</f>
        <v>0</v>
      </c>
      <c r="D30" s="136">
        <f t="shared" si="2"/>
        <v>0</v>
      </c>
      <c r="E30" s="136">
        <f t="shared" si="2"/>
        <v>0</v>
      </c>
      <c r="F30" s="136">
        <f t="shared" si="2"/>
        <v>0</v>
      </c>
      <c r="G30" s="136">
        <f t="shared" si="2"/>
        <v>0</v>
      </c>
      <c r="H30" s="136">
        <f t="shared" si="2"/>
        <v>0</v>
      </c>
      <c r="I30" s="136">
        <f t="shared" si="2"/>
        <v>0</v>
      </c>
    </row>
    <row r="31" spans="1:9" ht="15.75">
      <c r="A31" s="19" t="s">
        <v>20</v>
      </c>
      <c r="B31" s="20"/>
      <c r="C31" s="139">
        <f t="shared" ref="C31:I31" si="3">COUNTIF(C6:C26,"abstenção")</f>
        <v>0</v>
      </c>
      <c r="D31" s="139">
        <f t="shared" si="3"/>
        <v>0</v>
      </c>
      <c r="E31" s="139">
        <f t="shared" si="3"/>
        <v>0</v>
      </c>
      <c r="F31" s="139">
        <f t="shared" si="3"/>
        <v>0</v>
      </c>
      <c r="G31" s="139">
        <f t="shared" si="3"/>
        <v>0</v>
      </c>
      <c r="H31" s="139">
        <f t="shared" si="3"/>
        <v>0</v>
      </c>
      <c r="I31" s="139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6" sqref="B6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9" t="s">
        <v>57</v>
      </c>
    </row>
    <row r="7" spans="1:25" ht="15.75">
      <c r="A7" s="129" t="s">
        <v>53</v>
      </c>
    </row>
    <row r="8" spans="1:25" ht="15.75">
      <c r="A8" s="129" t="s">
        <v>60</v>
      </c>
    </row>
    <row r="9" spans="1:25" ht="15.75">
      <c r="A9" s="130" t="s">
        <v>61</v>
      </c>
    </row>
    <row r="10" spans="1:25" ht="15.75">
      <c r="A10" s="129" t="s">
        <v>29</v>
      </c>
    </row>
    <row r="11" spans="1:25" ht="15.75">
      <c r="A11" s="129" t="s">
        <v>62</v>
      </c>
    </row>
    <row r="12" spans="1:25" ht="15.75">
      <c r="A12" s="129" t="s">
        <v>22</v>
      </c>
    </row>
    <row r="13" spans="1:25" ht="15.75">
      <c r="A13" s="129" t="s">
        <v>23</v>
      </c>
    </row>
    <row r="14" spans="1:25" ht="15.75">
      <c r="A14" s="129" t="s">
        <v>24</v>
      </c>
    </row>
    <row r="15" spans="1:25" ht="15.75">
      <c r="A15" s="129" t="s">
        <v>63</v>
      </c>
    </row>
    <row r="16" spans="1:25" ht="15.75">
      <c r="A16" s="129" t="s">
        <v>64</v>
      </c>
    </row>
    <row r="17" spans="1:25" ht="15.75">
      <c r="A17" s="129" t="s">
        <v>65</v>
      </c>
    </row>
    <row r="18" spans="1:25" ht="15.75">
      <c r="A18" s="129" t="s">
        <v>25</v>
      </c>
    </row>
    <row r="19" spans="1:25" ht="15.75">
      <c r="A19" s="129" t="s">
        <v>66</v>
      </c>
    </row>
    <row r="20" spans="1:25" ht="15.75">
      <c r="A20" s="129" t="s">
        <v>38</v>
      </c>
    </row>
    <row r="21" spans="1:25" ht="15.75">
      <c r="A21" s="129" t="s">
        <v>26</v>
      </c>
    </row>
    <row r="22" spans="1:25" ht="15.75">
      <c r="A22" s="129" t="s">
        <v>67</v>
      </c>
    </row>
    <row r="23" spans="1:25" ht="15.75">
      <c r="A23" s="129" t="s">
        <v>27</v>
      </c>
    </row>
    <row r="24" spans="1:25" ht="15.75">
      <c r="A24" s="129" t="s">
        <v>55</v>
      </c>
    </row>
    <row r="25" spans="1:25" ht="15.75">
      <c r="A25" s="129" t="s">
        <v>68</v>
      </c>
    </row>
    <row r="26" spans="1:25" ht="15.75">
      <c r="A26" s="129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2025-03-07T20:48:09Z</dcterms:modified>
</cp:coreProperties>
</file>