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66\Downloads\"/>
    </mc:Choice>
  </mc:AlternateContent>
  <xr:revisionPtr revIDLastSave="0" documentId="8_{B18B6628-36FB-4A1D-98EA-ECBED616834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2" l="1"/>
  <c r="D27" i="2"/>
  <c r="C28" i="2"/>
  <c r="D28" i="2"/>
  <c r="C29" i="2"/>
  <c r="D29" i="2"/>
  <c r="C30" i="2"/>
  <c r="D30" i="2"/>
  <c r="I27" i="2"/>
  <c r="I28" i="2"/>
  <c r="I29" i="2"/>
  <c r="I30" i="2"/>
  <c r="H27" i="2"/>
  <c r="H28" i="2"/>
  <c r="H29" i="2"/>
  <c r="H30" i="2"/>
  <c r="E27" i="3"/>
  <c r="E28" i="3"/>
  <c r="E29" i="3"/>
  <c r="E30" i="3"/>
  <c r="C27" i="3"/>
  <c r="D27" i="3"/>
  <c r="C28" i="3"/>
  <c r="D28" i="3"/>
  <c r="C29" i="3"/>
  <c r="D29" i="3"/>
  <c r="C30" i="3"/>
  <c r="D30" i="3"/>
  <c r="G27" i="2"/>
  <c r="G28" i="2"/>
  <c r="G29" i="2"/>
  <c r="G30" i="2"/>
  <c r="C28" i="10"/>
  <c r="D28" i="10"/>
  <c r="C29" i="10"/>
  <c r="D29" i="10"/>
  <c r="C30" i="10"/>
  <c r="D30" i="10"/>
  <c r="C31" i="10"/>
  <c r="D31" i="10"/>
  <c r="E27" i="2" l="1"/>
  <c r="E28" i="2"/>
  <c r="E29" i="2"/>
  <c r="E30" i="2"/>
  <c r="A4" i="14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<sst xmlns="http://schemas.openxmlformats.org/spreadsheetml/2006/main" count="575" uniqueCount="137">
  <si>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</si>
  <si>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</si>
  <si>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</si>
  <si>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</si>
  <si>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</si>
  <si>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</si>
  <si>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</si>
  <si>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</si>
  <si>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</si>
  <si>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</si>
  <si>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</si>
  <si>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</si>
  <si>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</si>
  <si>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</si>
  <si>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</si>
  <si>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</si>
  <si>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</si>
  <si>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</si>
  <si>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</si>
  <si>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</si>
  <si>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</si>
  <si>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</si>
  <si>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</si>
  <si>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</si>
  <si>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</si>
  <si>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</si>
  <si>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</si>
  <si>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</si>
  <si>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</si>
  <si>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</si>
  <si>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</si>
  <si>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</si>
  <si>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</si>
  <si>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</si>
  <si>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</si>
  <si>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</si>
  <si>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</si>
  <si>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</si>
  <si>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</si>
  <si>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</si>
  <si>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</si>
  <si>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</si>
  <si>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</si>
  <si>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</si>
  <si>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</si>
  <si>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</si>
  <si>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</si>
  <si>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</si>
  <si>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</si>
  <si>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</si>
  <si>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</si>
  <si>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</si>
  <si>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</si>
  <si>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</si>
  <si>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</si>
  <si>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</si>
  <si>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</si>
  <si>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</si>
  <si>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</si>
  <si>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</si>
  <si>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</si>
  <si>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</si>
  <si>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</si>
  <si>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</si>
  <si>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</si>
  <si>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</si>
  <si>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</si>
  <si>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</si>
  <si>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</si>
  <si>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</si>
  <si>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</si>
  <si>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</si>
  <si>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</si>
  <si>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</si>
  <si>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</si>
  <si>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t>pela ausência da autora, será pautada na próxima sessão</t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</si>
  <si>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</si>
  <si>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</si>
  <si>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</si>
  <si>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</si>
  <si>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</si>
  <si>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</si>
  <si>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</si>
  <si>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</si>
  <si>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</si>
  <si>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</si>
  <si>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</si>
  <si>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</si>
  <si>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</si>
  <si>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</si>
  <si>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</si>
  <si>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</si>
  <si>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</si>
  <si>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</si>
  <si>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</si>
  <si>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</si>
  <si>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</si>
  <si>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</si>
  <si>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r>
      <t>MOÇÃO DE RECONHECIMENTO Nº 449/2025 – RODRIGO GANSINHO –</t>
    </r>
    <r>
      <rPr>
        <sz val="11"/>
        <color theme="1"/>
        <rFont val="Arial"/>
        <family val="2"/>
      </rPr>
      <t xml:space="preserve"> Ao professor Betinho pelo trabalho de excelência na iniciação, na formação e no aperfeiçoamento de jovens atletas com comprometimento, visão e principalmente amor pelo que faz.</t>
    </r>
  </si>
  <si>
    <r>
      <t>MOÇÃO DE RECONHECIMENTO Nº 456/2025 – GABRIEL SAÚDE –</t>
    </r>
    <r>
      <rPr>
        <sz val="11"/>
        <color theme="1"/>
        <rFont val="Arial"/>
        <family val="2"/>
      </rPr>
      <t xml:space="preserve"> À Senhora Fabiana Dias Ferreira, pela trajetória de dedicação à saúde, ao voluntariado e ao bem-estar da comunidade osasquense.</t>
    </r>
  </si>
  <si>
    <r>
      <t xml:space="preserve">MOÇÃO DE APLAUSOS Nº 461/2025 – CANTOR GOLEIRO – </t>
    </r>
    <r>
      <rPr>
        <sz val="11"/>
        <color theme="1"/>
        <rFont val="Arial"/>
        <family val="2"/>
      </rPr>
      <t>Ao Departamento Social do Espaço Oficial da Torcida Independente Zona Oeste do Bairro Santa Maria, consolidando-se como ponto de apoio e solidariedade para a comunidade.</t>
    </r>
  </si>
  <si>
    <r>
      <t>MOÇÃO DE RECONHECIMENTO Nº 460/2025 – CARMÔNIO BASTOS –</t>
    </r>
    <r>
      <rPr>
        <sz val="11"/>
        <color theme="1"/>
        <rFont val="Arial"/>
        <family val="2"/>
      </rPr>
      <t xml:space="preserve"> Às atletas Gabriela Silva Oliveira e Isabella Akemi Ishikawa, que representaram o Brasil no Campeonato Sul-Americano de Ginástica Rítmica, conquistando o primeiro lugar.</t>
    </r>
  </si>
  <si>
    <r>
      <t xml:space="preserve">MOÇÃO DE APLAUSOS Nº 462/2025 – ELSA OLIVEIRA – </t>
    </r>
    <r>
      <rPr>
        <sz val="11"/>
        <color theme="1"/>
        <rFont val="Arial"/>
        <family val="2"/>
      </rPr>
      <t>Ao Departamento de Serviços e Obras da Secretaria da Educação do Município de Osasco, pelo papel essencial no bom funcionamento das unidades escolares da rede de ensino do município.</t>
    </r>
  </si>
  <si>
    <r>
      <t xml:space="preserve">MOÇÃO DE RECONHECIMENTO Nº 463/2025 – GABRIEL SAÚDE – </t>
    </r>
    <r>
      <rPr>
        <sz val="11"/>
        <color theme="1"/>
        <rFont val="Arial"/>
        <family val="2"/>
      </rPr>
      <t>Aos Agentes Comunitários de Saúde, pelo trabalho essencial que desempenham na promoção da saúde preventiva em nossa cidade.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</si>
  <si>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</si>
  <si>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54ª SESSÃO ORDINÁRIA</t>
  </si>
  <si>
    <t>DIA 30 DE SETEMBRO DE 2025 - TERÇA-FEIRA</t>
  </si>
  <si>
    <t>Justificativa de ausência do Vereador Heber do Juntoz.</t>
  </si>
  <si>
    <t>Projeto de Lei Complementar nº 12/2025– Prefeito do Município de Osasco – Altera a Lei Complementar nº 299, de 31 de agosto de 2015, que institui o abono de atividade complementar da guarda civil municipal.</t>
  </si>
  <si>
    <t>Projeto de Lei Complementar nº 13/2025– Prefeito do Município de Osasco – Dispõe sobre a revisão de padrão de vencimentos de agente de defesa civil e vigia municipal e dá outras providências.</t>
  </si>
  <si>
    <t>Ofício Prolegis nº 202503186681– Prefeito do Município de Osasco – Informa a sanção da Lei nº 5.420, de 24 de setembro de 2025, referente ao Projeto de Lei nº 56/2023, de autoria do vereador Josias da Juco, que dispõe sobre a denominação de base de vigilância Juarez Lustosa.</t>
  </si>
  <si>
    <t>Ofício Prolegis nº 202503186600– Prefeito do Município de Osasco – Solicita a retirada do Projeto de Lei Complementar nº 24/2020 que dispõe sobre a alteração de zoneamento da área que especifica.</t>
  </si>
  <si>
    <t>Decretos nº 14.823, 14.824, 14.827 e 14.828 de setembro de 2025 que dispõe sobre abertura de crédito adicional suplementar ao orçamento vigente e dá outras providências.</t>
  </si>
  <si>
    <t>Decreto nº 14.822, 14.826, 14.829 e 14.830 de setembro de 2025 que dispõe sobre abertura de crédito adicional especial ao orçamento vigente e dá outras providências.</t>
  </si>
  <si>
    <t>Decreto nº 14.825, de 18 de setembro de 2025 que dispõe sobre a alteração do decreto nº 14.493, de 29 de novembro de 2024, que regulamenta a utilização dos equipamentos públicos administrados pela Secretaria da Cultura.</t>
  </si>
  <si>
    <t>Projeto de Lei nº 39/2025– Ralfi Silva – Dispõe sobre as diretrizes para as ações da Política Municipal de medicamentos formulados de derivado vegetal à base de canabidiol, em associação com outras substâncias canabinoides, incluindo o tetrahidrocanabidiol, em caráter de excepcionalidade pelo Poder Executivo nas unidades de saúde pública municipal e privada conveniada ao Sistema Único de Saúde - SUS, no Município de Osasco.</t>
  </si>
  <si>
    <t>Projeto de Lei nº 180/2025– Stephane Rossi – Institui a Semana Municipal de Combate à Automutilação e ao Suicídio de Crianças e Adolescentes.</t>
  </si>
  <si>
    <t>Substitutivo nº 1 ao Projeto de Lei nº 54/2025– Alexandre Capriotti – Dispõe sobre a proibição do plantio de espécies vegetais tóxicas ou que tenham espinhos nas áreas públicas no âmbito do Município de Osasco.</t>
  </si>
  <si>
    <t>Projeto de Decreto Legislativo nº 54/2025 – Alexandre Capriotti – Dispõe sobre a concessão de cartão de prata ao senhor Bruno Marcello de Oliveira Lima.</t>
  </si>
  <si>
    <t>Projeto de Decreto Legislativo nº 55/2025 – Elsa Oliveira – Dispõe sobre o Título de Cidadã Osasquense à Senhora Maria Helena Dias.</t>
  </si>
  <si>
    <r>
      <t xml:space="preserve">MOÇÃO DE RECONHECIMENTO Nº 458/2025 – GUILHERME PRADO – </t>
    </r>
    <r>
      <rPr>
        <sz val="11"/>
        <color theme="1"/>
        <rFont val="Arial"/>
        <family val="2"/>
      </rPr>
      <t>Ao Departamento de Educação para o Trânsito, da Secretaria de Transportes e Mobilidade Urbana (SETRAN), pela relevante atuação na realização da Semana Nacional de Trânsito de 2025.</t>
    </r>
  </si>
  <si>
    <r>
      <t>MOÇÃO DE APLAUSOS Nº 464/2025 – ELSA OLIVEIRA –</t>
    </r>
    <r>
      <rPr>
        <sz val="11"/>
        <color theme="1"/>
        <rFont val="Arial"/>
        <family val="2"/>
      </rPr>
      <t xml:space="preserve"> Ao Departamento de Apoio e Inclusão ao Trabalhador, vinculado à Secretaria de Trabalho, Emprego e Renda, pela realização do Feirão da Empregabilidade da Pessoa com Deficiência, ocorrido em 19 de setembro.</t>
    </r>
  </si>
  <si>
    <t>pela ausência da autora, será pautada na próxima sessão.</t>
  </si>
  <si>
    <r>
      <t xml:space="preserve">MOÇÃO DE APLAUSOS Nº 466/2025 – RALFI – </t>
    </r>
    <r>
      <rPr>
        <sz val="11"/>
        <color theme="1"/>
        <rFont val="Arial"/>
        <family val="2"/>
      </rPr>
      <t>Ao Vereador Laércio Mendonça pela organização da campanha de doação de sangue.</t>
    </r>
  </si>
  <si>
    <r>
      <t xml:space="preserve">MOÇÃO DE CONGRATULAÇÕES Nº 467/2025 – STEPHANE ROSSI – </t>
    </r>
    <r>
      <rPr>
        <sz val="11"/>
        <color theme="1"/>
        <rFont val="Arial"/>
        <family val="2"/>
      </rPr>
      <t>À atleta osasquense Beatriz de Araujo Flausino, pela brilhante conquista da Medalha de Ouro nos 100 metros peito, classe SB14, no Mundial de Natação Paralímpica, realizado em Singapura.</t>
    </r>
  </si>
  <si>
    <r>
      <t xml:space="preserve">MOÇÃO DE APLAUSOS Nº 469/2025 – GABRIEL SAÚDE – </t>
    </r>
    <r>
      <rPr>
        <sz val="11"/>
        <color theme="1"/>
        <rFont val="Arial"/>
        <family val="2"/>
      </rPr>
      <t>Ao senhor Dermânio Lima Ribeiro, maratonista, comunicador e fotógrafo pericial, que se destaca como exemplo de superação, disciplina e amor ao esporte.</t>
    </r>
  </si>
  <si>
    <t>VETO ACEITO</t>
  </si>
  <si>
    <r>
      <t xml:space="preserve">VETO TOTAL AO PROJETO DE LEI Nº 56/2025 – PEDRINHO CANTAGESSI - </t>
    </r>
    <r>
      <rPr>
        <sz val="12"/>
        <color theme="1"/>
        <rFont val="Arial"/>
        <family val="2"/>
      </rPr>
      <t>Dispõe sobre a denominação da Viela Willian Gomes de Souza, no Jardim Bandeiras.</t>
    </r>
  </si>
  <si>
    <r>
      <t xml:space="preserve">VETO PARCIAL AO PROJETO DE LEI Nº 25/2025 – SÉRGIO FONTELLAS – </t>
    </r>
    <r>
      <rPr>
        <sz val="12"/>
        <color theme="1"/>
        <rFont val="Arial"/>
        <family val="2"/>
      </rPr>
      <t>Dispõe sobre a criação da carteira de identificação de pessoas acometidas por Alzheimer.</t>
    </r>
  </si>
  <si>
    <r>
      <t>VETO TOTAL AO PROJETO DE LEI Nº 26/2025 – SÉRGIO FONTELLAS –</t>
    </r>
    <r>
      <rPr>
        <sz val="12"/>
        <color theme="1"/>
        <rFont val="Arial"/>
        <family val="2"/>
      </rPr>
      <t xml:space="preserve"> Institui a certificação municipal Selo Empresa Amiga dos Autistas.</t>
    </r>
  </si>
  <si>
    <r>
      <t>PROJETO DE LEI Nº 36/2025 - STEPHANE ROSSI –</t>
    </r>
    <r>
      <rPr>
        <sz val="14"/>
        <color theme="1"/>
        <rFont val="Arial"/>
        <family val="2"/>
      </rPr>
      <t xml:space="preserve"> Institui o Dia Municipal do Canto pela Paz.</t>
    </r>
  </si>
  <si>
    <r>
      <t>PROJETO DE LEI Nº 163/2025 – HELDER OLIVEIRA -</t>
    </r>
    <r>
      <rPr>
        <sz val="14"/>
        <color theme="1"/>
        <rFont val="Arial"/>
        <family val="2"/>
      </rPr>
      <t xml:space="preserve"> Institui a Semana Municipal do Empreendedor.</t>
    </r>
  </si>
  <si>
    <r>
      <t>PROJETO DE DECRETO LEGISLATIVO Nº 49/2025 – HELDER OLIVEIRA -</t>
    </r>
    <r>
      <rPr>
        <sz val="11"/>
        <color theme="1"/>
        <rFont val="Arial"/>
        <family val="2"/>
      </rPr>
      <t xml:space="preserve"> Dispõe sobre a concessão de Cartão de Prata ao Senhor Archimedes Soares.</t>
    </r>
  </si>
  <si>
    <r>
      <t>PROJETO DE DECRETO LEGISLATIVO Nº 50/2025 – HELDER OLIVEIRA -</t>
    </r>
    <r>
      <rPr>
        <sz val="11"/>
        <color theme="1"/>
        <rFont val="Arial"/>
        <family val="2"/>
      </rPr>
      <t xml:space="preserve"> Dispõe sobre a concessão de Medalha Antônio Raposo Tavares e Diploma Cidade de Osasco ao Senhor Edson dos Santos Pereira.</t>
    </r>
  </si>
  <si>
    <r>
      <t xml:space="preserve">PROJETO DE LEI Nº 157/2025 – PREFEITO DO MUNICÍPIO DE OSASCO – </t>
    </r>
    <r>
      <rPr>
        <sz val="11"/>
        <color theme="1"/>
        <rFont val="Arial"/>
        <family val="2"/>
      </rPr>
      <t>Dispõe sobre a alteração da Lei n° 5.311, de 22 de dezembro de 2023, que autorizou o Poder Executivo a contratar operação de crédito internacional com o Fundo Financeiro para o Desenvolvimento da Bacia do Prata - FONPLATA, e a oferecer garantias.</t>
    </r>
  </si>
  <si>
    <r>
      <t xml:space="preserve">PROJETO DE LEI Nº 177/2025 – PREFEITO DO MUNICÍPIO DE OSASCO – </t>
    </r>
    <r>
      <rPr>
        <sz val="11"/>
        <color theme="1"/>
        <rFont val="Arial"/>
        <family val="2"/>
      </rPr>
      <t>Dispõe criação de crédito adicional especial ao orçamento vigente e dá outras providências.</t>
    </r>
  </si>
  <si>
    <r>
      <t xml:space="preserve">PROJETO DE LEI Nº 93/2025 - LÚCIA DA SAÚDE – </t>
    </r>
    <r>
      <rPr>
        <sz val="11"/>
        <color theme="1"/>
        <rFont val="Arial"/>
        <family val="2"/>
      </rPr>
      <t xml:space="preserve">Institui a Semana de Prevenção e Apoio à Ansiedade no Município de Osasco.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</si>
</sst>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7" sqref="A5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105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106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6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6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62"/>
      <c r="F16" s="88">
        <v>2</v>
      </c>
      <c r="G16" s="102" t="s">
        <v>53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62"/>
      <c r="F17" s="88">
        <v>2</v>
      </c>
      <c r="G17" s="102" t="s">
        <v>53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10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6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2</v>
      </c>
      <c r="G21" s="102" t="s">
        <v>53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73</v>
      </c>
      <c r="B24" s="88">
        <v>2</v>
      </c>
      <c r="C24" s="102" t="s">
        <v>53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9</v>
      </c>
      <c r="C26" s="96" t="s">
        <v>46</v>
      </c>
      <c r="D26" s="98"/>
      <c r="E26" s="96"/>
      <c r="F26" s="98">
        <v>13</v>
      </c>
      <c r="G26" s="96" t="s">
        <v>46</v>
      </c>
      <c r="H26" s="100"/>
      <c r="I26" s="101"/>
      <c r="J26" s="98">
        <v>15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47</v>
      </c>
      <c r="D27" s="98"/>
      <c r="E27" s="96"/>
      <c r="F27" s="98">
        <v>8</v>
      </c>
      <c r="G27" s="96" t="s">
        <v>47</v>
      </c>
      <c r="H27" s="100"/>
      <c r="I27" s="96"/>
      <c r="J27" s="98">
        <v>6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73</v>
      </c>
      <c r="V32" s="12"/>
      <c r="W32" s="12"/>
    </row>
    <row r="33" spans="1:23" ht="18">
      <c r="A33" s="34" t="s">
        <v>56</v>
      </c>
      <c r="V33" s="12"/>
      <c r="W33" s="12"/>
    </row>
    <row r="34" spans="1:23" ht="18">
      <c r="A34" s="34" t="s">
        <v>69</v>
      </c>
      <c r="V34" s="12"/>
      <c r="W34" s="12"/>
    </row>
    <row r="35" spans="1:23" ht="18">
      <c r="A35" s="34" t="s">
        <v>28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 t="s">
        <v>60</v>
      </c>
      <c r="V41" s="12"/>
      <c r="W41" s="12"/>
    </row>
    <row r="42" spans="1:23" ht="18">
      <c r="A42" s="34" t="s">
        <v>58</v>
      </c>
      <c r="V42" s="12"/>
      <c r="W42" s="12"/>
    </row>
    <row r="43" spans="1:23" ht="18">
      <c r="A43" s="34" t="s">
        <v>25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61</v>
      </c>
      <c r="B45" s="7"/>
      <c r="V45" s="12"/>
      <c r="W45" s="32"/>
    </row>
    <row r="46" spans="1:23" ht="18">
      <c r="A46" s="34" t="s">
        <v>26</v>
      </c>
      <c r="W46" s="12"/>
    </row>
    <row r="47" spans="1:23" ht="18">
      <c r="A47" s="34" t="s">
        <v>70</v>
      </c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26</v>
      </c>
    </row>
    <row r="53" spans="1:23" ht="18">
      <c r="A53" s="34" t="s">
        <v>70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C39"/>
  <sheetViews>
    <sheetView workbookViewId="0">
      <pane xSplit="1" topLeftCell="B1" activePane="topRight" state="frozen"/>
      <selection pane="topRight" activeCell="S5" sqref="S5"/>
    </sheetView>
  </sheetViews>
  <sheetFormatPr defaultColWidth="9.140625" defaultRowHeight="12.75"/>
  <cols>
    <col min="1" max="1" width="47.7109375" style="22" customWidth="1"/>
    <col min="2" max="15" width="23.7109375" style="22" customWidth="1"/>
    <col min="16" max="16" width="19" style="22" customWidth="1"/>
    <col min="17" max="17" width="26.28515625" style="22" customWidth="1"/>
    <col min="18" max="18" width="22.140625" style="22" customWidth="1"/>
    <col min="19" max="29" width="22.7109375" style="22" customWidth="1"/>
    <col min="30" max="16384" width="9.140625" style="22"/>
  </cols>
  <sheetData>
    <row r="1" spans="1:29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29" ht="15">
      <c r="A2" s="76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29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29" ht="63" customHeight="1">
      <c r="A4" s="51" t="str">
        <f>'[1]MOÇÃO E REQUERIMENTO'!B7</f>
        <v>EXPEDIENTE</v>
      </c>
      <c r="B4" s="50" t="s">
        <v>45</v>
      </c>
      <c r="C4" s="117" t="s">
        <v>107</v>
      </c>
      <c r="D4" s="117" t="s">
        <v>108</v>
      </c>
      <c r="E4" s="117" t="s">
        <v>109</v>
      </c>
      <c r="F4" s="117" t="s">
        <v>110</v>
      </c>
      <c r="G4" s="117" t="s">
        <v>111</v>
      </c>
      <c r="H4" s="117" t="s">
        <v>112</v>
      </c>
      <c r="I4" s="117" t="s">
        <v>113</v>
      </c>
      <c r="J4" s="117" t="s">
        <v>114</v>
      </c>
      <c r="K4" s="117" t="s">
        <v>115</v>
      </c>
      <c r="L4" s="117" t="s">
        <v>116</v>
      </c>
      <c r="M4" s="117" t="s">
        <v>117</v>
      </c>
      <c r="N4" s="117" t="s">
        <v>118</v>
      </c>
      <c r="O4" s="117" t="s">
        <v>119</v>
      </c>
      <c r="P4" s="112" t="s">
        <v>34</v>
      </c>
      <c r="Q4" s="124"/>
      <c r="R4" s="50" t="s">
        <v>27</v>
      </c>
      <c r="S4" s="84" t="s">
        <v>98</v>
      </c>
      <c r="T4" s="84" t="s">
        <v>99</v>
      </c>
      <c r="U4" s="84" t="s">
        <v>120</v>
      </c>
      <c r="V4" s="84" t="s">
        <v>101</v>
      </c>
      <c r="W4" s="84" t="s">
        <v>100</v>
      </c>
      <c r="X4" s="84" t="s">
        <v>102</v>
      </c>
      <c r="Y4" s="84" t="s">
        <v>103</v>
      </c>
      <c r="Z4" s="84" t="s">
        <v>121</v>
      </c>
      <c r="AA4" s="84" t="s">
        <v>123</v>
      </c>
      <c r="AB4" s="84" t="s">
        <v>124</v>
      </c>
      <c r="AC4" s="84" t="s">
        <v>125</v>
      </c>
    </row>
    <row r="5" spans="1:29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113"/>
      <c r="S5" s="113" t="s">
        <v>65</v>
      </c>
      <c r="T5" s="118" t="s">
        <v>74</v>
      </c>
      <c r="U5" s="113" t="s">
        <v>65</v>
      </c>
      <c r="V5" s="118" t="s">
        <v>74</v>
      </c>
      <c r="W5" s="113" t="s">
        <v>65</v>
      </c>
      <c r="X5" s="113" t="s">
        <v>65</v>
      </c>
      <c r="Y5" s="118" t="s">
        <v>74</v>
      </c>
      <c r="Z5" s="118" t="s">
        <v>122</v>
      </c>
      <c r="AA5" s="118" t="s">
        <v>74</v>
      </c>
      <c r="AB5" s="118" t="s">
        <v>122</v>
      </c>
      <c r="AC5" s="113" t="s">
        <v>65</v>
      </c>
    </row>
    <row r="6" spans="1:29" ht="15.75">
      <c r="A6" s="127" t="s">
        <v>51</v>
      </c>
      <c r="R6" s="23"/>
    </row>
    <row r="7" spans="1:29" ht="15.75">
      <c r="A7" s="127" t="s">
        <v>68</v>
      </c>
      <c r="R7" s="23"/>
    </row>
    <row r="8" spans="1:29" ht="15.75">
      <c r="A8" s="127" t="s">
        <v>54</v>
      </c>
      <c r="R8" s="23"/>
    </row>
    <row r="9" spans="1:29" ht="15.75">
      <c r="A9" s="128" t="s">
        <v>55</v>
      </c>
      <c r="R9" s="23"/>
    </row>
    <row r="10" spans="1:29" ht="15.75">
      <c r="A10" s="127" t="s">
        <v>28</v>
      </c>
      <c r="R10" s="23"/>
    </row>
    <row r="11" spans="1:29" ht="15.75">
      <c r="A11" s="127" t="s">
        <v>56</v>
      </c>
      <c r="R11" s="23"/>
    </row>
    <row r="12" spans="1:29" ht="15.75">
      <c r="A12" s="127" t="s">
        <v>22</v>
      </c>
      <c r="R12" s="23"/>
    </row>
    <row r="13" spans="1:29" ht="15.75">
      <c r="A13" s="127" t="s">
        <v>23</v>
      </c>
      <c r="R13" s="23"/>
    </row>
    <row r="14" spans="1:29" ht="15.75">
      <c r="A14" s="127" t="s">
        <v>24</v>
      </c>
      <c r="R14" s="23"/>
    </row>
    <row r="15" spans="1:29" ht="15.75">
      <c r="A15" s="127" t="s">
        <v>57</v>
      </c>
      <c r="R15" s="23"/>
    </row>
    <row r="16" spans="1:29" ht="15.75">
      <c r="A16" s="127" t="s">
        <v>58</v>
      </c>
      <c r="R16" s="23"/>
    </row>
    <row r="17" spans="1:18" ht="15.75">
      <c r="A17" s="127" t="s">
        <v>59</v>
      </c>
      <c r="R17" s="23"/>
    </row>
    <row r="18" spans="1:18" ht="15.75">
      <c r="A18" s="127" t="s">
        <v>25</v>
      </c>
      <c r="R18" s="23"/>
    </row>
    <row r="19" spans="1:18" ht="15.75">
      <c r="A19" s="127" t="s">
        <v>60</v>
      </c>
      <c r="R19" s="23"/>
    </row>
    <row r="20" spans="1:18" ht="15.75">
      <c r="A20" s="127" t="s">
        <v>69</v>
      </c>
      <c r="R20" s="23"/>
    </row>
    <row r="21" spans="1:18" ht="15.75">
      <c r="A21" s="127" t="s">
        <v>26</v>
      </c>
      <c r="R21" s="23"/>
    </row>
    <row r="22" spans="1:18" ht="15.75">
      <c r="A22" s="127" t="s">
        <v>61</v>
      </c>
      <c r="R22" s="23"/>
    </row>
    <row r="23" spans="1:18" ht="15.75">
      <c r="A23" s="127" t="s">
        <v>70</v>
      </c>
      <c r="R23" s="23"/>
    </row>
    <row r="24" spans="1:18" ht="15.75">
      <c r="A24" s="127" t="s">
        <v>49</v>
      </c>
      <c r="R24" s="23"/>
    </row>
    <row r="25" spans="1:18" ht="15.75">
      <c r="A25" s="127" t="s">
        <v>73</v>
      </c>
      <c r="R25" s="23"/>
    </row>
    <row r="26" spans="1:18" ht="15.75">
      <c r="A26" s="127" t="s">
        <v>62</v>
      </c>
      <c r="R26" s="23"/>
    </row>
    <row r="27" spans="1:18" s="25" customFormat="1">
      <c r="A27" s="24" t="s">
        <v>18</v>
      </c>
    </row>
    <row r="28" spans="1:18" s="27" customFormat="1">
      <c r="A28" s="26" t="s">
        <v>19</v>
      </c>
    </row>
    <row r="29" spans="1:18">
      <c r="A29" s="28" t="s">
        <v>11</v>
      </c>
    </row>
    <row r="30" spans="1:18" s="30" customFormat="1">
      <c r="A30" s="29" t="s">
        <v>20</v>
      </c>
    </row>
    <row r="32" spans="1:1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D37"/>
  <sheetViews>
    <sheetView zoomScale="80" zoomScaleNormal="80" workbookViewId="0">
      <pane xSplit="1" topLeftCell="B1" activePane="topRight" state="frozen"/>
      <selection activeCell="A4" sqref="A4"/>
      <selection pane="topRight" activeCell="C15" sqref="C15"/>
    </sheetView>
  </sheetViews>
  <sheetFormatPr defaultRowHeight="15"/>
  <cols>
    <col min="1" max="1" width="61" customWidth="1"/>
    <col min="2" max="2" width="28.7109375" bestFit="1" customWidth="1"/>
    <col min="3" max="5" width="36.7109375" customWidth="1"/>
    <col min="6" max="6" width="24.7109375" customWidth="1"/>
    <col min="7" max="49" width="36.7109375" customWidth="1"/>
  </cols>
  <sheetData>
    <row r="1" spans="1:49" ht="18" customHeight="1">
      <c r="A1" s="76" t="s">
        <v>8</v>
      </c>
      <c r="B1" s="49"/>
      <c r="C1" s="74"/>
      <c r="D1" s="74"/>
      <c r="E1" s="74"/>
    </row>
    <row r="2" spans="1:49" ht="18" customHeight="1">
      <c r="A2" s="76" t="s">
        <v>105</v>
      </c>
      <c r="B2" s="49"/>
      <c r="C2" s="74"/>
      <c r="D2" s="74"/>
      <c r="E2" s="74"/>
    </row>
    <row r="3" spans="1:49" ht="17.25" customHeight="1">
      <c r="A3" s="76" t="s">
        <v>106</v>
      </c>
      <c r="B3" s="49"/>
      <c r="C3" s="74"/>
      <c r="D3" s="74"/>
      <c r="E3" s="74"/>
      <c r="G3" s="116"/>
      <c r="H3" s="116"/>
      <c r="I3" s="116"/>
    </row>
    <row r="4" spans="1:49" ht="90.75" customHeight="1" thickBot="1">
      <c r="A4" s="52" t="s">
        <v>5</v>
      </c>
      <c r="B4" s="108" t="s">
        <v>31</v>
      </c>
      <c r="C4" s="142" t="s">
        <v>127</v>
      </c>
      <c r="D4" s="142" t="s">
        <v>128</v>
      </c>
      <c r="E4" s="142" t="s">
        <v>129</v>
      </c>
      <c r="F4" s="109" t="s">
        <v>6</v>
      </c>
      <c r="G4" s="140" t="s">
        <v>76</v>
      </c>
      <c r="H4" s="140" t="s">
        <v>130</v>
      </c>
      <c r="I4" s="140" t="s">
        <v>131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3"/>
      <c r="AW4" s="3"/>
    </row>
    <row r="5" spans="1:49" s="81" customFormat="1" ht="48" customHeight="1">
      <c r="A5" s="99" t="s">
        <v>37</v>
      </c>
      <c r="B5" s="78"/>
      <c r="C5" s="113" t="s">
        <v>126</v>
      </c>
      <c r="D5" s="113" t="s">
        <v>126</v>
      </c>
      <c r="E5" s="113" t="s">
        <v>126</v>
      </c>
      <c r="F5" s="79"/>
      <c r="G5" s="143" t="s">
        <v>75</v>
      </c>
      <c r="H5" s="113" t="s">
        <v>104</v>
      </c>
      <c r="I5" s="113" t="s">
        <v>104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</row>
    <row r="6" spans="1:49" ht="20.25">
      <c r="A6" s="46" t="s">
        <v>51</v>
      </c>
      <c r="C6" s="107" t="s">
        <v>66</v>
      </c>
      <c r="D6" s="107" t="s">
        <v>66</v>
      </c>
      <c r="E6" s="107" t="s">
        <v>66</v>
      </c>
      <c r="G6" s="107"/>
      <c r="H6" s="107"/>
      <c r="I6" s="107"/>
    </row>
    <row r="7" spans="1:49" ht="20.25">
      <c r="A7" s="46" t="s">
        <v>68</v>
      </c>
      <c r="C7" s="107" t="s">
        <v>66</v>
      </c>
      <c r="D7" s="107" t="s">
        <v>66</v>
      </c>
      <c r="E7" s="107" t="s">
        <v>66</v>
      </c>
      <c r="G7" s="107"/>
      <c r="H7" s="107"/>
      <c r="I7" s="107"/>
    </row>
    <row r="8" spans="1:49" ht="20.25">
      <c r="A8" s="46" t="s">
        <v>54</v>
      </c>
      <c r="C8" s="107" t="s">
        <v>66</v>
      </c>
      <c r="D8" s="107" t="s">
        <v>66</v>
      </c>
      <c r="E8" s="107" t="s">
        <v>66</v>
      </c>
      <c r="G8" s="107"/>
      <c r="H8" s="107"/>
      <c r="I8" s="107"/>
    </row>
    <row r="9" spans="1:49" ht="20.25">
      <c r="A9" s="82" t="s">
        <v>55</v>
      </c>
      <c r="C9" s="114" t="s">
        <v>72</v>
      </c>
      <c r="D9" s="114" t="s">
        <v>72</v>
      </c>
      <c r="E9" s="114" t="s">
        <v>72</v>
      </c>
      <c r="G9" s="114"/>
      <c r="H9" s="114"/>
      <c r="I9" s="114"/>
    </row>
    <row r="10" spans="1:49" ht="20.25">
      <c r="A10" s="46" t="s">
        <v>28</v>
      </c>
      <c r="C10" s="107" t="s">
        <v>66</v>
      </c>
      <c r="D10" s="107" t="s">
        <v>66</v>
      </c>
      <c r="E10" s="107" t="s">
        <v>66</v>
      </c>
      <c r="G10" s="107"/>
      <c r="H10" s="107"/>
      <c r="I10" s="107"/>
    </row>
    <row r="11" spans="1:49" ht="20.25">
      <c r="A11" s="46" t="s">
        <v>56</v>
      </c>
      <c r="C11" s="107" t="s">
        <v>66</v>
      </c>
      <c r="D11" s="107" t="s">
        <v>66</v>
      </c>
      <c r="E11" s="107" t="s">
        <v>66</v>
      </c>
      <c r="G11" s="107"/>
      <c r="H11" s="107"/>
      <c r="I11" s="107"/>
    </row>
    <row r="12" spans="1:49" ht="20.25">
      <c r="A12" s="46" t="s">
        <v>22</v>
      </c>
      <c r="C12" s="107" t="s">
        <v>66</v>
      </c>
      <c r="D12" s="107" t="s">
        <v>66</v>
      </c>
      <c r="E12" s="107" t="s">
        <v>66</v>
      </c>
      <c r="G12" s="107"/>
      <c r="H12" s="107"/>
      <c r="I12" s="107"/>
    </row>
    <row r="13" spans="1:49" ht="20.25">
      <c r="A13" s="46" t="s">
        <v>23</v>
      </c>
      <c r="C13" s="107" t="s">
        <v>66</v>
      </c>
      <c r="D13" s="107" t="s">
        <v>66</v>
      </c>
      <c r="E13" s="107" t="s">
        <v>66</v>
      </c>
      <c r="G13" s="107"/>
      <c r="H13" s="107"/>
      <c r="I13" s="107"/>
    </row>
    <row r="14" spans="1:49" ht="20.25">
      <c r="A14" s="46" t="s">
        <v>24</v>
      </c>
      <c r="C14" s="107" t="s">
        <v>66</v>
      </c>
      <c r="D14" s="107" t="s">
        <v>66</v>
      </c>
      <c r="E14" s="107" t="s">
        <v>66</v>
      </c>
      <c r="G14" s="107"/>
      <c r="H14" s="107"/>
      <c r="I14" s="107"/>
    </row>
    <row r="15" spans="1:49" ht="20.25">
      <c r="A15" s="46" t="s">
        <v>57</v>
      </c>
      <c r="C15" s="114" t="s">
        <v>53</v>
      </c>
      <c r="D15" s="114" t="s">
        <v>53</v>
      </c>
      <c r="E15" s="114" t="s">
        <v>53</v>
      </c>
      <c r="G15" s="107"/>
      <c r="H15" s="107"/>
      <c r="I15" s="107"/>
    </row>
    <row r="16" spans="1:49" ht="20.25">
      <c r="A16" s="46" t="s">
        <v>58</v>
      </c>
      <c r="C16" s="107" t="s">
        <v>66</v>
      </c>
      <c r="D16" s="107" t="s">
        <v>66</v>
      </c>
      <c r="E16" s="107" t="s">
        <v>66</v>
      </c>
      <c r="G16" s="107"/>
      <c r="H16" s="107"/>
      <c r="I16" s="107"/>
    </row>
    <row r="17" spans="1:134" ht="20.25">
      <c r="A17" s="46" t="s">
        <v>59</v>
      </c>
      <c r="C17" s="114" t="s">
        <v>53</v>
      </c>
      <c r="D17" s="114" t="s">
        <v>53</v>
      </c>
      <c r="E17" s="114" t="s">
        <v>53</v>
      </c>
      <c r="G17" s="141"/>
      <c r="H17" s="141"/>
      <c r="I17" s="107"/>
    </row>
    <row r="18" spans="1:134" ht="20.25">
      <c r="A18" s="46" t="s">
        <v>25</v>
      </c>
      <c r="C18" s="107" t="s">
        <v>66</v>
      </c>
      <c r="D18" s="107" t="s">
        <v>66</v>
      </c>
      <c r="E18" s="107" t="s">
        <v>66</v>
      </c>
      <c r="G18" s="107"/>
      <c r="H18" s="107"/>
      <c r="I18" s="107"/>
    </row>
    <row r="19" spans="1:134" ht="20.25">
      <c r="A19" s="46" t="s">
        <v>60</v>
      </c>
      <c r="C19" s="107" t="s">
        <v>66</v>
      </c>
      <c r="D19" s="107" t="s">
        <v>66</v>
      </c>
      <c r="E19" s="107" t="s">
        <v>66</v>
      </c>
      <c r="G19" s="107"/>
      <c r="H19" s="107"/>
      <c r="I19" s="107"/>
    </row>
    <row r="20" spans="1:134" ht="20.25">
      <c r="A20" s="46" t="s">
        <v>69</v>
      </c>
      <c r="C20" s="114" t="s">
        <v>53</v>
      </c>
      <c r="D20" s="114" t="s">
        <v>53</v>
      </c>
      <c r="E20" s="114" t="s">
        <v>53</v>
      </c>
      <c r="G20" s="114"/>
      <c r="H20" s="114"/>
      <c r="I20" s="114"/>
    </row>
    <row r="21" spans="1:134" ht="20.25">
      <c r="A21" s="46" t="s">
        <v>26</v>
      </c>
      <c r="C21" s="114" t="s">
        <v>53</v>
      </c>
      <c r="D21" s="107" t="s">
        <v>66</v>
      </c>
      <c r="E21" s="107" t="s">
        <v>66</v>
      </c>
      <c r="G21" s="107"/>
      <c r="H21" s="107"/>
      <c r="I21" s="107"/>
    </row>
    <row r="22" spans="1:134" ht="20.25">
      <c r="A22" s="46" t="s">
        <v>61</v>
      </c>
      <c r="C22" s="107" t="s">
        <v>66</v>
      </c>
      <c r="D22" s="107" t="s">
        <v>66</v>
      </c>
      <c r="E22" s="107" t="s">
        <v>66</v>
      </c>
      <c r="G22" s="107"/>
      <c r="H22" s="107"/>
      <c r="I22" s="107"/>
    </row>
    <row r="23" spans="1:134" ht="20.25">
      <c r="A23" s="46" t="s">
        <v>70</v>
      </c>
      <c r="C23" s="107" t="s">
        <v>66</v>
      </c>
      <c r="D23" s="107" t="s">
        <v>66</v>
      </c>
      <c r="E23" s="107" t="s">
        <v>66</v>
      </c>
      <c r="G23" s="107"/>
      <c r="H23" s="107"/>
      <c r="I23" s="107"/>
    </row>
    <row r="24" spans="1:134" ht="20.25">
      <c r="A24" s="46" t="s">
        <v>49</v>
      </c>
      <c r="C24" s="107" t="s">
        <v>66</v>
      </c>
      <c r="D24" s="107" t="s">
        <v>66</v>
      </c>
      <c r="E24" s="107" t="s">
        <v>66</v>
      </c>
      <c r="G24" s="107"/>
      <c r="H24" s="107"/>
      <c r="I24" s="107"/>
    </row>
    <row r="25" spans="1:134" ht="20.25">
      <c r="A25" s="46" t="s">
        <v>73</v>
      </c>
      <c r="C25" s="107" t="s">
        <v>66</v>
      </c>
      <c r="D25" s="107" t="s">
        <v>66</v>
      </c>
      <c r="E25" s="107" t="s">
        <v>66</v>
      </c>
      <c r="G25" s="107"/>
      <c r="H25" s="107"/>
      <c r="I25" s="107"/>
    </row>
    <row r="26" spans="1:134" ht="20.25">
      <c r="A26" s="46" t="s">
        <v>62</v>
      </c>
      <c r="C26" s="107" t="s">
        <v>66</v>
      </c>
      <c r="D26" s="107" t="s">
        <v>66</v>
      </c>
      <c r="E26" s="107" t="s">
        <v>66</v>
      </c>
      <c r="G26" s="107"/>
      <c r="H26" s="107"/>
      <c r="I26" s="107"/>
    </row>
    <row r="27" spans="1:134" s="16" customFormat="1" ht="15.75">
      <c r="A27" s="15" t="s">
        <v>18</v>
      </c>
      <c r="B27"/>
      <c r="C27" s="103">
        <f t="shared" ref="C27:E27" si="0">COUNTIF(C6:C26,"sim")</f>
        <v>16</v>
      </c>
      <c r="D27" s="103">
        <f t="shared" si="0"/>
        <v>17</v>
      </c>
      <c r="E27" s="103">
        <f t="shared" si="0"/>
        <v>17</v>
      </c>
      <c r="F27"/>
      <c r="G27" s="103">
        <f t="shared" ref="G27" si="1">COUNTIF(G6:G26,"sim")</f>
        <v>0</v>
      </c>
      <c r="H27" s="103">
        <f t="shared" ref="H27" si="2">COUNTIF(H6:H26,"sim")</f>
        <v>0</v>
      </c>
      <c r="I27" s="103">
        <f t="shared" ref="I27" si="3">COUNTIF(I6:I26,"sim")</f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</row>
    <row r="28" spans="1:134" s="18" customFormat="1" ht="15.75">
      <c r="A28" s="17" t="s">
        <v>19</v>
      </c>
      <c r="B28"/>
      <c r="C28" s="104">
        <f t="shared" ref="C28:E28" si="4">COUNTIF(C6:C26,"não")</f>
        <v>0</v>
      </c>
      <c r="D28" s="104">
        <f t="shared" si="4"/>
        <v>0</v>
      </c>
      <c r="E28" s="104">
        <f t="shared" si="4"/>
        <v>0</v>
      </c>
      <c r="F28"/>
      <c r="G28" s="104">
        <f t="shared" ref="G28" si="5">COUNTIF(G6:G26,"não")</f>
        <v>0</v>
      </c>
      <c r="H28" s="104">
        <f t="shared" ref="H28" si="6">COUNTIF(H6:H26,"não")</f>
        <v>0</v>
      </c>
      <c r="I28" s="104">
        <f t="shared" ref="I28" si="7">COUNTIF(I6:I26,"não")</f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</row>
    <row r="29" spans="1:134" ht="15.75">
      <c r="A29" s="14" t="s">
        <v>11</v>
      </c>
      <c r="C29" s="40">
        <f t="shared" ref="C29:E29" si="8">COUNTIF(C6:C26,"ausente")</f>
        <v>4</v>
      </c>
      <c r="D29" s="40">
        <f t="shared" si="8"/>
        <v>3</v>
      </c>
      <c r="E29" s="40">
        <f t="shared" si="8"/>
        <v>3</v>
      </c>
      <c r="G29" s="40">
        <f t="shared" ref="G29" si="9">COUNTIF(G6:G26,"ausente")</f>
        <v>0</v>
      </c>
      <c r="H29" s="40">
        <f t="shared" ref="H29" si="10">COUNTIF(H6:H26,"ausente")</f>
        <v>0</v>
      </c>
      <c r="I29" s="40">
        <f t="shared" ref="I29" si="11">COUNTIF(I6:I26,"ausente")</f>
        <v>0</v>
      </c>
    </row>
    <row r="30" spans="1:134" s="20" customFormat="1" ht="15.75">
      <c r="A30" s="19" t="s">
        <v>20</v>
      </c>
      <c r="B30"/>
      <c r="C30" s="105">
        <f t="shared" ref="C30:E30" si="12">COUNTIF(C6:C26,"abstenção")</f>
        <v>0</v>
      </c>
      <c r="D30" s="105">
        <f t="shared" si="12"/>
        <v>0</v>
      </c>
      <c r="E30" s="105">
        <f t="shared" si="12"/>
        <v>0</v>
      </c>
      <c r="F30"/>
      <c r="G30" s="105">
        <f t="shared" ref="G30" si="13">COUNTIF(G6:G26,"abstenção")</f>
        <v>0</v>
      </c>
      <c r="H30" s="105">
        <f t="shared" ref="H30" si="14">COUNTIF(H6:H26,"abstenção")</f>
        <v>0</v>
      </c>
      <c r="I30" s="105">
        <f t="shared" ref="I30" si="15">COUNTIF(I6:I26,"abstenção")</f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</row>
    <row r="31" spans="1:134" s="20" customFormat="1" ht="15.75">
      <c r="A31" s="19"/>
      <c r="B31"/>
      <c r="C31" s="105"/>
      <c r="D31" s="105"/>
      <c r="E31" s="105"/>
      <c r="F31"/>
      <c r="G31" s="105"/>
      <c r="H31" s="105"/>
      <c r="I31" s="105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I10" sqref="I10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134</v>
      </c>
      <c r="D4" s="139" t="s">
        <v>135</v>
      </c>
      <c r="E4" s="139" t="s">
        <v>136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13" t="s">
        <v>71</v>
      </c>
      <c r="D5" s="113" t="s">
        <v>71</v>
      </c>
      <c r="E5" s="143" t="s">
        <v>75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51</v>
      </c>
      <c r="C6" s="107" t="s">
        <v>66</v>
      </c>
      <c r="D6" s="107" t="s">
        <v>66</v>
      </c>
      <c r="E6" s="107"/>
      <c r="W6" s="7"/>
      <c r="X6" s="7"/>
    </row>
    <row r="7" spans="1:31" ht="18">
      <c r="A7" s="129" t="s">
        <v>68</v>
      </c>
      <c r="C7" s="107" t="s">
        <v>66</v>
      </c>
      <c r="D7" s="107" t="s">
        <v>66</v>
      </c>
      <c r="E7" s="114"/>
      <c r="W7" s="7"/>
      <c r="X7" s="7"/>
    </row>
    <row r="8" spans="1:31" ht="18">
      <c r="A8" s="129" t="s">
        <v>54</v>
      </c>
      <c r="C8" s="107" t="s">
        <v>66</v>
      </c>
      <c r="D8" s="107" t="s">
        <v>66</v>
      </c>
      <c r="E8" s="107"/>
      <c r="W8" s="7"/>
      <c r="X8" s="7"/>
    </row>
    <row r="9" spans="1:31" ht="18">
      <c r="A9" s="130" t="s">
        <v>55</v>
      </c>
      <c r="C9" s="107" t="s">
        <v>66</v>
      </c>
      <c r="D9" s="114" t="s">
        <v>72</v>
      </c>
      <c r="E9" s="114"/>
      <c r="W9" s="7"/>
      <c r="X9" s="7"/>
    </row>
    <row r="10" spans="1:31" ht="18">
      <c r="A10" s="129" t="s">
        <v>28</v>
      </c>
      <c r="C10" s="107" t="s">
        <v>66</v>
      </c>
      <c r="D10" s="107" t="s">
        <v>66</v>
      </c>
      <c r="E10" s="107"/>
      <c r="W10" s="7"/>
      <c r="X10" s="7"/>
    </row>
    <row r="11" spans="1:31" ht="18">
      <c r="A11" s="129" t="s">
        <v>56</v>
      </c>
      <c r="C11" s="107" t="s">
        <v>66</v>
      </c>
      <c r="D11" s="107" t="s">
        <v>66</v>
      </c>
      <c r="E11" s="107"/>
      <c r="W11" s="7"/>
      <c r="X11" s="7"/>
    </row>
    <row r="12" spans="1:31" ht="18">
      <c r="A12" s="129" t="s">
        <v>22</v>
      </c>
      <c r="C12" s="107" t="s">
        <v>66</v>
      </c>
      <c r="D12" s="107" t="s">
        <v>66</v>
      </c>
      <c r="E12" s="107"/>
      <c r="W12" s="7"/>
      <c r="X12" s="7"/>
    </row>
    <row r="13" spans="1:31" ht="18">
      <c r="A13" s="129" t="s">
        <v>23</v>
      </c>
      <c r="C13" s="107" t="s">
        <v>66</v>
      </c>
      <c r="D13" s="107" t="s">
        <v>66</v>
      </c>
      <c r="E13" s="114"/>
      <c r="W13" s="7"/>
      <c r="X13" s="7"/>
    </row>
    <row r="14" spans="1:31" ht="18">
      <c r="A14" s="129" t="s">
        <v>24</v>
      </c>
      <c r="C14" s="107" t="s">
        <v>66</v>
      </c>
      <c r="D14" s="107" t="s">
        <v>66</v>
      </c>
      <c r="E14" s="107"/>
      <c r="W14" s="7"/>
      <c r="X14" s="7"/>
    </row>
    <row r="15" spans="1:31" ht="18">
      <c r="A15" s="129" t="s">
        <v>57</v>
      </c>
      <c r="C15" s="114" t="s">
        <v>53</v>
      </c>
      <c r="D15" s="114" t="s">
        <v>53</v>
      </c>
      <c r="E15" s="114"/>
      <c r="W15" s="7"/>
      <c r="X15" s="7"/>
    </row>
    <row r="16" spans="1:31" ht="18">
      <c r="A16" s="129" t="s">
        <v>58</v>
      </c>
      <c r="C16" s="107" t="s">
        <v>66</v>
      </c>
      <c r="D16" s="107" t="s">
        <v>66</v>
      </c>
      <c r="E16" s="107"/>
      <c r="W16" s="7"/>
      <c r="X16" s="7"/>
    </row>
    <row r="17" spans="1:125" ht="15" customHeight="1">
      <c r="A17" s="129" t="s">
        <v>59</v>
      </c>
      <c r="C17" s="114" t="s">
        <v>53</v>
      </c>
      <c r="D17" s="114" t="s">
        <v>53</v>
      </c>
      <c r="E17" s="141"/>
      <c r="V17" s="8"/>
      <c r="W17" s="7"/>
      <c r="X17" s="7"/>
    </row>
    <row r="18" spans="1:125" ht="18">
      <c r="A18" s="129" t="s">
        <v>25</v>
      </c>
      <c r="C18" s="107" t="s">
        <v>66</v>
      </c>
      <c r="D18" s="107" t="s">
        <v>66</v>
      </c>
      <c r="E18" s="107"/>
      <c r="W18" s="7"/>
      <c r="X18" s="7"/>
    </row>
    <row r="19" spans="1:125" ht="18">
      <c r="A19" s="129" t="s">
        <v>60</v>
      </c>
      <c r="C19" s="107" t="s">
        <v>66</v>
      </c>
      <c r="D19" s="107" t="s">
        <v>66</v>
      </c>
      <c r="E19" s="107"/>
      <c r="W19" s="7"/>
      <c r="X19" s="7"/>
    </row>
    <row r="20" spans="1:125" ht="18">
      <c r="A20" s="129" t="s">
        <v>69</v>
      </c>
      <c r="C20" s="114" t="s">
        <v>53</v>
      </c>
      <c r="D20" s="114" t="s">
        <v>53</v>
      </c>
      <c r="E20" s="114"/>
      <c r="W20" s="7"/>
      <c r="X20" s="7"/>
    </row>
    <row r="21" spans="1:125" ht="18">
      <c r="A21" s="129" t="s">
        <v>26</v>
      </c>
      <c r="C21" s="107" t="s">
        <v>66</v>
      </c>
      <c r="D21" s="107" t="s">
        <v>66</v>
      </c>
      <c r="E21" s="107"/>
      <c r="W21" s="7"/>
      <c r="X21" s="7"/>
    </row>
    <row r="22" spans="1:125" ht="18">
      <c r="A22" s="129" t="s">
        <v>61</v>
      </c>
      <c r="C22" s="107" t="s">
        <v>66</v>
      </c>
      <c r="D22" s="107" t="s">
        <v>66</v>
      </c>
      <c r="E22" s="107"/>
      <c r="W22" s="7"/>
      <c r="X22" s="7"/>
    </row>
    <row r="23" spans="1:125" ht="18">
      <c r="A23" s="129" t="s">
        <v>70</v>
      </c>
      <c r="C23" s="107" t="s">
        <v>66</v>
      </c>
      <c r="D23" s="107" t="s">
        <v>66</v>
      </c>
      <c r="E23" s="107"/>
      <c r="W23" s="7"/>
      <c r="X23" s="7"/>
    </row>
    <row r="24" spans="1:125" ht="18">
      <c r="A24" s="129" t="s">
        <v>49</v>
      </c>
      <c r="C24" s="107" t="s">
        <v>66</v>
      </c>
      <c r="D24" s="107" t="s">
        <v>66</v>
      </c>
      <c r="E24" s="107"/>
      <c r="W24" s="7"/>
      <c r="X24" s="7"/>
    </row>
    <row r="25" spans="1:125" ht="18">
      <c r="A25" s="129" t="s">
        <v>73</v>
      </c>
      <c r="C25" s="107" t="s">
        <v>66</v>
      </c>
      <c r="D25" s="107" t="s">
        <v>66</v>
      </c>
      <c r="E25" s="107"/>
      <c r="W25" s="7"/>
      <c r="X25" s="7"/>
    </row>
    <row r="26" spans="1:125" ht="18">
      <c r="A26" s="129" t="s">
        <v>62</v>
      </c>
      <c r="C26" s="107" t="s">
        <v>66</v>
      </c>
      <c r="D26" s="107" t="s">
        <v>66</v>
      </c>
      <c r="E26" s="114"/>
      <c r="W26" s="7"/>
      <c r="X26" s="7"/>
    </row>
    <row r="27" spans="1:125" s="16" customFormat="1" ht="15.75">
      <c r="A27" s="15" t="s">
        <v>18</v>
      </c>
      <c r="B27" s="16">
        <f t="shared" ref="B27:D27" si="0">COUNTIF(B6:B26,"sim")</f>
        <v>0</v>
      </c>
      <c r="C27" s="103">
        <f t="shared" si="0"/>
        <v>18</v>
      </c>
      <c r="D27" s="103">
        <f t="shared" si="0"/>
        <v>17</v>
      </c>
      <c r="E27" s="103">
        <f t="shared" ref="E27" si="1">COUNTIF(E6:E26,"sim")</f>
        <v>0</v>
      </c>
      <c r="L27" s="16">
        <f t="shared" ref="L27:AQ27" si="2">COUNTIF(L6:L26,"sim")</f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ref="AR27:BW27" si="3">COUNTIF(AR6:AR26,"sim")</f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ref="BX27:DC27" si="4">COUNTIF(BX6:BX26,"sim")</f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ref="DD27:DU27" si="5">COUNTIF(DD6:DD26,"sim")</f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</row>
    <row r="28" spans="1:125" s="18" customFormat="1" ht="15.75">
      <c r="A28" s="17" t="s">
        <v>19</v>
      </c>
      <c r="B28" s="18">
        <f t="shared" ref="B28:D28" si="6">COUNTIF(B6:B26,"não")</f>
        <v>0</v>
      </c>
      <c r="C28" s="104">
        <f t="shared" si="6"/>
        <v>0</v>
      </c>
      <c r="D28" s="104">
        <f t="shared" si="6"/>
        <v>0</v>
      </c>
      <c r="E28" s="104">
        <f t="shared" ref="E28" si="7">COUNTIF(E6:E26,"não")</f>
        <v>0</v>
      </c>
      <c r="L28" s="18">
        <f t="shared" ref="L28:AQ28" si="8">COUNTIF(L6:L27,"não")</f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ref="AR28:BW28" si="9">COUNTIF(AR6:AR27,"não")</f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ref="BX28:DC28" si="10">COUNTIF(BX6:BX27,"não")</f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ref="DD28:DU28" si="11">COUNTIF(DD6:DD27,"não")</f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</row>
    <row r="29" spans="1:125" ht="15.75">
      <c r="A29" s="14" t="s">
        <v>11</v>
      </c>
      <c r="B29">
        <f t="shared" ref="B29:D29" si="12">COUNTIF(B6:B26,"ausente")</f>
        <v>0</v>
      </c>
      <c r="C29" s="40">
        <f t="shared" si="12"/>
        <v>3</v>
      </c>
      <c r="D29" s="40">
        <f t="shared" si="12"/>
        <v>3</v>
      </c>
      <c r="E29" s="40">
        <f t="shared" ref="E29" si="13">COUNTIF(E6:E26,"ausente")</f>
        <v>0</v>
      </c>
      <c r="L29">
        <f t="shared" ref="L29:AQ29" si="14">COUNTIF(L6:L28,"ausente")</f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ref="AR29:BW29" si="15">COUNTIF(AR6:AR28,"ausente")</f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ref="BX29:DC29" si="16">COUNTIF(BX6:BX28,"ausente")</f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ref="DD29:DU29" si="17">COUNTIF(DD6:DD28,"ausente")</f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</row>
    <row r="30" spans="1:125" s="20" customFormat="1" ht="15.75">
      <c r="A30" s="19" t="s">
        <v>20</v>
      </c>
      <c r="B30" s="20">
        <f t="shared" ref="B30:D30" si="18">COUNTIF(B6:B26,"abstenção")</f>
        <v>0</v>
      </c>
      <c r="C30" s="105">
        <f t="shared" si="18"/>
        <v>0</v>
      </c>
      <c r="D30" s="105">
        <f t="shared" si="18"/>
        <v>0</v>
      </c>
      <c r="E30" s="105">
        <f t="shared" ref="E30" si="19">COUNTIF(E6:E26,"abstenção")</f>
        <v>0</v>
      </c>
      <c r="L30" s="20">
        <f t="shared" ref="L30:AQ30" si="20">COUNTIF(L10:L29,"abstenção")</f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ref="AR30:BJ30" si="21">COUNTIF(AR10:AR29,"abstenção")</f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ref="BK30:DU30" si="22">COUNTIF(BK10:BK29,"abstenção")</f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D4" sqref="D4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105</v>
      </c>
      <c r="B2" s="2"/>
    </row>
    <row r="3" spans="1:4" ht="15.75" thickBot="1">
      <c r="A3" s="121" t="s">
        <v>106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132</v>
      </c>
      <c r="D4" s="139" t="s">
        <v>133</v>
      </c>
    </row>
    <row r="5" spans="1:4" s="6" customFormat="1" ht="60.75" customHeight="1">
      <c r="A5" s="122"/>
      <c r="B5" s="111"/>
      <c r="C5" s="113" t="s">
        <v>71</v>
      </c>
      <c r="D5" s="113" t="s">
        <v>71</v>
      </c>
    </row>
    <row r="6" spans="1:4" ht="15.75">
      <c r="A6" s="127" t="s">
        <v>51</v>
      </c>
      <c r="C6" s="107" t="s">
        <v>66</v>
      </c>
      <c r="D6" s="107" t="s">
        <v>66</v>
      </c>
    </row>
    <row r="7" spans="1:4" ht="15.75">
      <c r="A7" s="127" t="s">
        <v>68</v>
      </c>
      <c r="C7" s="107" t="s">
        <v>66</v>
      </c>
      <c r="D7" s="107" t="s">
        <v>66</v>
      </c>
    </row>
    <row r="8" spans="1:4" ht="15.75">
      <c r="A8" s="127" t="s">
        <v>54</v>
      </c>
      <c r="C8" s="107" t="s">
        <v>66</v>
      </c>
      <c r="D8" s="107" t="s">
        <v>66</v>
      </c>
    </row>
    <row r="9" spans="1:4" ht="15.75">
      <c r="A9" s="128" t="s">
        <v>55</v>
      </c>
      <c r="C9" s="107" t="s">
        <v>66</v>
      </c>
      <c r="D9" s="107" t="s">
        <v>66</v>
      </c>
    </row>
    <row r="10" spans="1:4" ht="15.75">
      <c r="A10" s="127" t="s">
        <v>28</v>
      </c>
      <c r="C10" s="107" t="s">
        <v>66</v>
      </c>
      <c r="D10" s="107" t="s">
        <v>66</v>
      </c>
    </row>
    <row r="11" spans="1:4" ht="15.75">
      <c r="A11" s="127" t="s">
        <v>56</v>
      </c>
      <c r="C11" s="107" t="s">
        <v>66</v>
      </c>
      <c r="D11" s="107" t="s">
        <v>66</v>
      </c>
    </row>
    <row r="12" spans="1:4" ht="15.75">
      <c r="A12" s="127" t="s">
        <v>22</v>
      </c>
      <c r="C12" s="107" t="s">
        <v>66</v>
      </c>
      <c r="D12" s="107" t="s">
        <v>66</v>
      </c>
    </row>
    <row r="13" spans="1:4" ht="15.75">
      <c r="A13" s="127" t="s">
        <v>23</v>
      </c>
      <c r="B13" s="138"/>
      <c r="C13" s="107" t="s">
        <v>66</v>
      </c>
      <c r="D13" s="107" t="s">
        <v>66</v>
      </c>
    </row>
    <row r="14" spans="1:4" ht="15.75">
      <c r="A14" s="127" t="s">
        <v>24</v>
      </c>
      <c r="C14" s="107" t="s">
        <v>66</v>
      </c>
      <c r="D14" s="107" t="s">
        <v>66</v>
      </c>
    </row>
    <row r="15" spans="1:4" ht="15.75">
      <c r="A15" s="127" t="s">
        <v>57</v>
      </c>
      <c r="C15" s="114" t="s">
        <v>53</v>
      </c>
      <c r="D15" s="114" t="s">
        <v>53</v>
      </c>
    </row>
    <row r="16" spans="1:4" ht="15.75">
      <c r="A16" s="127" t="s">
        <v>58</v>
      </c>
      <c r="C16" s="107" t="s">
        <v>66</v>
      </c>
      <c r="D16" s="107" t="s">
        <v>66</v>
      </c>
    </row>
    <row r="17" spans="1:4" ht="15.75">
      <c r="A17" s="127" t="s">
        <v>59</v>
      </c>
      <c r="C17" s="114" t="s">
        <v>53</v>
      </c>
      <c r="D17" s="114" t="s">
        <v>53</v>
      </c>
    </row>
    <row r="18" spans="1:4" ht="15.75">
      <c r="A18" s="127" t="s">
        <v>25</v>
      </c>
      <c r="C18" s="107" t="s">
        <v>66</v>
      </c>
      <c r="D18" s="107" t="s">
        <v>66</v>
      </c>
    </row>
    <row r="19" spans="1:4" ht="15.75">
      <c r="A19" s="127" t="s">
        <v>60</v>
      </c>
      <c r="C19" s="107" t="s">
        <v>66</v>
      </c>
      <c r="D19" s="107" t="s">
        <v>66</v>
      </c>
    </row>
    <row r="20" spans="1:4" ht="15.75">
      <c r="A20" s="127" t="s">
        <v>69</v>
      </c>
      <c r="C20" s="114" t="s">
        <v>53</v>
      </c>
      <c r="D20" s="114" t="s">
        <v>53</v>
      </c>
    </row>
    <row r="21" spans="1:4" ht="15.75">
      <c r="A21" s="127" t="s">
        <v>26</v>
      </c>
      <c r="C21" s="107" t="s">
        <v>66</v>
      </c>
      <c r="D21" s="107" t="s">
        <v>66</v>
      </c>
    </row>
    <row r="22" spans="1:4" ht="15.75">
      <c r="A22" s="127" t="s">
        <v>61</v>
      </c>
      <c r="C22" s="107" t="s">
        <v>66</v>
      </c>
      <c r="D22" s="107" t="s">
        <v>66</v>
      </c>
    </row>
    <row r="23" spans="1:4" ht="15.75">
      <c r="A23" s="127" t="s">
        <v>70</v>
      </c>
      <c r="C23" s="107" t="s">
        <v>66</v>
      </c>
      <c r="D23" s="107" t="s">
        <v>66</v>
      </c>
    </row>
    <row r="24" spans="1:4" ht="15.75">
      <c r="A24" s="127" t="s">
        <v>49</v>
      </c>
      <c r="C24" s="107" t="s">
        <v>66</v>
      </c>
      <c r="D24" s="107" t="s">
        <v>66</v>
      </c>
    </row>
    <row r="25" spans="1:4" ht="15.75">
      <c r="A25" s="127" t="s">
        <v>73</v>
      </c>
      <c r="C25" s="107" t="s">
        <v>66</v>
      </c>
      <c r="D25" s="107" t="s">
        <v>66</v>
      </c>
    </row>
    <row r="26" spans="1:4" ht="15.75">
      <c r="A26" s="127" t="s">
        <v>62</v>
      </c>
      <c r="C26" s="107" t="s">
        <v>66</v>
      </c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18</v>
      </c>
      <c r="D28" s="103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3</v>
      </c>
      <c r="D30" s="40">
        <f t="shared" si="2"/>
        <v>3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105</v>
      </c>
      <c r="B2" s="2"/>
      <c r="C2" s="54"/>
      <c r="D2" s="54"/>
      <c r="E2" s="54"/>
    </row>
    <row r="3" spans="1:6" ht="15.75" thickBot="1">
      <c r="A3" s="121" t="s">
        <v>106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77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73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78</v>
      </c>
      <c r="E4" s="106" t="s">
        <v>79</v>
      </c>
      <c r="F4" s="106" t="s">
        <v>80</v>
      </c>
      <c r="G4" s="106" t="s">
        <v>81</v>
      </c>
      <c r="H4" s="106" t="s">
        <v>82</v>
      </c>
      <c r="I4" s="106" t="s">
        <v>83</v>
      </c>
      <c r="J4" s="106" t="s">
        <v>84</v>
      </c>
      <c r="K4" s="106" t="s">
        <v>85</v>
      </c>
      <c r="L4" s="106" t="s">
        <v>86</v>
      </c>
      <c r="M4" s="106" t="s">
        <v>87</v>
      </c>
      <c r="N4" s="106" t="s">
        <v>88</v>
      </c>
      <c r="O4" s="106" t="s">
        <v>89</v>
      </c>
      <c r="P4" s="106" t="s">
        <v>90</v>
      </c>
      <c r="Q4" s="106" t="s">
        <v>91</v>
      </c>
      <c r="R4" s="106" t="s">
        <v>92</v>
      </c>
      <c r="S4" s="106" t="s">
        <v>93</v>
      </c>
      <c r="T4" s="106" t="s">
        <v>94</v>
      </c>
      <c r="U4" s="106" t="s">
        <v>95</v>
      </c>
      <c r="V4" s="106" t="s">
        <v>96</v>
      </c>
      <c r="W4" s="106" t="s">
        <v>97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73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Andre Patricio</cp:lastModifiedBy>
  <cp:lastPrinted>2025-06-06T19:35:45Z</cp:lastPrinted>
  <dcterms:created xsi:type="dcterms:W3CDTF">2017-05-08T13:43:49Z</dcterms:created>
  <dcterms:modified xsi:type="dcterms:W3CDTF">2026-05-25T13:26:55Z</dcterms:modified>
</cp:coreProperties>
</file>