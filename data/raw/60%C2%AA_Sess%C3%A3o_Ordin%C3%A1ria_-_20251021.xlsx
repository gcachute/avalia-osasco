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FC5CF77-6AA4-4B76-A66B-71449A81F054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7" i="3"/>
  <c r="C28" i="3"/>
  <c r="C29" i="3"/>
  <c r="C30" i="3"/>
  <c r="F27" i="2" l="1"/>
  <c r="F28" i="2"/>
  <c r="F29" i="2"/>
  <c r="F30" i="2"/>
  <c r="A4" i="14"/>
  <c r="C28" i="10"/>
  <c r="C29" i="10"/>
  <c r="C30" i="10"/>
  <c r="C31" i="10"/>
  <c r="C27" i="2"/>
  <c r="C28" i="2"/>
  <c r="C29" i="2"/>
  <c r="C30" i="2"/>
  <c r="D28" i="10"/>
  <c r="D29" i="10"/>
  <c r="D30" i="10"/>
  <c r="D31" i="10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<sst xmlns="http://schemas.openxmlformats.org/spreadsheetml/2006/main" count="451" uniqueCount="126">
  <si>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</si>
  <si>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</si>
  <si>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</si>
  <si>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</si>
  <si>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</si>
  <si>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</si>
  <si>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</si>
  <si>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</si>
  <si>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</si>
  <si>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</si>
  <si>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</si>
  <si>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</si>
  <si>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</si>
  <si>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</si>
  <si>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</si>
  <si>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</si>
  <si>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</si>
  <si>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</si>
  <si>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</si>
  <si>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</si>
  <si>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</si>
  <si>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</si>
  <si>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</si>
  <si>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</si>
  <si>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</si>
  <si>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</si>
  <si>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</si>
  <si>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</si>
  <si>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</si>
  <si>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</si>
  <si>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</si>
  <si>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</si>
  <si>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</si>
  <si>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</si>
  <si>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</si>
  <si>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</si>
  <si>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</si>
  <si>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</si>
  <si>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</si>
  <si>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</si>
  <si>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</si>
  <si>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</si>
  <si>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</si>
  <si>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</si>
  <si>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</si>
  <si>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</si>
  <si>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</si>
  <si>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</si>
  <si>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</si>
  <si>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</si>
  <si>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</si>
  <si>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</si>
  <si>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</si>
  <si>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</si>
  <si>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</si>
  <si>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</si>
  <si>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</si>
  <si>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</si>
  <si>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</si>
  <si>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</si>
  <si>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</si>
  <si>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</si>
  <si>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</si>
  <si>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</si>
  <si>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</si>
  <si>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</si>
  <si>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</si>
  <si>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</si>
  <si>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</si>
  <si>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</si>
  <si>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</si>
  <si>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</si>
  <si>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</si>
  <si>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</si>
  <si>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</si>
  <si>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</si>
  <si>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</si>
  <si>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</si>
  <si>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</si>
  <si>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</si>
  <si>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</si>
  <si>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</si>
  <si>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</si>
  <si>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</si>
  <si>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</si>
  <si>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</si>
  <si>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</si>
  <si>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</si>
  <si>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</si>
  <si>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</si>
  <si>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</si>
  <si>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</si>
  <si>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</si>
  <si>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</si>
  <si>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pela ausência da autora, será pautada na próxima sessão.</t>
  </si>
  <si>
    <t>Sergio Fontellas</t>
  </si>
  <si>
    <t>APROVADO
VOTAÇÃO SIMBÓLICA</t>
  </si>
  <si>
    <r>
      <t xml:space="preserve">PROJETO DE DECRETO LEGISLATIVO Nº 24/2025 – JOSIAS DA JUCO - </t>
    </r>
    <r>
      <rPr>
        <sz val="11"/>
        <color theme="1"/>
        <rFont val="Arial"/>
        <family val="2"/>
      </rPr>
      <t>Dispõe sobre a concessão de Título de Cidadão Osasquense ao Senhor Sebastião Bognar.</t>
    </r>
  </si>
  <si>
    <r>
      <t>MOÇÃO DE APOIO Nº 492/2025 – ELSA OLIVEIRA –</t>
    </r>
    <r>
      <rPr>
        <sz val="11"/>
        <color theme="1"/>
        <rFont val="Arial"/>
        <family val="2"/>
      </rPr>
      <t xml:space="preserve"> À regulamentação da Lei nº 14.717/2023, recentemente consolidada pelo Decreto nº 12.636/2025, que garante pensão especial a crianças e adolescentes órfãos por feminicídio, representando um marco de justiça social, amparo e humanidade.</t>
    </r>
  </si>
  <si>
    <r>
      <t xml:space="preserve">MOÇÃO DE CONGRATULAÇÕES Nº 499/2025 – ELSA OLIVEIRA – </t>
    </r>
    <r>
      <rPr>
        <sz val="11"/>
        <color theme="1"/>
        <rFont val="Arial"/>
        <family val="2"/>
      </rPr>
      <t>À María Corina Machado, política venezuelana, líder democrática e símbolo mundial da resistência pacífica, agraciada com o Prêmio Nobel da Paz 2025, concedido pelo Comitê Norueguês do Nobel.</t>
    </r>
  </si>
  <si>
    <t>60ª SESSÃO ORDINÁRIA</t>
  </si>
  <si>
    <t>DIA 21 DE OUTUBRO DE 2025 - TERÇA-FEIRA</t>
  </si>
  <si>
    <t>Justificativa de ausência do Vereador Rodrigo Gansinho.</t>
  </si>
  <si>
    <t>Justificativa de ausência do Vereador Paulo Junior.</t>
  </si>
  <si>
    <t>Mensagem de Veto Prolegis nº 13/2025 – Prefeito do Município de Osasco – Informa veto total ao projeto de lei nº 92/2024, de autoria da vereadora Lúcia da Saúde, que institui o dia municipal das doenças raras no Município de Osasco.</t>
  </si>
  <si>
    <t xml:space="preserve">Ofício Prolegis nº 202503205086 – Prefeito do Município de Osasco – Informa a remessa dos Decretos nº 14.845, 14.846, 14.847 e do 14.853 ao 14.859, de outubro de 2025, que dispõem sobre abertura de crédito adicional suplementar ao orçamento vigente e dão outras providências. </t>
  </si>
  <si>
    <t xml:space="preserve">Decreto nº 14.848, de 10 de outubro de 2025, que altera o Decreto nº 12.753, de 22 de janeiro de 2021, que regulamenta aspectos das unidades internas das Secretarias da Saúde e de Educação, conforme nova arquitetura organizacional e administrativa da estrutura de pessoal da hierarquia superior da Administração Direta do Executivo Municipal de Osasco. </t>
  </si>
  <si>
    <t xml:space="preserve">Decreto nº 14.849, de 10 de outubro de 2025 que declara ponto facultativo o dia 15 de outubro de 2025 em comemoração ao Dia do Professor. </t>
  </si>
  <si>
    <t xml:space="preserve">Decretos nº 14.851 e 14.860, de outubro de 2025 que dispõem sobre abertura de crédito adicional especial ao orçamento vigente e dão outras providências. </t>
  </si>
  <si>
    <t>Decreto nº 14.850, de 10 de outubro de 2025, que dispõe a adesão do Município de Osasco ao Programa de Superação da Pobreza (SuperAçãoSP), instituído pela Lei Estadual nº 18.176, de 8 de julho de 2025, regulamentada pelo Decreto Estadual nº 69.762 de 04 de agosto de 2025, e dá outras providências.</t>
  </si>
  <si>
    <t>Decreto nº 14.852, de 10 de outubro de 2025 que regulamenta a aplicação da Lei Federal nº 13.460, de 26 de junho de 2017, que dispõe sobre a participação, proteção e defesa dos usuários de serviços públicos da Administração Pública, e institui o Sistema de Ouvidoria do Poder Executivo Municipal de Osasco, e dá outras providências.</t>
  </si>
  <si>
    <t>Projeto de Lei nº 104/2025 – Laércio Mendonça – Institui o mês junho violeta.</t>
  </si>
  <si>
    <r>
      <t xml:space="preserve">MOÇÃO DE APLAUSOS Nº 503/2025 – GABRIEL SAÚDE – </t>
    </r>
    <r>
      <rPr>
        <sz val="11"/>
        <color theme="1"/>
        <rFont val="Arial"/>
        <family val="2"/>
      </rPr>
      <t>Ao jovem empreendedor Henrique Alves Veloso, fundador da DKMOTORS, em reconhecimento à sua inspiradora trajetória de dedicação, visão e amor pelo universo automotivo.</t>
    </r>
  </si>
  <si>
    <r>
      <t xml:space="preserve">MOÇÃO DE APLAUSOS Nº 504/2025 – GABRIEL SAÚDE – </t>
    </r>
    <r>
      <rPr>
        <sz val="11"/>
        <color theme="1"/>
        <rFont val="Arial"/>
        <family val="2"/>
      </rPr>
      <t>Ao atleta Marcelo Macedo, integrante da Equipe de Atletismo Master Brasil, em reconhecimento à sua brilhante trajetória esportiva.</t>
    </r>
  </si>
  <si>
    <r>
      <t xml:space="preserve">MOÇÃO DE RECONHECIMENTO Nº 505/2025 – LAÉRCIO MENDONÇA – </t>
    </r>
    <r>
      <rPr>
        <sz val="11"/>
        <color theme="1"/>
        <rFont val="Arial"/>
        <family val="2"/>
      </rPr>
      <t>À Diretoria de Qualificação Profissional da Secretaria de Emprego, Trabalho e Renda do Município de Osasco, pelo notável trabalho desenvolvido desde sua criação, contribuindo de forma significativa para o fortalecimento das políticas públicas de empregabilidade, formação e desenvolvimento profissional na cidade de Osasco.</t>
    </r>
  </si>
  <si>
    <r>
      <t>MOÇÃO DE RECONHECIMENTO Nº 506/2025 – GUILHERME PRADO –</t>
    </r>
    <r>
      <rPr>
        <sz val="11"/>
        <color theme="1"/>
        <rFont val="Arial"/>
        <family val="2"/>
      </rPr>
      <t xml:space="preserve"> À Associação dos Feirantes e Colaboradores de Osasco e Região - AFECOR, em justa homenagem à sua trajetória de diálogo com a sociedade civil e o poder público, sua relevante atuação na organização dos feirantes e contribuição essencial para a segurança alimentar, o desenvolvimento econômico e a vida comunitária da cidade de Osasco.</t>
    </r>
  </si>
  <si>
    <r>
      <t xml:space="preserve">MOÇÃO DE RECONHECIMENTO Nº 507/2025 – STEPHANE ROSSI – </t>
    </r>
    <r>
      <rPr>
        <sz val="11"/>
        <color theme="1"/>
        <rFont val="Arial"/>
        <family val="2"/>
      </rPr>
      <t>Ao ator osasquense Bruno Vinícius, pelo destaque nacional e internacional conquistado em sua trajetória artística, especialmente pela sua atuação no filme "Caramelo".</t>
    </r>
  </si>
  <si>
    <r>
      <t xml:space="preserve">MOÇÃO DE APLAUSOS Nº 508/2025 – GABRIEL SAÚDE – </t>
    </r>
    <r>
      <rPr>
        <sz val="11"/>
        <color theme="1"/>
        <rFont val="Arial"/>
        <family val="2"/>
      </rPr>
      <t>À equipe União da Nostalgia, pela realização da primeira edição do “Samba da Comunidade”.</t>
    </r>
  </si>
  <si>
    <r>
      <t>MOÇÃO DE CONGRATULAÇÕES Nº 509/2025 – HEBER DO JUNTOZ –</t>
    </r>
    <r>
      <rPr>
        <sz val="11"/>
        <color theme="1"/>
        <rFont val="Arial"/>
        <family val="2"/>
      </rPr>
      <t xml:space="preserve"> à organização da Parada Oz, representada por Higor Andrade, Drag Tiffany, Alessandra Dumdum e Otávio Henrique, pela realização da 8ª edição da Parada do Orgulho LGBTQIA+ de Osasco, que ocorreu no dia 21 de setembro.</t>
    </r>
  </si>
  <si>
    <r>
      <t xml:space="preserve">MOÇÃO DE PESAR Nº 510/2025 – CARMÔNIO BASTOS – </t>
    </r>
    <r>
      <rPr>
        <sz val="11"/>
        <color theme="1"/>
        <rFont val="Arial"/>
        <family val="2"/>
      </rPr>
      <t>Pelo falecimento do senhor Altair Soares (Altair da Padaria), morador de Presidente Altino, que prestou relevantes serviços à comunidade osasquense.</t>
    </r>
  </si>
  <si>
    <r>
      <t>MOÇÃO DE RECONHECIMENTO Nº 511/2025 – ELSA OLIVEIRA –</t>
    </r>
    <r>
      <rPr>
        <sz val="11"/>
        <color theme="1"/>
        <rFont val="Arial"/>
        <family val="2"/>
      </rPr>
      <t xml:space="preserve"> Ao Projeto Força Jovem pelo excelente trabalho desenvolvido com crianças e adolescentes no Município de Osasco. </t>
    </r>
  </si>
  <si>
    <r>
      <t>PROJETO DE LEI Nº 148/2025 - ALEXANDRE CAPRIOTTI –</t>
    </r>
    <r>
      <rPr>
        <sz val="14"/>
        <color theme="1"/>
        <rFont val="Arial"/>
        <family val="2"/>
      </rPr>
      <t xml:space="preserve"> Institui, no Calendário Oficial do Município de Osasco, a Campanha “Todos Contra a FIV e FELV” de conscientização sobre a Imunodeficiência Viral Felina – FIV e a Leucemia Viral Felina – FELV.</t>
    </r>
  </si>
  <si>
    <r>
      <t xml:space="preserve">PROJETO DE LEI Nº 89/2025 - LAÉRCIO MENDONÇA – </t>
    </r>
    <r>
      <rPr>
        <sz val="14"/>
        <color theme="1"/>
        <rFont val="Arial"/>
        <family val="2"/>
      </rPr>
      <t>Institui o Dia do Psicopedagogo no Calendário Oficial do Município de Osasco.</t>
    </r>
  </si>
  <si>
    <r>
      <t>PROJETO DE RESOLUÇÃO Nº 10/2025 - LAÉRCIO MENDONÇA –</t>
    </r>
    <r>
      <rPr>
        <sz val="11"/>
        <color theme="1"/>
        <rFont val="Arial"/>
        <family val="2"/>
      </rPr>
      <t xml:space="preserve"> Institui a honraria “Centenário Osasquense”. </t>
    </r>
  </si>
  <si>
    <t>na presidência</t>
  </si>
  <si>
    <r>
      <t xml:space="preserve">PROJETO DE DECRETO LEGISLATIVO Nº 67/2024 – JOSIAS DA JUCO - </t>
    </r>
    <r>
      <rPr>
        <sz val="11"/>
        <color theme="1"/>
        <rFont val="Arial"/>
        <family val="2"/>
      </rPr>
      <t>Dispõe sobre a concessão de Título de Cidadão Osasquense ao Senhor Carlos Fernando Zuppo Franco.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</si>
</sst>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A52" sqref="A5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2" t="s">
        <v>29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0"/>
      <c r="O1" s="70"/>
      <c r="P1" s="70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3" t="s">
        <v>100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0"/>
      <c r="O2" s="70"/>
      <c r="P2" s="70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3" t="s">
        <v>101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0"/>
      <c r="O3" s="70"/>
      <c r="P3" s="70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6"/>
      <c r="U4" s="146"/>
      <c r="V4" s="146"/>
      <c r="W4" s="146"/>
      <c r="X4" s="146"/>
      <c r="Y4" s="146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6"/>
      <c r="U5" s="146"/>
      <c r="V5" s="146"/>
      <c r="W5" s="146"/>
      <c r="X5" s="146"/>
      <c r="Y5" s="146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6"/>
      <c r="U6" s="146"/>
      <c r="V6" s="146"/>
      <c r="W6" s="146"/>
      <c r="X6" s="146"/>
      <c r="Y6" s="146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6"/>
      <c r="U7" s="146"/>
      <c r="V7" s="146"/>
      <c r="W7" s="146"/>
      <c r="X7" s="146"/>
      <c r="Y7" s="146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6"/>
      <c r="U8" s="146"/>
      <c r="V8" s="146"/>
      <c r="W8" s="146"/>
      <c r="X8" s="146"/>
      <c r="Y8" s="146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6"/>
      <c r="U9" s="146"/>
      <c r="V9" s="146"/>
      <c r="W9" s="146"/>
      <c r="X9" s="146"/>
      <c r="Y9" s="146"/>
    </row>
    <row r="10" spans="1:28" ht="18" customHeight="1">
      <c r="A10" s="46" t="s">
        <v>56</v>
      </c>
      <c r="B10" s="88">
        <v>1</v>
      </c>
      <c r="C10" s="62" t="s">
        <v>52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6"/>
      <c r="U13" s="146"/>
      <c r="V13" s="146"/>
      <c r="W13" s="146"/>
      <c r="X13" s="146"/>
      <c r="Y13" s="146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6"/>
      <c r="U14" s="146"/>
      <c r="V14" s="146"/>
      <c r="W14" s="146"/>
      <c r="X14" s="146"/>
      <c r="Y14" s="146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6"/>
      <c r="U15" s="146"/>
      <c r="V15" s="146"/>
      <c r="W15" s="146"/>
      <c r="X15" s="146"/>
      <c r="Y15" s="146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6"/>
      <c r="U16" s="146"/>
      <c r="V16" s="146"/>
      <c r="W16" s="146"/>
      <c r="X16" s="146"/>
      <c r="Y16" s="146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6"/>
      <c r="U17" s="146"/>
      <c r="V17" s="146"/>
      <c r="W17" s="146"/>
      <c r="X17" s="146"/>
      <c r="Y17" s="146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6"/>
      <c r="U18" s="146"/>
      <c r="V18" s="146"/>
      <c r="W18" s="146"/>
      <c r="X18" s="146"/>
      <c r="Y18" s="146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6"/>
      <c r="U19" s="146"/>
      <c r="V19" s="146"/>
      <c r="W19" s="146"/>
      <c r="X19" s="146"/>
      <c r="Y19" s="146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6"/>
      <c r="U20" s="146"/>
      <c r="V20" s="146"/>
      <c r="W20" s="146"/>
      <c r="X20" s="146"/>
      <c r="Y20" s="146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6"/>
      <c r="U21" s="146"/>
      <c r="V21" s="146"/>
      <c r="W21" s="146"/>
      <c r="X21" s="146"/>
      <c r="Y21" s="146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6"/>
      <c r="U22" s="146"/>
      <c r="V22" s="146"/>
      <c r="W22" s="146"/>
      <c r="X22" s="146"/>
      <c r="Y22" s="146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46"/>
      <c r="U23" s="146"/>
      <c r="V23" s="146"/>
      <c r="W23" s="146"/>
      <c r="X23" s="146"/>
      <c r="Y23" s="146"/>
    </row>
    <row r="24" spans="1:28" ht="20.25">
      <c r="A24" s="46" t="s">
        <v>95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46"/>
      <c r="U24" s="146"/>
      <c r="V24" s="146"/>
      <c r="W24" s="146"/>
      <c r="X24" s="146"/>
      <c r="Y24" s="146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6"/>
      <c r="U25" s="146"/>
      <c r="V25" s="146"/>
      <c r="W25" s="146"/>
      <c r="X25" s="146"/>
      <c r="Y25" s="146"/>
    </row>
    <row r="26" spans="1:28" ht="16.5" thickBot="1">
      <c r="A26" s="38" t="s">
        <v>13</v>
      </c>
      <c r="B26" s="98">
        <v>12</v>
      </c>
      <c r="C26" s="96" t="s">
        <v>46</v>
      </c>
      <c r="D26" s="98"/>
      <c r="E26" s="96" t="s">
        <v>46</v>
      </c>
      <c r="F26" s="98">
        <v>14</v>
      </c>
      <c r="G26" s="96" t="s">
        <v>46</v>
      </c>
      <c r="H26" s="100"/>
      <c r="I26" s="101"/>
      <c r="J26" s="98">
        <v>17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47</v>
      </c>
      <c r="D27" s="98"/>
      <c r="E27" s="96" t="s">
        <v>47</v>
      </c>
      <c r="F27" s="98">
        <v>7</v>
      </c>
      <c r="G27" s="96" t="s">
        <v>47</v>
      </c>
      <c r="H27" s="100"/>
      <c r="I27" s="96"/>
      <c r="J27" s="98">
        <v>4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28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68</v>
      </c>
      <c r="V42" s="12"/>
      <c r="W42" s="12"/>
    </row>
    <row r="43" spans="1:23" ht="18">
      <c r="A43" s="34" t="s">
        <v>69</v>
      </c>
      <c r="V43" s="12"/>
      <c r="W43" s="12"/>
    </row>
    <row r="44" spans="1:23" ht="18">
      <c r="A44" s="34" t="s">
        <v>25</v>
      </c>
      <c r="V44" s="12"/>
      <c r="W44" s="12"/>
    </row>
    <row r="45" spans="1:23" ht="18">
      <c r="A45" s="34" t="s">
        <v>23</v>
      </c>
      <c r="V45" s="12"/>
      <c r="W45" s="12"/>
    </row>
    <row r="46" spans="1:23" ht="18">
      <c r="A46" s="34" t="s">
        <v>70</v>
      </c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70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39"/>
  <sheetViews>
    <sheetView workbookViewId="0">
      <pane xSplit="1" topLeftCell="B1" activePane="topRight" state="frozen"/>
      <selection pane="topRight" activeCell="Z10" sqref="Z10"/>
    </sheetView>
  </sheetViews>
  <sheetFormatPr defaultColWidth="9.140625" defaultRowHeight="12.75"/>
  <cols>
    <col min="1" max="1" width="47.7109375" style="22" customWidth="1"/>
    <col min="2" max="12" width="23.7109375" style="22" customWidth="1"/>
    <col min="13" max="13" width="19" style="22" customWidth="1"/>
    <col min="14" max="14" width="26.28515625" style="22" customWidth="1"/>
    <col min="15" max="15" width="22.140625" style="22" customWidth="1"/>
    <col min="16" max="26" width="22.7109375" style="22" customWidth="1"/>
    <col min="27" max="16384" width="9.140625" style="22"/>
  </cols>
  <sheetData>
    <row r="1" spans="1:26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6" ht="15">
      <c r="A2" s="76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6" ht="17.25" customHeight="1">
      <c r="A3" s="76" t="s">
        <v>101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26" ht="63" customHeight="1">
      <c r="A4" s="51" t="str">
        <f>'[1]MOÇÃO E REQUERIMENTO'!B7</f>
        <v>EXPEDIENTE</v>
      </c>
      <c r="B4" s="50" t="s">
        <v>45</v>
      </c>
      <c r="C4" s="117" t="s">
        <v>102</v>
      </c>
      <c r="D4" s="117" t="s">
        <v>103</v>
      </c>
      <c r="E4" s="117" t="s">
        <v>104</v>
      </c>
      <c r="F4" s="117" t="s">
        <v>105</v>
      </c>
      <c r="G4" s="117" t="s">
        <v>106</v>
      </c>
      <c r="H4" s="117" t="s">
        <v>107</v>
      </c>
      <c r="I4" s="117" t="s">
        <v>108</v>
      </c>
      <c r="J4" s="117" t="s">
        <v>109</v>
      </c>
      <c r="K4" s="117" t="s">
        <v>110</v>
      </c>
      <c r="L4" s="117" t="s">
        <v>111</v>
      </c>
      <c r="M4" s="112" t="s">
        <v>34</v>
      </c>
      <c r="N4" s="124"/>
      <c r="O4" s="50" t="s">
        <v>27</v>
      </c>
      <c r="P4" s="84" t="s">
        <v>98</v>
      </c>
      <c r="Q4" s="84" t="s">
        <v>99</v>
      </c>
      <c r="R4" s="84" t="s">
        <v>112</v>
      </c>
      <c r="S4" s="84" t="s">
        <v>113</v>
      </c>
      <c r="T4" s="84" t="s">
        <v>114</v>
      </c>
      <c r="U4" s="84" t="s">
        <v>115</v>
      </c>
      <c r="V4" s="84" t="s">
        <v>116</v>
      </c>
      <c r="W4" s="84" t="s">
        <v>117</v>
      </c>
      <c r="X4" s="84" t="s">
        <v>118</v>
      </c>
      <c r="Y4" s="84" t="s">
        <v>119</v>
      </c>
      <c r="Z4" s="84" t="s">
        <v>120</v>
      </c>
    </row>
    <row r="5" spans="1:26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13"/>
      <c r="P5" s="113" t="s">
        <v>65</v>
      </c>
      <c r="Q5" s="113" t="s">
        <v>65</v>
      </c>
      <c r="R5" s="118" t="s">
        <v>72</v>
      </c>
      <c r="S5" s="118" t="s">
        <v>72</v>
      </c>
      <c r="T5" s="113" t="s">
        <v>65</v>
      </c>
      <c r="U5" s="113" t="s">
        <v>65</v>
      </c>
      <c r="V5" s="118" t="s">
        <v>94</v>
      </c>
      <c r="W5" s="118" t="s">
        <v>72</v>
      </c>
      <c r="X5" s="118" t="s">
        <v>72</v>
      </c>
      <c r="Y5" s="113" t="s">
        <v>65</v>
      </c>
      <c r="Z5" s="113" t="s">
        <v>65</v>
      </c>
    </row>
    <row r="6" spans="1:26" ht="15.75">
      <c r="A6" s="127" t="s">
        <v>51</v>
      </c>
      <c r="O6" s="23"/>
    </row>
    <row r="7" spans="1:26" ht="15.75">
      <c r="A7" s="127" t="s">
        <v>68</v>
      </c>
      <c r="O7" s="23"/>
    </row>
    <row r="8" spans="1:26" ht="15.75">
      <c r="A8" s="127" t="s">
        <v>54</v>
      </c>
      <c r="O8" s="23"/>
    </row>
    <row r="9" spans="1:26" ht="15.75">
      <c r="A9" s="128" t="s">
        <v>55</v>
      </c>
      <c r="O9" s="23"/>
    </row>
    <row r="10" spans="1:26" ht="15.75">
      <c r="A10" s="127" t="s">
        <v>28</v>
      </c>
      <c r="O10" s="23"/>
    </row>
    <row r="11" spans="1:26" ht="15.75">
      <c r="A11" s="127" t="s">
        <v>56</v>
      </c>
      <c r="O11" s="23"/>
    </row>
    <row r="12" spans="1:26" ht="15.75">
      <c r="A12" s="127" t="s">
        <v>22</v>
      </c>
      <c r="O12" s="23"/>
    </row>
    <row r="13" spans="1:26" ht="15.75">
      <c r="A13" s="127" t="s">
        <v>23</v>
      </c>
      <c r="O13" s="23"/>
    </row>
    <row r="14" spans="1:26" ht="15.75">
      <c r="A14" s="127" t="s">
        <v>24</v>
      </c>
      <c r="O14" s="23"/>
    </row>
    <row r="15" spans="1:26" ht="15.75">
      <c r="A15" s="127" t="s">
        <v>57</v>
      </c>
      <c r="O15" s="23"/>
    </row>
    <row r="16" spans="1:26" ht="15.75">
      <c r="A16" s="127" t="s">
        <v>58</v>
      </c>
      <c r="O16" s="23"/>
    </row>
    <row r="17" spans="1:15" ht="15.75">
      <c r="A17" s="127" t="s">
        <v>59</v>
      </c>
      <c r="O17" s="23"/>
    </row>
    <row r="18" spans="1:15" ht="15.75">
      <c r="A18" s="127" t="s">
        <v>25</v>
      </c>
      <c r="O18" s="23"/>
    </row>
    <row r="19" spans="1:15" ht="15.75">
      <c r="A19" s="127" t="s">
        <v>60</v>
      </c>
      <c r="O19" s="23"/>
    </row>
    <row r="20" spans="1:15" ht="15.75">
      <c r="A20" s="127" t="s">
        <v>69</v>
      </c>
      <c r="O20" s="23"/>
    </row>
    <row r="21" spans="1:15" ht="15.75">
      <c r="A21" s="127" t="s">
        <v>26</v>
      </c>
      <c r="O21" s="23"/>
    </row>
    <row r="22" spans="1:15" ht="15.75">
      <c r="A22" s="127" t="s">
        <v>61</v>
      </c>
      <c r="O22" s="23"/>
    </row>
    <row r="23" spans="1:15" ht="15.75">
      <c r="A23" s="127" t="s">
        <v>70</v>
      </c>
      <c r="O23" s="23"/>
    </row>
    <row r="24" spans="1:15" ht="15.75">
      <c r="A24" s="127" t="s">
        <v>49</v>
      </c>
      <c r="O24" s="23"/>
    </row>
    <row r="25" spans="1:15" ht="15.75">
      <c r="A25" s="127" t="s">
        <v>95</v>
      </c>
      <c r="O25" s="23"/>
    </row>
    <row r="26" spans="1:15" ht="15.75">
      <c r="A26" s="127" t="s">
        <v>62</v>
      </c>
      <c r="O26" s="23"/>
    </row>
    <row r="27" spans="1:15" s="25" customFormat="1">
      <c r="A27" s="24" t="s">
        <v>18</v>
      </c>
    </row>
    <row r="28" spans="1:15" s="27" customFormat="1">
      <c r="A28" s="26" t="s">
        <v>19</v>
      </c>
    </row>
    <row r="29" spans="1:15">
      <c r="A29" s="28" t="s">
        <v>11</v>
      </c>
    </row>
    <row r="30" spans="1:15" s="30" customFormat="1">
      <c r="A30" s="29" t="s">
        <v>20</v>
      </c>
    </row>
    <row r="32" spans="1:15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topLeftCell="A3" zoomScale="80" zoomScaleNormal="80" workbookViewId="0">
      <pane xSplit="1" topLeftCell="B1" activePane="topRight" state="frozen"/>
      <selection activeCell="A4" sqref="A4"/>
      <selection pane="topRight" activeCell="H11" sqref="H11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100</v>
      </c>
      <c r="B2" s="49"/>
      <c r="C2" s="74"/>
    </row>
    <row r="3" spans="1:46" ht="17.25" customHeight="1">
      <c r="A3" s="76" t="s">
        <v>101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121</v>
      </c>
      <c r="F4" s="140" t="s">
        <v>122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13"/>
      <c r="D5" s="79"/>
      <c r="E5" s="113" t="s">
        <v>96</v>
      </c>
      <c r="F5" s="113" t="s">
        <v>96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/>
      <c r="F6" s="107"/>
    </row>
    <row r="7" spans="1:46" ht="20.25">
      <c r="A7" s="46" t="s">
        <v>68</v>
      </c>
      <c r="C7" s="107"/>
      <c r="E7" s="107"/>
      <c r="F7" s="107"/>
    </row>
    <row r="8" spans="1:46" ht="20.25">
      <c r="A8" s="46" t="s">
        <v>54</v>
      </c>
      <c r="C8" s="107"/>
      <c r="E8" s="107"/>
      <c r="F8" s="107"/>
    </row>
    <row r="9" spans="1:46" ht="20.25">
      <c r="A9" s="82" t="s">
        <v>55</v>
      </c>
      <c r="C9" s="114"/>
      <c r="E9" s="114"/>
      <c r="F9" s="114"/>
    </row>
    <row r="10" spans="1:46" ht="20.25">
      <c r="A10" s="46" t="s">
        <v>28</v>
      </c>
      <c r="C10" s="107"/>
      <c r="E10" s="107"/>
      <c r="F10" s="107"/>
    </row>
    <row r="11" spans="1:46" ht="20.25">
      <c r="A11" s="46" t="s">
        <v>56</v>
      </c>
      <c r="C11" s="107"/>
      <c r="E11" s="107"/>
      <c r="F11" s="107"/>
    </row>
    <row r="12" spans="1:46" ht="20.25">
      <c r="A12" s="46" t="s">
        <v>22</v>
      </c>
      <c r="C12" s="107"/>
      <c r="E12" s="107"/>
      <c r="F12" s="107"/>
    </row>
    <row r="13" spans="1:46" ht="20.25">
      <c r="A13" s="46" t="s">
        <v>23</v>
      </c>
      <c r="C13" s="107"/>
      <c r="E13" s="107"/>
      <c r="F13" s="107"/>
    </row>
    <row r="14" spans="1:46" ht="20.25">
      <c r="A14" s="46" t="s">
        <v>24</v>
      </c>
      <c r="C14" s="107"/>
      <c r="E14" s="107"/>
      <c r="F14" s="107"/>
    </row>
    <row r="15" spans="1:46" ht="20.25">
      <c r="A15" s="46" t="s">
        <v>57</v>
      </c>
      <c r="C15" s="114"/>
      <c r="E15" s="107"/>
      <c r="F15" s="107"/>
    </row>
    <row r="16" spans="1:46" ht="20.25">
      <c r="A16" s="46" t="s">
        <v>58</v>
      </c>
      <c r="C16" s="107"/>
      <c r="E16" s="107"/>
      <c r="F16" s="107"/>
    </row>
    <row r="17" spans="1:131" ht="20.25">
      <c r="A17" s="46" t="s">
        <v>59</v>
      </c>
      <c r="C17" s="114"/>
      <c r="E17" s="107"/>
      <c r="F17" s="107"/>
    </row>
    <row r="18" spans="1:131" ht="20.25">
      <c r="A18" s="46" t="s">
        <v>25</v>
      </c>
      <c r="C18" s="107"/>
      <c r="E18" s="107"/>
      <c r="F18" s="107"/>
    </row>
    <row r="19" spans="1:131" ht="20.25">
      <c r="A19" s="46" t="s">
        <v>60</v>
      </c>
      <c r="C19" s="107"/>
      <c r="E19" s="107"/>
      <c r="F19" s="107"/>
    </row>
    <row r="20" spans="1:131" ht="20.25">
      <c r="A20" s="46" t="s">
        <v>69</v>
      </c>
      <c r="C20" s="114"/>
      <c r="E20" s="114"/>
      <c r="F20" s="114"/>
    </row>
    <row r="21" spans="1:131" ht="20.25">
      <c r="A21" s="46" t="s">
        <v>26</v>
      </c>
      <c r="C21" s="114"/>
      <c r="E21" s="107"/>
      <c r="F21" s="107"/>
    </row>
    <row r="22" spans="1:131" ht="20.25">
      <c r="A22" s="46" t="s">
        <v>61</v>
      </c>
      <c r="C22" s="107"/>
      <c r="E22" s="107"/>
      <c r="F22" s="107"/>
    </row>
    <row r="23" spans="1:131" ht="20.25">
      <c r="A23" s="46" t="s">
        <v>70</v>
      </c>
      <c r="C23" s="107"/>
      <c r="E23" s="107"/>
      <c r="F23" s="107"/>
    </row>
    <row r="24" spans="1:131" ht="20.25">
      <c r="A24" s="46" t="s">
        <v>49</v>
      </c>
      <c r="C24" s="107"/>
      <c r="E24" s="107"/>
      <c r="F24" s="107"/>
    </row>
    <row r="25" spans="1:131" ht="20.25">
      <c r="A25" s="46" t="s">
        <v>95</v>
      </c>
      <c r="C25" s="107"/>
      <c r="E25" s="107"/>
      <c r="F25" s="107"/>
    </row>
    <row r="26" spans="1:131" ht="20.25">
      <c r="A26" s="46" t="s">
        <v>62</v>
      </c>
      <c r="C26" s="107"/>
      <c r="E26" s="107"/>
      <c r="F26" s="107"/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0</v>
      </c>
      <c r="F27" s="103">
        <f t="shared" si="1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0</v>
      </c>
      <c r="F29" s="40">
        <f t="shared" si="5"/>
        <v>0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123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3" t="s">
        <v>71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 t="s">
        <v>66</v>
      </c>
      <c r="U6" s="7"/>
      <c r="V6" s="7"/>
    </row>
    <row r="7" spans="1:29" ht="18">
      <c r="A7" s="129" t="s">
        <v>68</v>
      </c>
      <c r="C7" s="107" t="s">
        <v>66</v>
      </c>
      <c r="U7" s="7"/>
      <c r="V7" s="7"/>
    </row>
    <row r="8" spans="1:29" ht="18">
      <c r="A8" s="129" t="s">
        <v>54</v>
      </c>
      <c r="C8" s="107" t="s">
        <v>66</v>
      </c>
      <c r="U8" s="7"/>
      <c r="V8" s="7"/>
    </row>
    <row r="9" spans="1:29" ht="18">
      <c r="A9" s="130" t="s">
        <v>55</v>
      </c>
      <c r="C9" s="114" t="s">
        <v>124</v>
      </c>
      <c r="U9" s="7"/>
      <c r="V9" s="7"/>
    </row>
    <row r="10" spans="1:29" ht="18">
      <c r="A10" s="129" t="s">
        <v>28</v>
      </c>
      <c r="C10" s="107" t="s">
        <v>66</v>
      </c>
      <c r="U10" s="7"/>
      <c r="V10" s="7"/>
    </row>
    <row r="11" spans="1:29" ht="18">
      <c r="A11" s="129" t="s">
        <v>56</v>
      </c>
      <c r="C11" s="107" t="s">
        <v>66</v>
      </c>
      <c r="U11" s="7"/>
      <c r="V11" s="7"/>
    </row>
    <row r="12" spans="1:29" ht="18">
      <c r="A12" s="129" t="s">
        <v>22</v>
      </c>
      <c r="C12" s="107" t="s">
        <v>66</v>
      </c>
      <c r="U12" s="7"/>
      <c r="V12" s="7"/>
    </row>
    <row r="13" spans="1:29" ht="18">
      <c r="A13" s="129" t="s">
        <v>23</v>
      </c>
      <c r="C13" s="107" t="s">
        <v>66</v>
      </c>
      <c r="U13" s="7"/>
      <c r="V13" s="7"/>
    </row>
    <row r="14" spans="1:29" ht="18">
      <c r="A14" s="129" t="s">
        <v>24</v>
      </c>
      <c r="C14" s="107" t="s">
        <v>66</v>
      </c>
      <c r="U14" s="7"/>
      <c r="V14" s="7"/>
    </row>
    <row r="15" spans="1:29" ht="18">
      <c r="A15" s="129" t="s">
        <v>57</v>
      </c>
      <c r="C15" s="107" t="s">
        <v>66</v>
      </c>
      <c r="U15" s="7"/>
      <c r="V15" s="7"/>
    </row>
    <row r="16" spans="1:29" ht="18">
      <c r="A16" s="129" t="s">
        <v>58</v>
      </c>
      <c r="C16" s="107" t="s">
        <v>66</v>
      </c>
      <c r="U16" s="7"/>
      <c r="V16" s="7"/>
    </row>
    <row r="17" spans="1:123" ht="15" customHeight="1">
      <c r="A17" s="129" t="s">
        <v>59</v>
      </c>
      <c r="C17" s="107" t="s">
        <v>66</v>
      </c>
      <c r="T17" s="8"/>
      <c r="U17" s="7"/>
      <c r="V17" s="7"/>
    </row>
    <row r="18" spans="1:123" ht="18">
      <c r="A18" s="129" t="s">
        <v>25</v>
      </c>
      <c r="C18" s="107" t="s">
        <v>66</v>
      </c>
      <c r="U18" s="7"/>
      <c r="V18" s="7"/>
    </row>
    <row r="19" spans="1:123" ht="18">
      <c r="A19" s="129" t="s">
        <v>60</v>
      </c>
      <c r="C19" s="107" t="s">
        <v>66</v>
      </c>
      <c r="U19" s="7"/>
      <c r="V19" s="7"/>
    </row>
    <row r="20" spans="1:123" ht="18">
      <c r="A20" s="129" t="s">
        <v>69</v>
      </c>
      <c r="C20" s="107" t="s">
        <v>66</v>
      </c>
      <c r="U20" s="7"/>
      <c r="V20" s="7"/>
    </row>
    <row r="21" spans="1:123" ht="18">
      <c r="A21" s="129" t="s">
        <v>26</v>
      </c>
      <c r="C21" s="114" t="s">
        <v>53</v>
      </c>
      <c r="U21" s="7"/>
      <c r="V21" s="7"/>
    </row>
    <row r="22" spans="1:123" ht="18">
      <c r="A22" s="129" t="s">
        <v>61</v>
      </c>
      <c r="C22" s="107" t="s">
        <v>66</v>
      </c>
      <c r="U22" s="7"/>
      <c r="V22" s="7"/>
    </row>
    <row r="23" spans="1:123" ht="18">
      <c r="A23" s="129" t="s">
        <v>70</v>
      </c>
      <c r="C23" s="107" t="s">
        <v>66</v>
      </c>
      <c r="U23" s="7"/>
      <c r="V23" s="7"/>
    </row>
    <row r="24" spans="1:123" ht="18">
      <c r="A24" s="129" t="s">
        <v>49</v>
      </c>
      <c r="C24" s="114" t="s">
        <v>53</v>
      </c>
      <c r="U24" s="7"/>
      <c r="V24" s="7"/>
    </row>
    <row r="25" spans="1:123" ht="18">
      <c r="A25" s="129" t="s">
        <v>95</v>
      </c>
      <c r="C25" s="107" t="s">
        <v>66</v>
      </c>
      <c r="U25" s="7"/>
      <c r="V25" s="7"/>
    </row>
    <row r="26" spans="1:123" ht="18">
      <c r="A26" s="129" t="s">
        <v>62</v>
      </c>
      <c r="C26" s="114" t="s">
        <v>53</v>
      </c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3">
        <f t="shared" si="0"/>
        <v>17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4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3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5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F12" sqref="F12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100</v>
      </c>
      <c r="B2" s="2"/>
    </row>
    <row r="3" spans="1:4" ht="15.75" thickBot="1">
      <c r="A3" s="121" t="s">
        <v>101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97</v>
      </c>
      <c r="D4" s="139" t="s">
        <v>125</v>
      </c>
    </row>
    <row r="5" spans="1:4" s="6" customFormat="1" ht="60.75" customHeight="1">
      <c r="A5" s="122"/>
      <c r="B5" s="111"/>
      <c r="C5" s="113" t="s">
        <v>71</v>
      </c>
      <c r="D5" s="118" t="s">
        <v>72</v>
      </c>
    </row>
    <row r="6" spans="1:4" ht="15.75">
      <c r="A6" s="127" t="s">
        <v>51</v>
      </c>
      <c r="C6" s="107" t="s">
        <v>66</v>
      </c>
      <c r="D6" s="107"/>
    </row>
    <row r="7" spans="1:4" ht="15.75">
      <c r="A7" s="127" t="s">
        <v>68</v>
      </c>
      <c r="C7" s="107" t="s">
        <v>66</v>
      </c>
      <c r="D7" s="107"/>
    </row>
    <row r="8" spans="1:4" ht="15.75">
      <c r="A8" s="127" t="s">
        <v>54</v>
      </c>
      <c r="C8" s="107" t="s">
        <v>66</v>
      </c>
      <c r="D8" s="107"/>
    </row>
    <row r="9" spans="1:4" ht="15.75">
      <c r="A9" s="128" t="s">
        <v>55</v>
      </c>
      <c r="C9" s="107" t="s">
        <v>66</v>
      </c>
      <c r="D9" s="107"/>
    </row>
    <row r="10" spans="1:4" ht="15.75">
      <c r="A10" s="127" t="s">
        <v>28</v>
      </c>
      <c r="C10" s="107" t="s">
        <v>66</v>
      </c>
      <c r="D10" s="107"/>
    </row>
    <row r="11" spans="1:4" ht="15.75">
      <c r="A11" s="127" t="s">
        <v>56</v>
      </c>
      <c r="C11" s="107" t="s">
        <v>66</v>
      </c>
      <c r="D11" s="114"/>
    </row>
    <row r="12" spans="1:4" ht="15.75">
      <c r="A12" s="127" t="s">
        <v>22</v>
      </c>
      <c r="C12" s="107" t="s">
        <v>66</v>
      </c>
      <c r="D12" s="107"/>
    </row>
    <row r="13" spans="1:4" ht="15.75">
      <c r="A13" s="127" t="s">
        <v>23</v>
      </c>
      <c r="B13" s="138"/>
      <c r="C13" s="107" t="s">
        <v>66</v>
      </c>
      <c r="D13" s="114"/>
    </row>
    <row r="14" spans="1:4" ht="15.75">
      <c r="A14" s="127" t="s">
        <v>24</v>
      </c>
      <c r="C14" s="107" t="s">
        <v>66</v>
      </c>
      <c r="D14" s="107"/>
    </row>
    <row r="15" spans="1:4" ht="15.75">
      <c r="A15" s="127" t="s">
        <v>57</v>
      </c>
      <c r="C15" s="107" t="s">
        <v>66</v>
      </c>
      <c r="D15" s="107"/>
    </row>
    <row r="16" spans="1:4" ht="15.75">
      <c r="A16" s="127" t="s">
        <v>58</v>
      </c>
      <c r="C16" s="107" t="s">
        <v>66</v>
      </c>
      <c r="D16" s="107"/>
    </row>
    <row r="17" spans="1:4" ht="15.75">
      <c r="A17" s="127" t="s">
        <v>59</v>
      </c>
      <c r="C17" s="107" t="s">
        <v>66</v>
      </c>
      <c r="D17" s="107"/>
    </row>
    <row r="18" spans="1:4" ht="15.75">
      <c r="A18" s="127" t="s">
        <v>25</v>
      </c>
      <c r="C18" s="107" t="s">
        <v>66</v>
      </c>
      <c r="D18" s="114"/>
    </row>
    <row r="19" spans="1:4" ht="15.75">
      <c r="A19" s="127" t="s">
        <v>60</v>
      </c>
      <c r="C19" s="107" t="s">
        <v>66</v>
      </c>
      <c r="D19" s="107"/>
    </row>
    <row r="20" spans="1:4" ht="15.75">
      <c r="A20" s="127" t="s">
        <v>69</v>
      </c>
      <c r="C20" s="107" t="s">
        <v>66</v>
      </c>
      <c r="D20" s="107"/>
    </row>
    <row r="21" spans="1:4" ht="15.75">
      <c r="A21" s="127" t="s">
        <v>26</v>
      </c>
      <c r="C21" s="114" t="s">
        <v>53</v>
      </c>
      <c r="D21" s="107"/>
    </row>
    <row r="22" spans="1:4" ht="15.75">
      <c r="A22" s="127" t="s">
        <v>61</v>
      </c>
      <c r="C22" s="107" t="s">
        <v>66</v>
      </c>
      <c r="D22" s="107"/>
    </row>
    <row r="23" spans="1:4" ht="15.75">
      <c r="A23" s="127" t="s">
        <v>70</v>
      </c>
      <c r="C23" s="107" t="s">
        <v>66</v>
      </c>
      <c r="D23" s="107"/>
    </row>
    <row r="24" spans="1:4" ht="15.75">
      <c r="A24" s="127" t="s">
        <v>49</v>
      </c>
      <c r="C24" s="114" t="s">
        <v>53</v>
      </c>
      <c r="D24" s="107"/>
    </row>
    <row r="25" spans="1:4" ht="15.75">
      <c r="A25" s="127" t="s">
        <v>95</v>
      </c>
      <c r="C25" s="107" t="s">
        <v>66</v>
      </c>
      <c r="D25" s="107"/>
    </row>
    <row r="26" spans="1:4" ht="15.75">
      <c r="A26" s="127" t="s">
        <v>62</v>
      </c>
      <c r="C26" s="114" t="s">
        <v>53</v>
      </c>
      <c r="D26" s="107"/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" si="0">COUNTIF(C6:C26,"sim")</f>
        <v>18</v>
      </c>
      <c r="D28" s="103">
        <f t="shared" ref="D28" si="1">COUNTIF(D6:D26,"sim")</f>
        <v>0</v>
      </c>
    </row>
    <row r="29" spans="1:4" ht="15.75">
      <c r="A29" s="17" t="s">
        <v>19</v>
      </c>
      <c r="B29" s="18">
        <f>COUNTIF(B6:B26,"não")</f>
        <v>0</v>
      </c>
      <c r="C29" s="104">
        <f t="shared" ref="C29" si="2">COUNTIF(C6:C26,"não")</f>
        <v>0</v>
      </c>
      <c r="D29" s="104">
        <f t="shared" ref="D29" si="3"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" si="4">COUNTIF(C6:C26,"ausente")</f>
        <v>3</v>
      </c>
      <c r="D30" s="40">
        <f t="shared" ref="D30" si="5">COUNTIF(D6:D26,"ausente")</f>
        <v>0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" si="6">COUNTIF(C6:C26,"abstenção")</f>
        <v>0</v>
      </c>
      <c r="D31" s="105">
        <f t="shared" ref="D31" si="7"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100</v>
      </c>
      <c r="B2" s="2"/>
      <c r="C2" s="54"/>
      <c r="D2" s="54"/>
      <c r="E2" s="54"/>
    </row>
    <row r="3" spans="1:6" ht="15.75" thickBot="1">
      <c r="A3" s="121" t="s">
        <v>101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73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95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E11" sqref="E11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100</v>
      </c>
      <c r="B2" s="2"/>
    </row>
    <row r="3" spans="1:23">
      <c r="A3" s="76" t="s">
        <v>101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74</v>
      </c>
      <c r="E4" s="106" t="s">
        <v>75</v>
      </c>
      <c r="F4" s="106" t="s">
        <v>76</v>
      </c>
      <c r="G4" s="106" t="s">
        <v>77</v>
      </c>
      <c r="H4" s="106" t="s">
        <v>78</v>
      </c>
      <c r="I4" s="106" t="s">
        <v>79</v>
      </c>
      <c r="J4" s="106" t="s">
        <v>80</v>
      </c>
      <c r="K4" s="106" t="s">
        <v>81</v>
      </c>
      <c r="L4" s="106" t="s">
        <v>82</v>
      </c>
      <c r="M4" s="106" t="s">
        <v>83</v>
      </c>
      <c r="N4" s="106" t="s">
        <v>84</v>
      </c>
      <c r="O4" s="106" t="s">
        <v>85</v>
      </c>
      <c r="P4" s="106" t="s">
        <v>86</v>
      </c>
      <c r="Q4" s="106" t="s">
        <v>87</v>
      </c>
      <c r="R4" s="106" t="s">
        <v>88</v>
      </c>
      <c r="S4" s="106" t="s">
        <v>89</v>
      </c>
      <c r="T4" s="106" t="s">
        <v>90</v>
      </c>
      <c r="U4" s="106" t="s">
        <v>91</v>
      </c>
      <c r="V4" s="106" t="s">
        <v>92</v>
      </c>
      <c r="W4" s="106" t="s">
        <v>93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95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2025-10-22T21:03:36Z</dcterms:modified>
</cp:coreProperties>
</file>